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5" windowWidth="15195" windowHeight="8190" activeTab="2"/>
  </bookViews>
  <sheets>
    <sheet name="Rolado y Torneado" sheetId="1" r:id="rId1"/>
    <sheet name="Formado" sheetId="2" r:id="rId2"/>
    <sheet name="TROQUELADO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Q10" i="1" l="1"/>
  <c r="B10" i="1"/>
  <c r="B10" i="2"/>
  <c r="B10" i="3" l="1"/>
  <c r="J15" i="2" l="1"/>
  <c r="Y15" i="1"/>
  <c r="L15" i="1"/>
  <c r="J15" i="1"/>
  <c r="J15" i="3"/>
  <c r="E14" i="3" l="1"/>
  <c r="L15" i="3"/>
  <c r="T14" i="1"/>
  <c r="AA15" i="1"/>
  <c r="E14" i="2"/>
  <c r="L15" i="2"/>
  <c r="E14" i="1"/>
  <c r="Q6" i="1" l="1"/>
  <c r="B6" i="2"/>
  <c r="B6" i="3"/>
  <c r="B6" i="1"/>
</calcChain>
</file>

<file path=xl/sharedStrings.xml><?xml version="1.0" encoding="utf-8"?>
<sst xmlns="http://schemas.openxmlformats.org/spreadsheetml/2006/main" count="36" uniqueCount="15">
  <si>
    <t>OPERACIÓN</t>
  </si>
  <si>
    <t>ROLADO</t>
  </si>
  <si>
    <t>URGENCIA</t>
  </si>
  <si>
    <t>NORMAL</t>
  </si>
  <si>
    <t>CANTIDAD</t>
  </si>
  <si>
    <t>ALTA(MAX 2 DIAS)</t>
  </si>
  <si>
    <t>FORMADO</t>
  </si>
  <si>
    <t>TORNEADO</t>
  </si>
  <si>
    <t>TROQUELADO</t>
  </si>
  <si>
    <t>HTJA030002</t>
  </si>
  <si>
    <t>MIN</t>
  </si>
  <si>
    <t>MAX</t>
  </si>
  <si>
    <t>HTJA030034</t>
  </si>
  <si>
    <t>HTJA020027</t>
  </si>
  <si>
    <t>HTJA040134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</si>
</sst>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-2]* #,##0.00_-;\-[$€-2]* #,##0.00_-;_-[$€-2]* &quot;-&quot;??_-"/>
  </numFmts>
  <fonts count="1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28"/>
      <name val="Arial"/>
      <family val="2"/>
    </font>
    <font>
      <b/>
      <sz val="12"/>
      <name val="Arial"/>
      <family val="2"/>
    </font>
    <font>
      <b/>
      <sz val="26"/>
      <name val="Arial"/>
      <family val="2"/>
    </font>
    <font>
      <b/>
      <sz val="18"/>
      <name val="Arial"/>
      <family val="2"/>
    </font>
    <font>
      <b/>
      <sz val="36"/>
      <name val="Arial"/>
      <family val="2"/>
    </font>
    <font>
      <b/>
      <sz val="28"/>
      <color theme="1"/>
      <name val="Arial"/>
      <family val="2"/>
    </font>
    <font>
      <b/>
      <sz val="22"/>
      <name val="Arial"/>
      <family val="2"/>
    </font>
    <font>
      <b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0" fontId="2" fillId="0" borderId="0">
      <alignment vertical="top"/>
    </xf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</cellStyleXfs>
  <cellXfs count="15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3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4" xfId="0" applyFill="1" applyBorder="1"/>
    <xf numFmtId="0" fontId="4" fillId="4" borderId="5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1" fontId="6" fillId="4" borderId="5" xfId="0" applyNumberFormat="1" applyFont="1" applyFill="1" applyBorder="1" applyAlignment="1">
      <alignment horizontal="center" vertical="center"/>
    </xf>
    <xf numFmtId="0" fontId="0" fillId="4" borderId="6" xfId="0" applyFill="1" applyBorder="1"/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2" fontId="7" fillId="0" borderId="17" xfId="0" applyNumberFormat="1" applyFont="1" applyBorder="1" applyAlignment="1">
      <alignment horizontal="center" vertical="center"/>
    </xf>
    <xf numFmtId="12" fontId="7" fillId="0" borderId="18" xfId="0" applyNumberFormat="1" applyFont="1" applyBorder="1" applyAlignment="1">
      <alignment horizontal="center" vertical="center"/>
    </xf>
    <xf numFmtId="12" fontId="7" fillId="0" borderId="19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" fontId="10" fillId="0" borderId="9" xfId="7" applyNumberFormat="1" applyFont="1" applyFill="1" applyBorder="1" applyAlignment="1">
      <alignment horizontal="center" vertical="center" wrapText="1"/>
    </xf>
    <xf numFmtId="1" fontId="10" fillId="0" borderId="10" xfId="7" applyNumberFormat="1" applyFont="1" applyFill="1" applyBorder="1" applyAlignment="1">
      <alignment horizontal="center" vertical="center" wrapText="1"/>
    </xf>
    <xf numFmtId="1" fontId="10" fillId="0" borderId="11" xfId="7" applyNumberFormat="1" applyFont="1" applyFill="1" applyBorder="1" applyAlignment="1">
      <alignment horizontal="center" vertical="center" wrapText="1"/>
    </xf>
    <xf numFmtId="1" fontId="10" fillId="0" borderId="12" xfId="7" applyNumberFormat="1" applyFont="1" applyFill="1" applyBorder="1" applyAlignment="1">
      <alignment horizontal="center" vertical="center" wrapText="1"/>
    </xf>
    <xf numFmtId="1" fontId="10" fillId="0" borderId="0" xfId="7" applyNumberFormat="1" applyFont="1" applyFill="1" applyBorder="1" applyAlignment="1">
      <alignment horizontal="center" vertical="center" wrapText="1"/>
    </xf>
    <xf numFmtId="1" fontId="10" fillId="0" borderId="13" xfId="7" applyNumberFormat="1" applyFont="1" applyFill="1" applyBorder="1" applyAlignment="1">
      <alignment horizontal="center" vertical="center" wrapText="1"/>
    </xf>
    <xf numFmtId="1" fontId="10" fillId="0" borderId="14" xfId="7" applyNumberFormat="1" applyFont="1" applyFill="1" applyBorder="1" applyAlignment="1">
      <alignment horizontal="center" vertical="center" wrapText="1"/>
    </xf>
    <xf numFmtId="1" fontId="10" fillId="0" borderId="15" xfId="7" applyNumberFormat="1" applyFont="1" applyFill="1" applyBorder="1" applyAlignment="1">
      <alignment horizontal="center" vertical="center" wrapText="1"/>
    </xf>
    <xf numFmtId="1" fontId="10" fillId="0" borderId="16" xfId="7" applyNumberFormat="1" applyFont="1" applyFill="1" applyBorder="1" applyAlignment="1">
      <alignment horizontal="center" vertical="center" wrapText="1"/>
    </xf>
    <xf numFmtId="0" fontId="10" fillId="0" borderId="9" xfId="7" applyNumberFormat="1" applyFont="1" applyFill="1" applyBorder="1" applyAlignment="1">
      <alignment horizontal="center" vertical="center" wrapText="1"/>
    </xf>
    <xf numFmtId="0" fontId="10" fillId="0" borderId="10" xfId="7" applyNumberFormat="1" applyFont="1" applyFill="1" applyBorder="1" applyAlignment="1">
      <alignment horizontal="center" vertical="center" wrapText="1"/>
    </xf>
    <xf numFmtId="0" fontId="10" fillId="0" borderId="11" xfId="7" applyNumberFormat="1" applyFont="1" applyFill="1" applyBorder="1" applyAlignment="1">
      <alignment horizontal="center" vertical="center" wrapText="1"/>
    </xf>
    <xf numFmtId="0" fontId="10" fillId="0" borderId="12" xfId="7" applyNumberFormat="1" applyFont="1" applyFill="1" applyBorder="1" applyAlignment="1">
      <alignment horizontal="center" vertical="center" wrapText="1"/>
    </xf>
    <xf numFmtId="0" fontId="10" fillId="0" borderId="0" xfId="7" applyNumberFormat="1" applyFont="1" applyFill="1" applyBorder="1" applyAlignment="1">
      <alignment horizontal="center" vertical="center" wrapText="1"/>
    </xf>
    <xf numFmtId="0" fontId="10" fillId="0" borderId="13" xfId="7" applyNumberFormat="1" applyFont="1" applyFill="1" applyBorder="1" applyAlignment="1">
      <alignment horizontal="center" vertical="center" wrapText="1"/>
    </xf>
    <xf numFmtId="0" fontId="10" fillId="0" borderId="14" xfId="7" applyNumberFormat="1" applyFont="1" applyFill="1" applyBorder="1" applyAlignment="1">
      <alignment horizontal="center" vertical="center" wrapText="1"/>
    </xf>
    <xf numFmtId="0" fontId="10" fillId="0" borderId="15" xfId="7" applyNumberFormat="1" applyFont="1" applyFill="1" applyBorder="1" applyAlignment="1">
      <alignment horizontal="center" vertical="center" wrapText="1"/>
    </xf>
    <xf numFmtId="0" fontId="10" fillId="0" borderId="16" xfId="7" applyNumberFormat="1" applyFont="1" applyFill="1" applyBorder="1" applyAlignment="1">
      <alignment horizontal="center" vertical="center" wrapText="1"/>
    </xf>
    <xf numFmtId="0" fontId="9" fillId="0" borderId="9" xfId="7" applyNumberFormat="1" applyFont="1" applyFill="1" applyBorder="1" applyAlignment="1">
      <alignment horizontal="center" vertical="center" wrapText="1"/>
    </xf>
    <xf numFmtId="0" fontId="9" fillId="0" borderId="10" xfId="7" applyNumberFormat="1" applyFont="1" applyFill="1" applyBorder="1" applyAlignment="1">
      <alignment horizontal="center" vertical="center" wrapText="1"/>
    </xf>
    <xf numFmtId="0" fontId="9" fillId="0" borderId="11" xfId="7" applyNumberFormat="1" applyFont="1" applyFill="1" applyBorder="1" applyAlignment="1">
      <alignment horizontal="center" vertical="center" wrapText="1"/>
    </xf>
    <xf numFmtId="0" fontId="9" fillId="0" borderId="12" xfId="7" applyNumberFormat="1" applyFont="1" applyFill="1" applyBorder="1" applyAlignment="1">
      <alignment horizontal="center" vertical="center" wrapText="1"/>
    </xf>
    <xf numFmtId="0" fontId="9" fillId="0" borderId="0" xfId="7" applyNumberFormat="1" applyFont="1" applyFill="1" applyBorder="1" applyAlignment="1">
      <alignment horizontal="center" vertical="center" wrapText="1"/>
    </xf>
    <xf numFmtId="0" fontId="9" fillId="0" borderId="13" xfId="7" applyNumberFormat="1" applyFont="1" applyFill="1" applyBorder="1" applyAlignment="1">
      <alignment horizontal="center" vertical="center" wrapText="1"/>
    </xf>
    <xf numFmtId="0" fontId="9" fillId="0" borderId="14" xfId="7" applyNumberFormat="1" applyFont="1" applyFill="1" applyBorder="1" applyAlignment="1">
      <alignment horizontal="center" vertical="center" wrapText="1"/>
    </xf>
    <xf numFmtId="0" fontId="9" fillId="0" borderId="15" xfId="7" applyNumberFormat="1" applyFont="1" applyFill="1" applyBorder="1" applyAlignment="1">
      <alignment horizontal="center" vertical="center" wrapText="1"/>
    </xf>
    <xf numFmtId="0" fontId="9" fillId="0" borderId="16" xfId="7" applyNumberFormat="1" applyFont="1" applyFill="1" applyBorder="1" applyAlignment="1">
      <alignment horizontal="center" vertical="center" wrapText="1"/>
    </xf>
    <xf numFmtId="0" fontId="7" fillId="0" borderId="17" xfId="7" applyFont="1" applyFill="1" applyBorder="1" applyAlignment="1">
      <alignment horizontal="center" vertical="center" wrapText="1"/>
    </xf>
    <xf numFmtId="0" fontId="7" fillId="0" borderId="18" xfId="7" applyFont="1" applyFill="1" applyBorder="1" applyAlignment="1">
      <alignment horizontal="center" vertical="center" wrapText="1"/>
    </xf>
    <xf numFmtId="0" fontId="7" fillId="0" borderId="19" xfId="7" applyFont="1" applyFill="1" applyBorder="1" applyAlignment="1">
      <alignment horizontal="center" vertical="center" wrapText="1"/>
    </xf>
    <xf numFmtId="0" fontId="6" fillId="0" borderId="9" xfId="7" applyFont="1" applyFill="1" applyBorder="1" applyAlignment="1">
      <alignment horizontal="center" vertical="center" wrapText="1"/>
    </xf>
    <xf numFmtId="0" fontId="6" fillId="0" borderId="10" xfId="7" applyFont="1" applyFill="1" applyBorder="1" applyAlignment="1">
      <alignment horizontal="center" vertical="center" wrapText="1"/>
    </xf>
    <xf numFmtId="0" fontId="6" fillId="0" borderId="11" xfId="7" applyFont="1" applyFill="1" applyBorder="1" applyAlignment="1">
      <alignment horizontal="center" vertical="center" wrapText="1"/>
    </xf>
    <xf numFmtId="0" fontId="6" fillId="0" borderId="12" xfId="7" applyFont="1" applyFill="1" applyBorder="1" applyAlignment="1">
      <alignment horizontal="center" vertical="center" wrapText="1"/>
    </xf>
    <xf numFmtId="0" fontId="6" fillId="0" borderId="0" xfId="7" applyFont="1" applyFill="1" applyBorder="1" applyAlignment="1">
      <alignment horizontal="center" vertical="center" wrapText="1"/>
    </xf>
    <xf numFmtId="0" fontId="6" fillId="0" borderId="13" xfId="7" applyFont="1" applyFill="1" applyBorder="1" applyAlignment="1">
      <alignment horizontal="center" vertical="center" wrapText="1"/>
    </xf>
    <xf numFmtId="0" fontId="6" fillId="0" borderId="14" xfId="7" applyFont="1" applyFill="1" applyBorder="1" applyAlignment="1">
      <alignment horizontal="center" vertical="center" wrapText="1"/>
    </xf>
    <xf numFmtId="0" fontId="6" fillId="0" borderId="15" xfId="7" applyFont="1" applyFill="1" applyBorder="1" applyAlignment="1">
      <alignment horizontal="center" vertical="center" wrapText="1"/>
    </xf>
    <xf numFmtId="0" fontId="6" fillId="0" borderId="16" xfId="7" applyFont="1" applyFill="1" applyBorder="1" applyAlignment="1">
      <alignment horizontal="center" vertical="center" wrapText="1"/>
    </xf>
    <xf numFmtId="0" fontId="10" fillId="0" borderId="9" xfId="7" applyFont="1" applyFill="1" applyBorder="1" applyAlignment="1">
      <alignment horizontal="center" vertical="center" wrapText="1"/>
    </xf>
    <xf numFmtId="0" fontId="10" fillId="0" borderId="10" xfId="7" applyFont="1" applyFill="1" applyBorder="1" applyAlignment="1">
      <alignment horizontal="center" vertical="center" wrapText="1"/>
    </xf>
    <xf numFmtId="0" fontId="10" fillId="0" borderId="11" xfId="7" applyFont="1" applyFill="1" applyBorder="1" applyAlignment="1">
      <alignment horizontal="center" vertical="center" wrapText="1"/>
    </xf>
    <xf numFmtId="0" fontId="10" fillId="0" borderId="12" xfId="7" applyFont="1" applyFill="1" applyBorder="1" applyAlignment="1">
      <alignment horizontal="center" vertical="center" wrapText="1"/>
    </xf>
    <xf numFmtId="0" fontId="10" fillId="0" borderId="0" xfId="7" applyFont="1" applyFill="1" applyBorder="1" applyAlignment="1">
      <alignment horizontal="center" vertical="center" wrapText="1"/>
    </xf>
    <xf numFmtId="0" fontId="10" fillId="0" borderId="13" xfId="7" applyFont="1" applyFill="1" applyBorder="1" applyAlignment="1">
      <alignment horizontal="center" vertical="center" wrapText="1"/>
    </xf>
    <xf numFmtId="0" fontId="10" fillId="0" borderId="14" xfId="7" applyFont="1" applyFill="1" applyBorder="1" applyAlignment="1">
      <alignment horizontal="center" vertical="center" wrapText="1"/>
    </xf>
    <xf numFmtId="0" fontId="10" fillId="0" borderId="15" xfId="7" applyFont="1" applyFill="1" applyBorder="1" applyAlignment="1">
      <alignment horizontal="center" vertical="center" wrapText="1"/>
    </xf>
    <xf numFmtId="0" fontId="10" fillId="0" borderId="16" xfId="7" applyFont="1" applyFill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12" fontId="7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1" fontId="10" fillId="0" borderId="20" xfId="7" applyNumberFormat="1" applyFont="1" applyFill="1" applyBorder="1" applyAlignment="1">
      <alignment horizontal="center" vertical="center" wrapText="1"/>
    </xf>
    <xf numFmtId="0" fontId="10" fillId="0" borderId="20" xfId="7" applyNumberFormat="1" applyFont="1" applyFill="1" applyBorder="1" applyAlignment="1">
      <alignment horizontal="center" vertical="center" wrapText="1"/>
    </xf>
    <xf numFmtId="0" fontId="9" fillId="0" borderId="20" xfId="7" applyNumberFormat="1" applyFont="1" applyFill="1" applyBorder="1" applyAlignment="1">
      <alignment horizontal="center" vertical="center" wrapText="1"/>
    </xf>
    <xf numFmtId="0" fontId="7" fillId="0" borderId="20" xfId="7" applyFont="1" applyFill="1" applyBorder="1" applyAlignment="1">
      <alignment horizontal="center" vertical="center" wrapText="1"/>
    </xf>
    <xf numFmtId="0" fontId="10" fillId="0" borderId="20" xfId="7" applyFont="1" applyFill="1" applyBorder="1" applyAlignment="1">
      <alignment horizontal="center" vertical="center" wrapText="1"/>
    </xf>
    <xf numFmtId="1" fontId="4" fillId="0" borderId="14" xfId="0" applyNumberFormat="1" applyFont="1" applyBorder="1" applyAlignment="1">
      <alignment horizontal="center" vertical="center"/>
    </xf>
    <xf numFmtId="1" fontId="4" fillId="0" borderId="16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1" fontId="12" fillId="0" borderId="9" xfId="0" applyNumberFormat="1" applyFont="1" applyBorder="1" applyAlignment="1">
      <alignment horizontal="center" vertical="center"/>
    </xf>
    <xf numFmtId="1" fontId="12" fillId="0" borderId="11" xfId="0" applyNumberFormat="1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9" fillId="0" borderId="21" xfId="7" applyNumberFormat="1" applyFont="1" applyFill="1" applyBorder="1" applyAlignment="1">
      <alignment horizontal="center" vertical="center" wrapText="1"/>
    </xf>
    <xf numFmtId="0" fontId="10" fillId="0" borderId="21" xfId="7" applyFont="1" applyFill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1" fontId="12" fillId="0" borderId="20" xfId="0" applyNumberFormat="1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1" fontId="4" fillId="0" borderId="20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12" fontId="7" fillId="0" borderId="22" xfId="0" applyNumberFormat="1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1" fontId="12" fillId="0" borderId="22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1" fontId="10" fillId="0" borderId="22" xfId="7" applyNumberFormat="1" applyFont="1" applyFill="1" applyBorder="1" applyAlignment="1">
      <alignment horizontal="center" vertical="center" wrapText="1"/>
    </xf>
    <xf numFmtId="0" fontId="10" fillId="0" borderId="22" xfId="7" applyNumberFormat="1" applyFont="1" applyFill="1" applyBorder="1" applyAlignment="1">
      <alignment horizontal="center" vertical="center" wrapText="1"/>
    </xf>
    <xf numFmtId="0" fontId="7" fillId="0" borderId="22" xfId="7" applyFont="1" applyFill="1" applyBorder="1" applyAlignment="1">
      <alignment horizontal="center" vertical="center" wrapText="1"/>
    </xf>
    <xf numFmtId="0" fontId="8" fillId="0" borderId="22" xfId="7" applyFont="1" applyFill="1" applyBorder="1" applyAlignment="1">
      <alignment horizontal="center" vertical="center" wrapText="1"/>
    </xf>
    <xf numFmtId="0" fontId="12" fillId="0" borderId="22" xfId="7" applyNumberFormat="1" applyFont="1" applyFill="1" applyBorder="1" applyAlignment="1">
      <alignment horizontal="center" vertical="center" wrapText="1"/>
    </xf>
  </cellXfs>
  <cellStyles count="8">
    <cellStyle name="Euro" xfId="1"/>
    <cellStyle name="Normal" xfId="0" builtinId="0"/>
    <cellStyle name="Normal 2" xfId="2"/>
    <cellStyle name="Normal 2 2" xfId="3"/>
    <cellStyle name="Normal 2 3" xfId="4"/>
    <cellStyle name="Normal 3" xfId="5"/>
    <cellStyle name="Normal 3 2" xfId="6"/>
    <cellStyle name="Normal_Hoja2" xfId="7"/>
  </cellStyles>
  <dxfs count="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</xdr:row>
      <xdr:rowOff>66675</xdr:rowOff>
    </xdr:from>
    <xdr:to>
      <xdr:col>4</xdr:col>
      <xdr:colOff>238125</xdr:colOff>
      <xdr:row>4</xdr:row>
      <xdr:rowOff>114300</xdr:rowOff>
    </xdr:to>
    <xdr:pic>
      <xdr:nvPicPr>
        <xdr:cNvPr id="2" name="Picture 118" descr="GKN_blue-yel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614"/>
        <a:stretch>
          <a:fillRect/>
        </a:stretch>
      </xdr:blipFill>
      <xdr:spPr bwMode="auto">
        <a:xfrm>
          <a:off x="400050" y="238125"/>
          <a:ext cx="13049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219075</xdr:colOff>
      <xdr:row>1</xdr:row>
      <xdr:rowOff>66675</xdr:rowOff>
    </xdr:from>
    <xdr:to>
      <xdr:col>19</xdr:col>
      <xdr:colOff>238125</xdr:colOff>
      <xdr:row>4</xdr:row>
      <xdr:rowOff>114300</xdr:rowOff>
    </xdr:to>
    <xdr:pic>
      <xdr:nvPicPr>
        <xdr:cNvPr id="3" name="Picture 118" descr="GKN_blue-yel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614"/>
        <a:stretch>
          <a:fillRect/>
        </a:stretch>
      </xdr:blipFill>
      <xdr:spPr bwMode="auto">
        <a:xfrm>
          <a:off x="400050" y="238125"/>
          <a:ext cx="13049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57150</xdr:rowOff>
    </xdr:from>
    <xdr:to>
      <xdr:col>4</xdr:col>
      <xdr:colOff>276225</xdr:colOff>
      <xdr:row>4</xdr:row>
      <xdr:rowOff>104775</xdr:rowOff>
    </xdr:to>
    <xdr:pic>
      <xdr:nvPicPr>
        <xdr:cNvPr id="2" name="Picture 118" descr="GKN_blue-yel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614"/>
        <a:stretch>
          <a:fillRect/>
        </a:stretch>
      </xdr:blipFill>
      <xdr:spPr bwMode="auto">
        <a:xfrm>
          <a:off x="438150" y="219075"/>
          <a:ext cx="13049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57150</xdr:rowOff>
    </xdr:from>
    <xdr:to>
      <xdr:col>4</xdr:col>
      <xdr:colOff>276225</xdr:colOff>
      <xdr:row>4</xdr:row>
      <xdr:rowOff>104775</xdr:rowOff>
    </xdr:to>
    <xdr:pic>
      <xdr:nvPicPr>
        <xdr:cNvPr id="2" name="Picture 118" descr="GKN_blue-yel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8614"/>
        <a:stretch>
          <a:fillRect/>
        </a:stretch>
      </xdr:blipFill>
      <xdr:spPr bwMode="auto">
        <a:xfrm>
          <a:off x="438150" y="219075"/>
          <a:ext cx="13049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X%20Y%20MIN%20JAULA%20SUAVES%20F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1"/>
      <sheetName val="SIOP"/>
      <sheetName val="Matriz"/>
      <sheetName val="TORNEADO"/>
      <sheetName val="FORMADO"/>
      <sheetName val="Hoja1"/>
      <sheetName val="ROLADO"/>
      <sheetName val="TROQUELADO"/>
      <sheetName val="Salidas"/>
      <sheetName val="Entradas"/>
      <sheetName val="LideresJaula"/>
    </sheetNames>
    <sheetDataSet>
      <sheetData sheetId="1"/>
      <sheetData sheetId="2">
        <row r="1">
          <cell r="L1" t="str">
            <v>Dias Habiles Mes</v>
          </cell>
          <cell r="M1">
            <v>23</v>
          </cell>
        </row>
        <row r="2">
          <cell r="D2" t="str">
            <v>NP Herramental</v>
          </cell>
          <cell r="E2" t="str">
            <v>NP</v>
          </cell>
          <cell r="F2" t="str">
            <v>Modelo</v>
          </cell>
          <cell r="G2" t="str">
            <v>Pz / Herramental</v>
          </cell>
          <cell r="H2" t="str">
            <v>Proveedor</v>
          </cell>
          <cell r="I2" t="str">
            <v>Tiempo Entrega</v>
          </cell>
          <cell r="J2" t="str">
            <v>JUNTA</v>
          </cell>
          <cell r="L2" t="str">
            <v>RQ Mensual x NP</v>
          </cell>
          <cell r="M2" t="str">
            <v>RQ Diario x NP</v>
          </cell>
          <cell r="O2" t="str">
            <v>Herramental</v>
          </cell>
        </row>
        <row r="3">
          <cell r="D3" t="str">
            <v>HTJA030034</v>
          </cell>
          <cell r="E3" t="str">
            <v>10019426</v>
          </cell>
          <cell r="F3" t="str">
            <v>AC-1500i Honda 2NX / GMT</v>
          </cell>
          <cell r="G3">
            <v>40000</v>
          </cell>
          <cell r="H3" t="str">
            <v>Nacional</v>
          </cell>
          <cell r="I3">
            <v>7</v>
          </cell>
          <cell r="J3" t="str">
            <v>AC-1500i</v>
          </cell>
          <cell r="L3">
            <v>32759.000000000004</v>
          </cell>
          <cell r="M3">
            <v>1424.3043478260872</v>
          </cell>
          <cell r="O3" t="str">
            <v>Mordazas</v>
          </cell>
        </row>
        <row r="4">
          <cell r="D4" t="str">
            <v>HTJA030041</v>
          </cell>
          <cell r="E4" t="str">
            <v>7870050221</v>
          </cell>
          <cell r="F4" t="str">
            <v>UF-3400 PQ-35 VW</v>
          </cell>
          <cell r="G4">
            <v>40000</v>
          </cell>
          <cell r="H4" t="str">
            <v>Nacional</v>
          </cell>
          <cell r="I4">
            <v>7</v>
          </cell>
          <cell r="J4" t="str">
            <v>UF-3400</v>
          </cell>
          <cell r="L4">
            <v>45592.200000000012</v>
          </cell>
          <cell r="M4">
            <v>1982.2695652173918</v>
          </cell>
          <cell r="O4" t="str">
            <v>Mordazas</v>
          </cell>
        </row>
        <row r="5">
          <cell r="D5" t="str">
            <v>HTJA030042</v>
          </cell>
          <cell r="E5" t="str">
            <v>10019426</v>
          </cell>
          <cell r="F5" t="str">
            <v>AC-1500i Honda 2NX / GMT</v>
          </cell>
          <cell r="G5">
            <v>40000</v>
          </cell>
          <cell r="H5" t="str">
            <v>Nacional</v>
          </cell>
          <cell r="I5">
            <v>15</v>
          </cell>
          <cell r="J5" t="str">
            <v>STD</v>
          </cell>
          <cell r="L5">
            <v>32759.000000000004</v>
          </cell>
          <cell r="M5">
            <v>1424.3043478260872</v>
          </cell>
          <cell r="O5" t="str">
            <v>BLOCK PORTA HERRAMINTA</v>
          </cell>
        </row>
        <row r="6">
          <cell r="D6" t="str">
            <v>HTJA030042</v>
          </cell>
          <cell r="E6" t="str">
            <v>7479050219</v>
          </cell>
          <cell r="F6" t="str">
            <v>AC-1700i FORD</v>
          </cell>
          <cell r="G6">
            <v>40000</v>
          </cell>
          <cell r="H6" t="str">
            <v>Nacional</v>
          </cell>
          <cell r="I6">
            <v>15</v>
          </cell>
          <cell r="J6" t="str">
            <v>STD</v>
          </cell>
          <cell r="L6">
            <v>38420.799999999996</v>
          </cell>
          <cell r="M6">
            <v>1670.4695652173912</v>
          </cell>
          <cell r="O6" t="str">
            <v>BLOCK PORTA HERRAMINTA</v>
          </cell>
        </row>
        <row r="7">
          <cell r="D7" t="str">
            <v>HTJA030042</v>
          </cell>
          <cell r="E7" t="str">
            <v>00806342</v>
          </cell>
          <cell r="F7" t="str">
            <v>AC-2900i VW</v>
          </cell>
          <cell r="G7">
            <v>40000</v>
          </cell>
          <cell r="H7" t="str">
            <v>Nacional</v>
          </cell>
          <cell r="I7">
            <v>15</v>
          </cell>
          <cell r="J7" t="str">
            <v>STD</v>
          </cell>
          <cell r="L7">
            <v>23450.400000000001</v>
          </cell>
          <cell r="M7">
            <v>1019.5826086956522</v>
          </cell>
          <cell r="O7" t="str">
            <v>BLOCK PORTA HERRAMINTA</v>
          </cell>
        </row>
        <row r="8">
          <cell r="D8" t="str">
            <v>HTJA030042</v>
          </cell>
          <cell r="E8" t="str">
            <v>7870050221</v>
          </cell>
          <cell r="F8" t="str">
            <v>UF-3400 PQ-35 VW</v>
          </cell>
          <cell r="G8">
            <v>40000</v>
          </cell>
          <cell r="H8" t="str">
            <v>Nacional</v>
          </cell>
          <cell r="I8">
            <v>15</v>
          </cell>
          <cell r="J8" t="str">
            <v>STD</v>
          </cell>
          <cell r="L8">
            <v>45592.200000000012</v>
          </cell>
          <cell r="M8">
            <v>1982.2695652173918</v>
          </cell>
          <cell r="O8" t="str">
            <v>BLOCK PORTA HERRAMINTA</v>
          </cell>
        </row>
        <row r="9">
          <cell r="D9" t="str">
            <v>HTJA030049</v>
          </cell>
          <cell r="E9" t="str">
            <v>10019426</v>
          </cell>
          <cell r="F9" t="str">
            <v>AC-1500i Honda 2NX / GMT</v>
          </cell>
          <cell r="G9">
            <v>100000</v>
          </cell>
          <cell r="H9" t="str">
            <v>Nacional</v>
          </cell>
          <cell r="I9">
            <v>15</v>
          </cell>
          <cell r="J9" t="str">
            <v>STD</v>
          </cell>
          <cell r="L9">
            <v>32759.000000000004</v>
          </cell>
          <cell r="M9">
            <v>1424.3043478260872</v>
          </cell>
          <cell r="O9" t="str">
            <v>EMBOLO DE CHUCK</v>
          </cell>
        </row>
        <row r="10">
          <cell r="D10" t="str">
            <v>HTJA030049</v>
          </cell>
          <cell r="E10" t="str">
            <v>7479050219</v>
          </cell>
          <cell r="F10" t="str">
            <v>AC-1700i FORD</v>
          </cell>
          <cell r="G10">
            <v>100000</v>
          </cell>
          <cell r="H10" t="str">
            <v>Nacional</v>
          </cell>
          <cell r="I10">
            <v>15</v>
          </cell>
          <cell r="J10" t="str">
            <v>STD</v>
          </cell>
          <cell r="L10">
            <v>38420.799999999996</v>
          </cell>
          <cell r="M10">
            <v>1670.4695652173912</v>
          </cell>
          <cell r="O10" t="str">
            <v>EMBOLO DE CHUCK</v>
          </cell>
        </row>
        <row r="11">
          <cell r="D11" t="str">
            <v>HTJA030049</v>
          </cell>
          <cell r="E11" t="str">
            <v>00806342</v>
          </cell>
          <cell r="F11" t="str">
            <v>AC-2900i VW</v>
          </cell>
          <cell r="G11">
            <v>100000</v>
          </cell>
          <cell r="H11" t="str">
            <v>Nacional</v>
          </cell>
          <cell r="I11">
            <v>15</v>
          </cell>
          <cell r="J11" t="str">
            <v>STD</v>
          </cell>
          <cell r="L11">
            <v>23450.400000000001</v>
          </cell>
          <cell r="M11">
            <v>1019.5826086956522</v>
          </cell>
          <cell r="O11" t="str">
            <v>EMBOLO DE CHUCK</v>
          </cell>
        </row>
        <row r="12">
          <cell r="D12" t="str">
            <v>HTJA030049</v>
          </cell>
          <cell r="E12" t="str">
            <v>7870050221</v>
          </cell>
          <cell r="F12" t="str">
            <v>UF-3400 PQ-35 VW</v>
          </cell>
          <cell r="G12">
            <v>100000</v>
          </cell>
          <cell r="H12" t="str">
            <v>Nacional</v>
          </cell>
          <cell r="I12">
            <v>15</v>
          </cell>
          <cell r="J12" t="str">
            <v>STD</v>
          </cell>
          <cell r="L12">
            <v>45592.200000000012</v>
          </cell>
          <cell r="M12">
            <v>1982.2695652173918</v>
          </cell>
          <cell r="O12" t="str">
            <v>EMBOLO DE CHUCK</v>
          </cell>
        </row>
        <row r="13">
          <cell r="D13" t="str">
            <v>HTJA030050</v>
          </cell>
          <cell r="E13" t="str">
            <v>10019426</v>
          </cell>
          <cell r="F13" t="str">
            <v>AC-1500i Honda 2NX / GMT</v>
          </cell>
          <cell r="G13">
            <v>300000</v>
          </cell>
          <cell r="H13" t="str">
            <v>Nacional</v>
          </cell>
          <cell r="I13">
            <v>8</v>
          </cell>
          <cell r="J13" t="str">
            <v>STD</v>
          </cell>
          <cell r="L13">
            <v>32759.000000000004</v>
          </cell>
          <cell r="M13">
            <v>1424.3043478260872</v>
          </cell>
          <cell r="O13" t="str">
            <v>PLACA TOPE DE CANAL</v>
          </cell>
        </row>
        <row r="14">
          <cell r="D14" t="str">
            <v>HTJA030050</v>
          </cell>
          <cell r="E14" t="str">
            <v>7479050219</v>
          </cell>
          <cell r="F14" t="str">
            <v>AC-1700i FORD</v>
          </cell>
          <cell r="G14">
            <v>300000</v>
          </cell>
          <cell r="H14" t="str">
            <v>Nacional</v>
          </cell>
          <cell r="I14">
            <v>8</v>
          </cell>
          <cell r="J14" t="str">
            <v>STD</v>
          </cell>
          <cell r="L14">
            <v>38420.799999999996</v>
          </cell>
          <cell r="M14">
            <v>1670.4695652173912</v>
          </cell>
          <cell r="O14" t="str">
            <v>PLACA TOPE DE CANAL</v>
          </cell>
        </row>
        <row r="15">
          <cell r="D15" t="str">
            <v>HTJA030050</v>
          </cell>
          <cell r="E15" t="str">
            <v>00806342</v>
          </cell>
          <cell r="F15" t="str">
            <v>AC-2900i VW</v>
          </cell>
          <cell r="G15">
            <v>300000</v>
          </cell>
          <cell r="H15" t="str">
            <v>Nacional</v>
          </cell>
          <cell r="I15">
            <v>8</v>
          </cell>
          <cell r="J15" t="str">
            <v>STD</v>
          </cell>
          <cell r="L15">
            <v>23450.400000000001</v>
          </cell>
          <cell r="M15">
            <v>1019.5826086956522</v>
          </cell>
          <cell r="O15" t="str">
            <v>PLACA TOPE DE CANAL</v>
          </cell>
        </row>
        <row r="16">
          <cell r="D16" t="str">
            <v>HTJA030050</v>
          </cell>
          <cell r="E16" t="str">
            <v>7870050221</v>
          </cell>
          <cell r="F16" t="str">
            <v>UF-3400 PQ-35 VW</v>
          </cell>
          <cell r="G16">
            <v>300000</v>
          </cell>
          <cell r="H16" t="str">
            <v>Nacional</v>
          </cell>
          <cell r="I16">
            <v>8</v>
          </cell>
          <cell r="J16" t="str">
            <v>STD</v>
          </cell>
          <cell r="L16">
            <v>45592.200000000012</v>
          </cell>
          <cell r="M16">
            <v>1982.2695652173918</v>
          </cell>
          <cell r="O16" t="str">
            <v>PLACA TOPE DE CANAL</v>
          </cell>
        </row>
        <row r="17">
          <cell r="D17" t="str">
            <v>HTJA030052</v>
          </cell>
          <cell r="E17" t="str">
            <v>10019426</v>
          </cell>
          <cell r="F17" t="str">
            <v>AC-1500i Honda 2NX / GMT</v>
          </cell>
          <cell r="G17">
            <v>50000</v>
          </cell>
          <cell r="H17" t="str">
            <v>Nacional</v>
          </cell>
          <cell r="I17">
            <v>8</v>
          </cell>
          <cell r="J17" t="str">
            <v>STD</v>
          </cell>
          <cell r="L17">
            <v>32759.000000000004</v>
          </cell>
          <cell r="M17">
            <v>1424.3043478260872</v>
          </cell>
          <cell r="O17" t="str">
            <v>TUERCA DERECHA DE SUJECION DE PORTA HTA.</v>
          </cell>
        </row>
        <row r="18">
          <cell r="D18" t="str">
            <v>HTJA030052</v>
          </cell>
          <cell r="E18" t="str">
            <v>7479050219</v>
          </cell>
          <cell r="F18" t="str">
            <v>AC-1700i FORD</v>
          </cell>
          <cell r="G18">
            <v>50000</v>
          </cell>
          <cell r="H18" t="str">
            <v>Nacional</v>
          </cell>
          <cell r="I18">
            <v>8</v>
          </cell>
          <cell r="J18" t="str">
            <v>STD</v>
          </cell>
          <cell r="L18">
            <v>38420.799999999996</v>
          </cell>
          <cell r="M18">
            <v>1670.4695652173912</v>
          </cell>
          <cell r="O18" t="str">
            <v>TUERCA DERECHA DE SUJECION DE PORTA HTA.</v>
          </cell>
        </row>
        <row r="19">
          <cell r="D19" t="str">
            <v>HTJA030052</v>
          </cell>
          <cell r="E19" t="str">
            <v>00806342</v>
          </cell>
          <cell r="F19" t="str">
            <v>AC-2900i VW</v>
          </cell>
          <cell r="G19">
            <v>50000</v>
          </cell>
          <cell r="H19" t="str">
            <v>Nacional</v>
          </cell>
          <cell r="I19">
            <v>8</v>
          </cell>
          <cell r="J19" t="str">
            <v>STD</v>
          </cell>
          <cell r="L19">
            <v>23450.400000000001</v>
          </cell>
          <cell r="M19">
            <v>1019.5826086956522</v>
          </cell>
          <cell r="O19" t="str">
            <v>TUERCA DERECHA DE SUJECION DE PORTA HTA.</v>
          </cell>
        </row>
        <row r="20">
          <cell r="D20" t="str">
            <v>HTJA030052</v>
          </cell>
          <cell r="E20" t="str">
            <v>7870050221</v>
          </cell>
          <cell r="F20" t="str">
            <v>UF-3400 PQ-35 VW</v>
          </cell>
          <cell r="G20">
            <v>50000</v>
          </cell>
          <cell r="H20" t="str">
            <v>Nacional</v>
          </cell>
          <cell r="I20">
            <v>8</v>
          </cell>
          <cell r="J20" t="str">
            <v>STD</v>
          </cell>
          <cell r="L20">
            <v>45592.200000000012</v>
          </cell>
          <cell r="M20">
            <v>1982.2695652173918</v>
          </cell>
          <cell r="O20" t="str">
            <v>TUERCA DERECHA DE SUJECION DE PORTA HTA.</v>
          </cell>
        </row>
        <row r="21">
          <cell r="D21" t="str">
            <v>HTJA030053</v>
          </cell>
          <cell r="E21" t="str">
            <v>10019426</v>
          </cell>
          <cell r="F21" t="str">
            <v>AC-1500i Honda 2NX / GMT</v>
          </cell>
          <cell r="G21">
            <v>50000</v>
          </cell>
          <cell r="H21" t="str">
            <v>Nacional</v>
          </cell>
          <cell r="I21">
            <v>8</v>
          </cell>
          <cell r="J21" t="str">
            <v>STD</v>
          </cell>
          <cell r="L21">
            <v>32759.000000000004</v>
          </cell>
          <cell r="M21">
            <v>1424.3043478260872</v>
          </cell>
          <cell r="O21" t="str">
            <v>TUERCA IZQUIERDA DE SUJECION DE PORTA HTA.</v>
          </cell>
        </row>
        <row r="22">
          <cell r="D22" t="str">
            <v>HTJA030053</v>
          </cell>
          <cell r="E22" t="str">
            <v>7479050219</v>
          </cell>
          <cell r="F22" t="str">
            <v>AC-1700i FORD</v>
          </cell>
          <cell r="G22">
            <v>50000</v>
          </cell>
          <cell r="H22" t="str">
            <v>Nacional</v>
          </cell>
          <cell r="I22">
            <v>8</v>
          </cell>
          <cell r="J22" t="str">
            <v>STD</v>
          </cell>
          <cell r="L22">
            <v>38420.799999999996</v>
          </cell>
          <cell r="M22">
            <v>1670.4695652173912</v>
          </cell>
          <cell r="O22" t="str">
            <v>TUERCA IZQUIERDA DE SUJECION DE PORTA HTA.</v>
          </cell>
        </row>
        <row r="23">
          <cell r="D23" t="str">
            <v>HTJA030053</v>
          </cell>
          <cell r="E23" t="str">
            <v>00806342</v>
          </cell>
          <cell r="F23" t="str">
            <v>AC-2900i VW</v>
          </cell>
          <cell r="G23">
            <v>50000</v>
          </cell>
          <cell r="H23" t="str">
            <v>Nacional</v>
          </cell>
          <cell r="I23">
            <v>8</v>
          </cell>
          <cell r="J23" t="str">
            <v>STD</v>
          </cell>
          <cell r="L23">
            <v>23450.400000000001</v>
          </cell>
          <cell r="M23">
            <v>1019.5826086956522</v>
          </cell>
          <cell r="O23" t="str">
            <v>TUERCA IZQUIERDA DE SUJECION DE PORTA HTA.</v>
          </cell>
        </row>
        <row r="24">
          <cell r="D24" t="str">
            <v>HTJA030053</v>
          </cell>
          <cell r="E24" t="str">
            <v>7870050221</v>
          </cell>
          <cell r="F24" t="str">
            <v>UF-3400 PQ-35 VW</v>
          </cell>
          <cell r="G24">
            <v>50000</v>
          </cell>
          <cell r="H24" t="str">
            <v>Nacional</v>
          </cell>
          <cell r="I24">
            <v>8</v>
          </cell>
          <cell r="J24" t="str">
            <v>STD</v>
          </cell>
          <cell r="L24">
            <v>45592.200000000012</v>
          </cell>
          <cell r="M24">
            <v>1982.2695652173918</v>
          </cell>
          <cell r="O24" t="str">
            <v>TUERCA IZQUIERDA DE SUJECION DE PORTA HTA.</v>
          </cell>
        </row>
        <row r="25">
          <cell r="D25" t="str">
            <v>HTJA030078</v>
          </cell>
          <cell r="E25" t="str">
            <v>10019426</v>
          </cell>
          <cell r="F25" t="str">
            <v>AC-1500i Honda 2NX / GMT</v>
          </cell>
          <cell r="G25">
            <v>500000</v>
          </cell>
          <cell r="H25" t="str">
            <v>Nacional</v>
          </cell>
          <cell r="I25">
            <v>15</v>
          </cell>
          <cell r="J25" t="str">
            <v>STD</v>
          </cell>
          <cell r="L25">
            <v>32759.000000000004</v>
          </cell>
          <cell r="M25">
            <v>1424.3043478260872</v>
          </cell>
          <cell r="O25" t="str">
            <v>GUIA CORREDERA</v>
          </cell>
        </row>
        <row r="26">
          <cell r="D26" t="str">
            <v>HTJA030078</v>
          </cell>
          <cell r="E26" t="str">
            <v>7479050219</v>
          </cell>
          <cell r="F26" t="str">
            <v>AC-1700i FORD</v>
          </cell>
          <cell r="G26">
            <v>500000</v>
          </cell>
          <cell r="H26" t="str">
            <v>Nacional</v>
          </cell>
          <cell r="I26">
            <v>15</v>
          </cell>
          <cell r="J26" t="str">
            <v>STD</v>
          </cell>
          <cell r="L26">
            <v>38420.799999999996</v>
          </cell>
          <cell r="M26">
            <v>1670.4695652173912</v>
          </cell>
          <cell r="O26" t="str">
            <v>GUIA CORREDERA</v>
          </cell>
        </row>
        <row r="27">
          <cell r="D27" t="str">
            <v>HTJA030078</v>
          </cell>
          <cell r="E27" t="str">
            <v>00806342</v>
          </cell>
          <cell r="F27" t="str">
            <v>AC-2900i VW</v>
          </cell>
          <cell r="G27">
            <v>500000</v>
          </cell>
          <cell r="H27" t="str">
            <v>Nacional</v>
          </cell>
          <cell r="I27">
            <v>15</v>
          </cell>
          <cell r="J27" t="str">
            <v>STD</v>
          </cell>
          <cell r="L27">
            <v>23450.400000000001</v>
          </cell>
          <cell r="M27">
            <v>1019.5826086956522</v>
          </cell>
          <cell r="O27" t="str">
            <v>GUIA CORREDERA</v>
          </cell>
        </row>
        <row r="28">
          <cell r="D28" t="str">
            <v>HTJA030078</v>
          </cell>
          <cell r="E28" t="str">
            <v>7870050221</v>
          </cell>
          <cell r="F28" t="str">
            <v>UF-3400 PQ-35 VW</v>
          </cell>
          <cell r="G28">
            <v>500000</v>
          </cell>
          <cell r="H28" t="str">
            <v>Nacional</v>
          </cell>
          <cell r="I28">
            <v>15</v>
          </cell>
          <cell r="J28" t="str">
            <v>STD</v>
          </cell>
          <cell r="L28">
            <v>45592.200000000012</v>
          </cell>
          <cell r="M28">
            <v>1982.2695652173918</v>
          </cell>
          <cell r="O28" t="str">
            <v>GUIA CORREDERA</v>
          </cell>
        </row>
        <row r="29">
          <cell r="D29" t="str">
            <v>HTJA030080</v>
          </cell>
          <cell r="E29" t="str">
            <v>7479050219</v>
          </cell>
          <cell r="F29" t="str">
            <v>AC-1700i FORD</v>
          </cell>
          <cell r="G29">
            <v>40000</v>
          </cell>
          <cell r="H29" t="str">
            <v>Nacional</v>
          </cell>
          <cell r="I29">
            <v>7</v>
          </cell>
          <cell r="J29" t="str">
            <v>AC-1700i</v>
          </cell>
          <cell r="L29">
            <v>38420.799999999996</v>
          </cell>
          <cell r="M29">
            <v>1670.4695652173912</v>
          </cell>
          <cell r="O29" t="str">
            <v>Mordazas</v>
          </cell>
        </row>
        <row r="30">
          <cell r="D30" t="str">
            <v>HTJA030085</v>
          </cell>
          <cell r="E30" t="str">
            <v>10019426</v>
          </cell>
          <cell r="F30" t="str">
            <v>AC-1500i Honda 2NX / GMT</v>
          </cell>
          <cell r="G30">
            <v>500000</v>
          </cell>
          <cell r="H30" t="str">
            <v>Nacional</v>
          </cell>
          <cell r="I30">
            <v>15</v>
          </cell>
          <cell r="J30" t="str">
            <v>STD</v>
          </cell>
          <cell r="L30">
            <v>32759.000000000004</v>
          </cell>
          <cell r="M30">
            <v>1424.3043478260872</v>
          </cell>
          <cell r="O30" t="str">
            <v>TAPA DE EMBOLO</v>
          </cell>
        </row>
        <row r="31">
          <cell r="D31" t="str">
            <v>HTJA030085</v>
          </cell>
          <cell r="E31" t="str">
            <v>7479050219</v>
          </cell>
          <cell r="F31" t="str">
            <v>AC-1700i FORD</v>
          </cell>
          <cell r="G31">
            <v>500000</v>
          </cell>
          <cell r="H31" t="str">
            <v>Nacional</v>
          </cell>
          <cell r="I31">
            <v>15</v>
          </cell>
          <cell r="J31" t="str">
            <v>STD</v>
          </cell>
          <cell r="L31">
            <v>38420.799999999996</v>
          </cell>
          <cell r="M31">
            <v>1670.4695652173912</v>
          </cell>
          <cell r="O31" t="str">
            <v>TAPA DE EMBOLO</v>
          </cell>
        </row>
        <row r="32">
          <cell r="D32" t="str">
            <v>HTJA030085</v>
          </cell>
          <cell r="E32" t="str">
            <v>00806342</v>
          </cell>
          <cell r="F32" t="str">
            <v>AC-2900i VW</v>
          </cell>
          <cell r="G32">
            <v>500000</v>
          </cell>
          <cell r="H32" t="str">
            <v>Nacional</v>
          </cell>
          <cell r="I32">
            <v>15</v>
          </cell>
          <cell r="J32" t="str">
            <v>STD</v>
          </cell>
          <cell r="L32">
            <v>23450.400000000001</v>
          </cell>
          <cell r="M32">
            <v>1019.5826086956522</v>
          </cell>
          <cell r="O32" t="str">
            <v>TAPA DE EMBOLO</v>
          </cell>
        </row>
        <row r="33">
          <cell r="D33" t="str">
            <v>HTJA030085</v>
          </cell>
          <cell r="E33" t="str">
            <v>7870050221</v>
          </cell>
          <cell r="F33" t="str">
            <v>UF-3400 PQ-35 VW</v>
          </cell>
          <cell r="G33">
            <v>500000</v>
          </cell>
          <cell r="H33" t="str">
            <v>Nacional</v>
          </cell>
          <cell r="I33">
            <v>15</v>
          </cell>
          <cell r="J33" t="str">
            <v>STD</v>
          </cell>
          <cell r="L33">
            <v>45592.200000000012</v>
          </cell>
          <cell r="M33">
            <v>1982.2695652173918</v>
          </cell>
          <cell r="O33" t="str">
            <v>TAPA DE EMBOLO</v>
          </cell>
        </row>
        <row r="34">
          <cell r="D34" t="str">
            <v>HTJA030087</v>
          </cell>
          <cell r="E34" t="str">
            <v>10019426</v>
          </cell>
          <cell r="F34" t="str">
            <v>AC-1500i Honda 2NX / GMT</v>
          </cell>
          <cell r="G34">
            <v>100000</v>
          </cell>
          <cell r="H34" t="str">
            <v>Nacional</v>
          </cell>
          <cell r="I34">
            <v>10</v>
          </cell>
          <cell r="J34" t="str">
            <v>STD</v>
          </cell>
          <cell r="L34">
            <v>32759.000000000004</v>
          </cell>
          <cell r="M34">
            <v>1424.3043478260872</v>
          </cell>
          <cell r="O34" t="str">
            <v>TORNILLO DE ARRASTRE</v>
          </cell>
        </row>
        <row r="35">
          <cell r="D35" t="str">
            <v>HTJA030087</v>
          </cell>
          <cell r="E35" t="str">
            <v>7479050219</v>
          </cell>
          <cell r="F35" t="str">
            <v>AC-1700i FORD</v>
          </cell>
          <cell r="G35">
            <v>100000</v>
          </cell>
          <cell r="H35" t="str">
            <v>Nacional</v>
          </cell>
          <cell r="I35">
            <v>10</v>
          </cell>
          <cell r="J35" t="str">
            <v>STD</v>
          </cell>
          <cell r="L35">
            <v>38420.799999999996</v>
          </cell>
          <cell r="M35">
            <v>1670.4695652173912</v>
          </cell>
          <cell r="O35" t="str">
            <v>TORNILLO DE ARRASTRE</v>
          </cell>
        </row>
        <row r="36">
          <cell r="D36" t="str">
            <v>HTJA030087</v>
          </cell>
          <cell r="E36" t="str">
            <v>00806342</v>
          </cell>
          <cell r="F36" t="str">
            <v>AC-2900i VW</v>
          </cell>
          <cell r="G36">
            <v>100000</v>
          </cell>
          <cell r="H36" t="str">
            <v>Nacional</v>
          </cell>
          <cell r="I36">
            <v>10</v>
          </cell>
          <cell r="J36" t="str">
            <v>STD</v>
          </cell>
          <cell r="L36">
            <v>23450.400000000001</v>
          </cell>
          <cell r="M36">
            <v>1019.5826086956522</v>
          </cell>
          <cell r="O36" t="str">
            <v>TORNILLO DE ARRASTRE</v>
          </cell>
        </row>
        <row r="37">
          <cell r="D37" t="str">
            <v>HTJA030087</v>
          </cell>
          <cell r="E37" t="str">
            <v>7870050221</v>
          </cell>
          <cell r="F37" t="str">
            <v>UF-3400 PQ-35 VW</v>
          </cell>
          <cell r="G37">
            <v>100000</v>
          </cell>
          <cell r="H37" t="str">
            <v>Nacional</v>
          </cell>
          <cell r="I37">
            <v>10</v>
          </cell>
          <cell r="J37" t="str">
            <v>STD</v>
          </cell>
          <cell r="L37">
            <v>45592.200000000012</v>
          </cell>
          <cell r="M37">
            <v>1982.2695652173918</v>
          </cell>
          <cell r="O37" t="str">
            <v>TORNILLO DE ARRASTRE</v>
          </cell>
        </row>
        <row r="38">
          <cell r="D38" t="str">
            <v>HTJA030098</v>
          </cell>
          <cell r="E38" t="str">
            <v>10019426</v>
          </cell>
          <cell r="F38" t="str">
            <v>AC-1500i Honda 2NX / GMT</v>
          </cell>
          <cell r="G38">
            <v>100000</v>
          </cell>
          <cell r="H38" t="str">
            <v>Nacional</v>
          </cell>
          <cell r="I38">
            <v>10</v>
          </cell>
          <cell r="J38" t="str">
            <v>STD</v>
          </cell>
          <cell r="L38">
            <v>32759.000000000004</v>
          </cell>
          <cell r="M38">
            <v>1424.3043478260872</v>
          </cell>
          <cell r="O38" t="str">
            <v>TOPE DE PUISTON DE CARGA</v>
          </cell>
        </row>
        <row r="39">
          <cell r="D39" t="str">
            <v>HTJA030098</v>
          </cell>
          <cell r="E39" t="str">
            <v>7479050219</v>
          </cell>
          <cell r="F39" t="str">
            <v>AC-1700i FORD</v>
          </cell>
          <cell r="G39">
            <v>100000</v>
          </cell>
          <cell r="H39" t="str">
            <v>Nacional</v>
          </cell>
          <cell r="I39">
            <v>10</v>
          </cell>
          <cell r="J39" t="str">
            <v>STD</v>
          </cell>
          <cell r="L39">
            <v>38420.799999999996</v>
          </cell>
          <cell r="M39">
            <v>1670.4695652173912</v>
          </cell>
          <cell r="O39" t="str">
            <v>TOPE DE PUISTON DE CARGA</v>
          </cell>
        </row>
        <row r="40">
          <cell r="D40" t="str">
            <v>HTJA030098</v>
          </cell>
          <cell r="E40" t="str">
            <v>00806342</v>
          </cell>
          <cell r="F40" t="str">
            <v>AC-2900i VW</v>
          </cell>
          <cell r="G40">
            <v>100000</v>
          </cell>
          <cell r="H40" t="str">
            <v>Nacional</v>
          </cell>
          <cell r="I40">
            <v>10</v>
          </cell>
          <cell r="J40" t="str">
            <v>STD</v>
          </cell>
          <cell r="L40">
            <v>23450.400000000001</v>
          </cell>
          <cell r="M40">
            <v>1019.5826086956522</v>
          </cell>
          <cell r="O40" t="str">
            <v>TOPE DE PUISTON DE CARGA</v>
          </cell>
        </row>
        <row r="41">
          <cell r="D41" t="str">
            <v>HTJA030098</v>
          </cell>
          <cell r="E41" t="str">
            <v>7870050221</v>
          </cell>
          <cell r="F41" t="str">
            <v>UF-3400 PQ-35 VW</v>
          </cell>
          <cell r="G41">
            <v>100000</v>
          </cell>
          <cell r="H41" t="str">
            <v>Nacional</v>
          </cell>
          <cell r="I41">
            <v>10</v>
          </cell>
          <cell r="J41" t="str">
            <v>STD</v>
          </cell>
          <cell r="L41">
            <v>45592.200000000012</v>
          </cell>
          <cell r="M41">
            <v>1982.2695652173918</v>
          </cell>
          <cell r="O41" t="str">
            <v>TOPE DE PUISTON DE CARGA</v>
          </cell>
        </row>
        <row r="42">
          <cell r="D42" t="str">
            <v>HTJA030100</v>
          </cell>
          <cell r="E42" t="str">
            <v>10019477T</v>
          </cell>
          <cell r="F42" t="str">
            <v xml:space="preserve"> AC 3300 GMX 001</v>
          </cell>
          <cell r="G42">
            <v>40000</v>
          </cell>
          <cell r="H42" t="str">
            <v>Nacional</v>
          </cell>
          <cell r="I42">
            <v>15</v>
          </cell>
          <cell r="J42" t="str">
            <v>AC 3300i</v>
          </cell>
          <cell r="L42">
            <v>0</v>
          </cell>
          <cell r="M42">
            <v>0</v>
          </cell>
          <cell r="O42" t="str">
            <v>MORDAZA</v>
          </cell>
        </row>
        <row r="43">
          <cell r="D43" t="str">
            <v>HTJA030115</v>
          </cell>
          <cell r="E43" t="str">
            <v>10009621</v>
          </cell>
          <cell r="F43" t="str">
            <v>WD  UF-4600i</v>
          </cell>
          <cell r="G43">
            <v>40000</v>
          </cell>
          <cell r="H43" t="str">
            <v>Nacional</v>
          </cell>
          <cell r="I43">
            <v>15</v>
          </cell>
          <cell r="J43" t="str">
            <v>UF-4600</v>
          </cell>
          <cell r="L43">
            <v>33932.483034337194</v>
          </cell>
          <cell r="M43">
            <v>1475.3253493190084</v>
          </cell>
          <cell r="O43" t="str">
            <v>MORDAZA</v>
          </cell>
        </row>
        <row r="44">
          <cell r="D44" t="str">
            <v>HTJA030120</v>
          </cell>
          <cell r="E44" t="str">
            <v>00806769V</v>
          </cell>
          <cell r="F44" t="str">
            <v>WD  UF-3700i</v>
          </cell>
          <cell r="G44">
            <v>40000</v>
          </cell>
          <cell r="H44" t="str">
            <v>Nacional</v>
          </cell>
          <cell r="I44">
            <v>15</v>
          </cell>
          <cell r="J44" t="str">
            <v>UF-3700</v>
          </cell>
          <cell r="L44">
            <v>26461.240903134531</v>
          </cell>
          <cell r="M44">
            <v>1150.4887349188925</v>
          </cell>
          <cell r="O44" t="str">
            <v>MORDAZA</v>
          </cell>
        </row>
        <row r="45">
          <cell r="D45" t="str">
            <v>HTJA030156</v>
          </cell>
          <cell r="E45" t="str">
            <v>00806342</v>
          </cell>
          <cell r="F45" t="str">
            <v>AC-2900i VW</v>
          </cell>
          <cell r="G45">
            <v>40000</v>
          </cell>
          <cell r="H45" t="str">
            <v>Nacional</v>
          </cell>
          <cell r="I45">
            <v>7</v>
          </cell>
          <cell r="J45" t="str">
            <v>AC-2900i</v>
          </cell>
          <cell r="L45">
            <v>23450.400000000001</v>
          </cell>
          <cell r="M45">
            <v>1019.5826086956522</v>
          </cell>
          <cell r="O45" t="str">
            <v>Mordazas</v>
          </cell>
        </row>
        <row r="46">
          <cell r="D46" t="str">
            <v>HTJA030159</v>
          </cell>
          <cell r="E46" t="str">
            <v>10019426</v>
          </cell>
          <cell r="F46" t="str">
            <v>AC-1500i Honda 2NX / GMT</v>
          </cell>
          <cell r="G46">
            <v>40000</v>
          </cell>
          <cell r="H46" t="str">
            <v>Nacional</v>
          </cell>
          <cell r="I46">
            <v>15</v>
          </cell>
          <cell r="J46" t="str">
            <v>AC-1500i</v>
          </cell>
          <cell r="L46">
            <v>32759.000000000004</v>
          </cell>
          <cell r="M46">
            <v>1424.3043478260872</v>
          </cell>
          <cell r="O46" t="str">
            <v>Mordazas Robot</v>
          </cell>
        </row>
        <row r="47">
          <cell r="D47" t="str">
            <v>HTJA030159</v>
          </cell>
          <cell r="E47" t="str">
            <v>7479050219</v>
          </cell>
          <cell r="F47" t="str">
            <v>AC-1700i FORD</v>
          </cell>
          <cell r="G47">
            <v>40000</v>
          </cell>
          <cell r="H47" t="str">
            <v>Nacional</v>
          </cell>
          <cell r="I47">
            <v>15</v>
          </cell>
          <cell r="J47" t="str">
            <v>AC-1700i</v>
          </cell>
          <cell r="L47">
            <v>38420.799999999996</v>
          </cell>
          <cell r="M47">
            <v>1670.4695652173912</v>
          </cell>
          <cell r="O47" t="str">
            <v>Mordazas Robot</v>
          </cell>
        </row>
        <row r="48">
          <cell r="D48" t="str">
            <v>HTJA030160</v>
          </cell>
          <cell r="E48" t="str">
            <v>7870050221</v>
          </cell>
          <cell r="F48" t="str">
            <v>UF-3400 PQ-35 VW</v>
          </cell>
          <cell r="G48">
            <v>40000</v>
          </cell>
          <cell r="H48" t="str">
            <v>Nacional</v>
          </cell>
          <cell r="I48">
            <v>15</v>
          </cell>
          <cell r="J48" t="str">
            <v>UF-3400</v>
          </cell>
          <cell r="L48">
            <v>45592.200000000012</v>
          </cell>
          <cell r="M48">
            <v>1982.2695652173918</v>
          </cell>
          <cell r="O48" t="str">
            <v>Mordazas Robot</v>
          </cell>
        </row>
        <row r="49">
          <cell r="D49" t="str">
            <v>HTJA030172</v>
          </cell>
          <cell r="E49" t="str">
            <v>00806342</v>
          </cell>
          <cell r="F49" t="str">
            <v>AC-2900i VW</v>
          </cell>
          <cell r="G49">
            <v>40000</v>
          </cell>
          <cell r="H49" t="str">
            <v>Nacional</v>
          </cell>
          <cell r="I49">
            <v>15</v>
          </cell>
          <cell r="J49" t="str">
            <v>AC-2900i</v>
          </cell>
          <cell r="L49">
            <v>23450.400000000001</v>
          </cell>
          <cell r="M49">
            <v>1019.5826086956522</v>
          </cell>
          <cell r="O49" t="str">
            <v>Mordazas Robot</v>
          </cell>
        </row>
        <row r="50">
          <cell r="D50" t="str">
            <v>HTJA030180</v>
          </cell>
          <cell r="E50" t="str">
            <v>10019426</v>
          </cell>
          <cell r="F50" t="str">
            <v>AC-1500i Honda 2NX / GMT</v>
          </cell>
          <cell r="G50">
            <v>500000</v>
          </cell>
          <cell r="H50" t="str">
            <v>Nacional</v>
          </cell>
          <cell r="I50">
            <v>15</v>
          </cell>
          <cell r="J50" t="str">
            <v>STD</v>
          </cell>
          <cell r="L50">
            <v>32759.000000000004</v>
          </cell>
          <cell r="M50">
            <v>1424.3043478260872</v>
          </cell>
          <cell r="O50" t="str">
            <v>TORNILLO DE ARRASTRE</v>
          </cell>
        </row>
        <row r="51">
          <cell r="D51" t="str">
            <v>HTJA030180</v>
          </cell>
          <cell r="E51" t="str">
            <v>7479050219</v>
          </cell>
          <cell r="F51" t="str">
            <v>AC-1700i FORD</v>
          </cell>
          <cell r="G51">
            <v>500000</v>
          </cell>
          <cell r="H51" t="str">
            <v>Nacional</v>
          </cell>
          <cell r="I51">
            <v>15</v>
          </cell>
          <cell r="J51" t="str">
            <v>STD</v>
          </cell>
          <cell r="L51">
            <v>38420.799999999996</v>
          </cell>
          <cell r="M51">
            <v>1670.4695652173912</v>
          </cell>
          <cell r="O51" t="str">
            <v>TORNILLO DE ARRASTRE</v>
          </cell>
        </row>
        <row r="52">
          <cell r="D52" t="str">
            <v>HTJA030180</v>
          </cell>
          <cell r="E52" t="str">
            <v>00806342</v>
          </cell>
          <cell r="F52" t="str">
            <v>AC-2900i VW</v>
          </cell>
          <cell r="G52">
            <v>500000</v>
          </cell>
          <cell r="H52" t="str">
            <v>Nacional</v>
          </cell>
          <cell r="I52">
            <v>15</v>
          </cell>
          <cell r="J52" t="str">
            <v>STD</v>
          </cell>
          <cell r="L52">
            <v>23450.400000000001</v>
          </cell>
          <cell r="M52">
            <v>1019.5826086956522</v>
          </cell>
          <cell r="O52" t="str">
            <v>TORNILLO DE ARRASTRE</v>
          </cell>
        </row>
        <row r="53">
          <cell r="D53" t="str">
            <v>HTJA030180</v>
          </cell>
          <cell r="E53" t="str">
            <v>7870050221</v>
          </cell>
          <cell r="F53" t="str">
            <v>UF-3400 PQ-35 VW</v>
          </cell>
          <cell r="G53">
            <v>500000</v>
          </cell>
          <cell r="H53" t="str">
            <v>Nacional</v>
          </cell>
          <cell r="I53">
            <v>15</v>
          </cell>
          <cell r="J53" t="str">
            <v>STD</v>
          </cell>
          <cell r="L53">
            <v>45592.200000000012</v>
          </cell>
          <cell r="M53">
            <v>1982.2695652173918</v>
          </cell>
          <cell r="O53" t="str">
            <v>TORNILLO DE ARRASTRE</v>
          </cell>
        </row>
        <row r="54">
          <cell r="D54" t="str">
            <v>HTJA030182</v>
          </cell>
          <cell r="E54" t="str">
            <v>10019426</v>
          </cell>
          <cell r="F54" t="str">
            <v>AC-1500i Honda 2NX / GMT</v>
          </cell>
          <cell r="G54">
            <v>500000</v>
          </cell>
          <cell r="H54" t="str">
            <v>Nacional</v>
          </cell>
          <cell r="I54">
            <v>15</v>
          </cell>
          <cell r="J54" t="str">
            <v>STD</v>
          </cell>
          <cell r="L54">
            <v>32759.000000000004</v>
          </cell>
          <cell r="M54">
            <v>1424.3043478260872</v>
          </cell>
          <cell r="O54" t="str">
            <v>EMBOLO DE CHUCK</v>
          </cell>
        </row>
        <row r="55">
          <cell r="D55" t="str">
            <v>HTJA030182</v>
          </cell>
          <cell r="E55" t="str">
            <v>7479050219</v>
          </cell>
          <cell r="F55" t="str">
            <v>AC-1700i FORD</v>
          </cell>
          <cell r="G55">
            <v>500000</v>
          </cell>
          <cell r="H55" t="str">
            <v>Nacional</v>
          </cell>
          <cell r="I55">
            <v>15</v>
          </cell>
          <cell r="J55" t="str">
            <v>STD</v>
          </cell>
          <cell r="L55">
            <v>38420.799999999996</v>
          </cell>
          <cell r="M55">
            <v>1670.4695652173912</v>
          </cell>
          <cell r="O55" t="str">
            <v>EMBOLO DE CHUCK</v>
          </cell>
        </row>
        <row r="56">
          <cell r="D56" t="str">
            <v>HTJA030182</v>
          </cell>
          <cell r="E56" t="str">
            <v>00806342</v>
          </cell>
          <cell r="F56" t="str">
            <v>AC-2900i VW</v>
          </cell>
          <cell r="G56">
            <v>500000</v>
          </cell>
          <cell r="H56" t="str">
            <v>Nacional</v>
          </cell>
          <cell r="I56">
            <v>15</v>
          </cell>
          <cell r="J56" t="str">
            <v>STD</v>
          </cell>
          <cell r="L56">
            <v>23450.400000000001</v>
          </cell>
          <cell r="M56">
            <v>1019.5826086956522</v>
          </cell>
          <cell r="O56" t="str">
            <v>EMBOLO DE CHUCK</v>
          </cell>
        </row>
        <row r="57">
          <cell r="D57" t="str">
            <v>HTJA030182</v>
          </cell>
          <cell r="E57" t="str">
            <v>7870050221</v>
          </cell>
          <cell r="F57" t="str">
            <v>UF-3400 PQ-35 VW</v>
          </cell>
          <cell r="G57">
            <v>500000</v>
          </cell>
          <cell r="H57" t="str">
            <v>Nacional</v>
          </cell>
          <cell r="I57">
            <v>15</v>
          </cell>
          <cell r="J57" t="str">
            <v>STD</v>
          </cell>
          <cell r="L57">
            <v>45592.200000000012</v>
          </cell>
          <cell r="M57">
            <v>1982.2695652173918</v>
          </cell>
          <cell r="O57" t="str">
            <v>EMBOLO DE CHUCK</v>
          </cell>
        </row>
        <row r="58">
          <cell r="D58" t="str">
            <v>HTJA020001</v>
          </cell>
          <cell r="E58" t="str">
            <v>10019426</v>
          </cell>
          <cell r="F58" t="str">
            <v>AC-1500i Honda 2NX / GMT</v>
          </cell>
          <cell r="G58">
            <v>30000</v>
          </cell>
          <cell r="H58" t="str">
            <v>Nacional</v>
          </cell>
          <cell r="I58">
            <v>21</v>
          </cell>
          <cell r="J58" t="str">
            <v>AC-1500i</v>
          </cell>
          <cell r="L58">
            <v>32759.000000000004</v>
          </cell>
          <cell r="M58">
            <v>1424.3043478260872</v>
          </cell>
          <cell r="O58" t="str">
            <v>Dados</v>
          </cell>
        </row>
        <row r="59">
          <cell r="D59" t="str">
            <v>HTJA020002</v>
          </cell>
          <cell r="E59" t="str">
            <v>10019426</v>
          </cell>
          <cell r="F59" t="str">
            <v>AC-1500i Honda 2NX / GMT</v>
          </cell>
          <cell r="G59">
            <v>25000</v>
          </cell>
          <cell r="H59" t="str">
            <v>Nacional</v>
          </cell>
          <cell r="I59">
            <v>7</v>
          </cell>
          <cell r="J59" t="str">
            <v>AC-1500i</v>
          </cell>
          <cell r="L59">
            <v>32759.000000000004</v>
          </cell>
          <cell r="M59">
            <v>1424.3043478260872</v>
          </cell>
          <cell r="O59" t="str">
            <v>Botador Superior</v>
          </cell>
        </row>
        <row r="60">
          <cell r="D60" t="str">
            <v>HTJA020003</v>
          </cell>
          <cell r="E60" t="str">
            <v>10019426</v>
          </cell>
          <cell r="F60" t="str">
            <v>AC-1500i Honda 2NX / GMT</v>
          </cell>
          <cell r="G60">
            <v>25000</v>
          </cell>
          <cell r="H60" t="str">
            <v>Nacional</v>
          </cell>
          <cell r="I60">
            <v>7</v>
          </cell>
          <cell r="J60" t="str">
            <v>AC-1500i</v>
          </cell>
          <cell r="L60">
            <v>32759.000000000004</v>
          </cell>
          <cell r="M60">
            <v>1424.3043478260872</v>
          </cell>
          <cell r="O60" t="str">
            <v>Botador Inferior</v>
          </cell>
        </row>
        <row r="61">
          <cell r="D61" t="str">
            <v>HTJA020004</v>
          </cell>
          <cell r="E61" t="str">
            <v>7479050219</v>
          </cell>
          <cell r="F61" t="str">
            <v>AC-1700i FORD</v>
          </cell>
          <cell r="G61">
            <v>30000</v>
          </cell>
          <cell r="H61" t="str">
            <v>Nacional</v>
          </cell>
          <cell r="I61">
            <v>21</v>
          </cell>
          <cell r="J61" t="str">
            <v>AC-1700i</v>
          </cell>
          <cell r="L61">
            <v>38420.799999999996</v>
          </cell>
          <cell r="M61">
            <v>1670.4695652173912</v>
          </cell>
          <cell r="O61" t="str">
            <v>Dados</v>
          </cell>
        </row>
        <row r="62">
          <cell r="D62" t="str">
            <v>HTJA020005</v>
          </cell>
          <cell r="E62" t="str">
            <v>7479050219</v>
          </cell>
          <cell r="F62" t="str">
            <v>AC-1700i FORD</v>
          </cell>
          <cell r="G62">
            <v>25000</v>
          </cell>
          <cell r="H62" t="str">
            <v>Nacional</v>
          </cell>
          <cell r="I62">
            <v>7</v>
          </cell>
          <cell r="J62" t="str">
            <v>AC-1700i</v>
          </cell>
          <cell r="L62">
            <v>38420.799999999996</v>
          </cell>
          <cell r="M62">
            <v>1670.4695652173912</v>
          </cell>
          <cell r="O62" t="str">
            <v>Botador Superior</v>
          </cell>
        </row>
        <row r="63">
          <cell r="D63" t="str">
            <v>HTJA020006</v>
          </cell>
          <cell r="E63" t="str">
            <v>7479050219</v>
          </cell>
          <cell r="F63" t="str">
            <v>AC-1700i FORD</v>
          </cell>
          <cell r="G63">
            <v>25000</v>
          </cell>
          <cell r="H63" t="str">
            <v>Nacional</v>
          </cell>
          <cell r="I63">
            <v>7</v>
          </cell>
          <cell r="J63" t="str">
            <v>AC-1700i</v>
          </cell>
          <cell r="L63">
            <v>38420.799999999996</v>
          </cell>
          <cell r="M63">
            <v>1670.4695652173912</v>
          </cell>
          <cell r="O63" t="str">
            <v>Botador Inferior</v>
          </cell>
        </row>
        <row r="64">
          <cell r="D64" t="str">
            <v>HTJA020007</v>
          </cell>
          <cell r="E64" t="str">
            <v>10225400</v>
          </cell>
          <cell r="F64" t="str">
            <v>AC-1500i Honda 2NX / GMT</v>
          </cell>
          <cell r="G64">
            <v>100000</v>
          </cell>
          <cell r="H64" t="str">
            <v>Nacional</v>
          </cell>
          <cell r="I64">
            <v>15</v>
          </cell>
          <cell r="J64" t="str">
            <v>STD</v>
          </cell>
          <cell r="L64">
            <v>0</v>
          </cell>
          <cell r="M64">
            <v>0</v>
          </cell>
          <cell r="O64" t="str">
            <v>PORTA BOTADOR SUPERIOR</v>
          </cell>
        </row>
        <row r="65">
          <cell r="D65" t="str">
            <v>HTJA020007</v>
          </cell>
          <cell r="E65" t="str">
            <v>7479050219</v>
          </cell>
          <cell r="F65" t="str">
            <v>AC-1700i FORD</v>
          </cell>
          <cell r="G65">
            <v>100000</v>
          </cell>
          <cell r="H65" t="str">
            <v>Nacional</v>
          </cell>
          <cell r="I65">
            <v>15</v>
          </cell>
          <cell r="J65" t="str">
            <v>STD</v>
          </cell>
          <cell r="L65">
            <v>38420.799999999996</v>
          </cell>
          <cell r="M65">
            <v>1670.4695652173912</v>
          </cell>
          <cell r="O65" t="str">
            <v>PORTA BOTADOR SUPERIOR</v>
          </cell>
        </row>
        <row r="66">
          <cell r="D66" t="str">
            <v>HTJA020007</v>
          </cell>
          <cell r="E66" t="str">
            <v>00806342</v>
          </cell>
          <cell r="F66" t="str">
            <v>AC-2900i VW</v>
          </cell>
          <cell r="G66">
            <v>100000</v>
          </cell>
          <cell r="H66" t="str">
            <v>Nacional</v>
          </cell>
          <cell r="I66">
            <v>15</v>
          </cell>
          <cell r="J66" t="str">
            <v>STD</v>
          </cell>
          <cell r="L66">
            <v>23450.400000000001</v>
          </cell>
          <cell r="M66">
            <v>1019.5826086956522</v>
          </cell>
          <cell r="O66" t="str">
            <v>PORTA BOTADOR SUPERIOR</v>
          </cell>
        </row>
        <row r="67">
          <cell r="D67" t="str">
            <v>HTJA020007</v>
          </cell>
          <cell r="E67" t="str">
            <v>7870050221</v>
          </cell>
          <cell r="F67" t="str">
            <v>UF-3400 PQ-35 VW</v>
          </cell>
          <cell r="G67">
            <v>100000</v>
          </cell>
          <cell r="H67" t="str">
            <v>Nacional</v>
          </cell>
          <cell r="I67">
            <v>15</v>
          </cell>
          <cell r="J67" t="str">
            <v>STD</v>
          </cell>
          <cell r="L67">
            <v>45592.200000000012</v>
          </cell>
          <cell r="M67">
            <v>1982.2695652173918</v>
          </cell>
          <cell r="O67" t="str">
            <v>PORTA BOTADOR SUPERIOR</v>
          </cell>
        </row>
        <row r="68">
          <cell r="D68" t="str">
            <v>HTJA020008</v>
          </cell>
          <cell r="E68" t="str">
            <v>10225400</v>
          </cell>
          <cell r="F68" t="str">
            <v>AC-1500i Honda 2NX / GMT</v>
          </cell>
          <cell r="G68">
            <v>100000</v>
          </cell>
          <cell r="H68" t="str">
            <v>Nacional</v>
          </cell>
          <cell r="I68">
            <v>16</v>
          </cell>
          <cell r="J68" t="str">
            <v>STD</v>
          </cell>
          <cell r="L68">
            <v>0</v>
          </cell>
          <cell r="M68">
            <v>0</v>
          </cell>
          <cell r="O68" t="str">
            <v>COMPLEMENTO PORTA BOTADOR</v>
          </cell>
        </row>
        <row r="69">
          <cell r="D69" t="str">
            <v>HTJA020008</v>
          </cell>
          <cell r="E69" t="str">
            <v>7479050219</v>
          </cell>
          <cell r="F69" t="str">
            <v>AC-1700i FORD</v>
          </cell>
          <cell r="G69">
            <v>100000</v>
          </cell>
          <cell r="H69" t="str">
            <v>Nacional</v>
          </cell>
          <cell r="I69">
            <v>17</v>
          </cell>
          <cell r="J69" t="str">
            <v>STD</v>
          </cell>
          <cell r="L69">
            <v>38420.799999999996</v>
          </cell>
          <cell r="M69">
            <v>1670.4695652173912</v>
          </cell>
          <cell r="O69" t="str">
            <v>COMPLEMENTO PORTA BOTADOR</v>
          </cell>
        </row>
        <row r="70">
          <cell r="D70" t="str">
            <v>HTJA020008</v>
          </cell>
          <cell r="E70" t="str">
            <v>00806342</v>
          </cell>
          <cell r="F70" t="str">
            <v>AC-2900i VW</v>
          </cell>
          <cell r="G70">
            <v>100000</v>
          </cell>
          <cell r="H70" t="str">
            <v>Nacional</v>
          </cell>
          <cell r="I70">
            <v>18</v>
          </cell>
          <cell r="J70" t="str">
            <v>STD</v>
          </cell>
          <cell r="L70">
            <v>23450.400000000001</v>
          </cell>
          <cell r="M70">
            <v>1019.5826086956522</v>
          </cell>
          <cell r="O70" t="str">
            <v>COMPLEMENTO PORTA BOTADOR</v>
          </cell>
        </row>
        <row r="71">
          <cell r="D71" t="str">
            <v>HTJA020008</v>
          </cell>
          <cell r="E71" t="str">
            <v>7870050221</v>
          </cell>
          <cell r="F71" t="str">
            <v>UF-3400 PQ-35 VW</v>
          </cell>
          <cell r="G71">
            <v>100000</v>
          </cell>
          <cell r="H71" t="str">
            <v>Nacional</v>
          </cell>
          <cell r="I71">
            <v>19</v>
          </cell>
          <cell r="J71" t="str">
            <v>STD</v>
          </cell>
          <cell r="L71">
            <v>45592.200000000012</v>
          </cell>
          <cell r="M71">
            <v>1982.2695652173918</v>
          </cell>
          <cell r="O71" t="str">
            <v>COMPLEMENTO PORTA BOTADOR</v>
          </cell>
        </row>
        <row r="72">
          <cell r="D72" t="str">
            <v>HTJA020009</v>
          </cell>
          <cell r="E72" t="str">
            <v>10225400</v>
          </cell>
          <cell r="F72" t="str">
            <v>AC-1500i Honda 2NX / GMT</v>
          </cell>
          <cell r="G72">
            <v>500000</v>
          </cell>
          <cell r="H72" t="str">
            <v>Nacional</v>
          </cell>
          <cell r="I72">
            <v>15</v>
          </cell>
          <cell r="J72" t="str">
            <v>STD</v>
          </cell>
          <cell r="L72">
            <v>0</v>
          </cell>
          <cell r="M72">
            <v>0</v>
          </cell>
          <cell r="O72" t="str">
            <v>PINZA DE SUJECION IZQUIERDA</v>
          </cell>
        </row>
        <row r="73">
          <cell r="D73" t="str">
            <v>HTJA020009</v>
          </cell>
          <cell r="E73" t="str">
            <v>7479050219</v>
          </cell>
          <cell r="F73" t="str">
            <v>AC-1700i FORD</v>
          </cell>
          <cell r="G73">
            <v>500000</v>
          </cell>
          <cell r="H73" t="str">
            <v>Nacional</v>
          </cell>
          <cell r="I73">
            <v>15</v>
          </cell>
          <cell r="J73" t="str">
            <v>STD</v>
          </cell>
          <cell r="L73">
            <v>38420.799999999996</v>
          </cell>
          <cell r="M73">
            <v>1670.4695652173912</v>
          </cell>
          <cell r="O73" t="str">
            <v>PINZA DE SUJECION IZQUIERDA</v>
          </cell>
        </row>
        <row r="74">
          <cell r="D74" t="str">
            <v>HTJA020009</v>
          </cell>
          <cell r="E74" t="str">
            <v>00806342</v>
          </cell>
          <cell r="F74" t="str">
            <v>AC-2900i VW</v>
          </cell>
          <cell r="G74">
            <v>500000</v>
          </cell>
          <cell r="H74" t="str">
            <v>Nacional</v>
          </cell>
          <cell r="I74">
            <v>15</v>
          </cell>
          <cell r="J74" t="str">
            <v>STD</v>
          </cell>
          <cell r="L74">
            <v>23450.400000000001</v>
          </cell>
          <cell r="M74">
            <v>1019.5826086956522</v>
          </cell>
          <cell r="O74" t="str">
            <v>PINZA DE SUJECION IZQUIERDA</v>
          </cell>
        </row>
        <row r="75">
          <cell r="D75" t="str">
            <v>HTJA020009</v>
          </cell>
          <cell r="E75" t="str">
            <v>7870050221</v>
          </cell>
          <cell r="F75" t="str">
            <v>UF-3400 PQ-35 VW</v>
          </cell>
          <cell r="G75">
            <v>500000</v>
          </cell>
          <cell r="H75" t="str">
            <v>Nacional</v>
          </cell>
          <cell r="I75">
            <v>15</v>
          </cell>
          <cell r="J75" t="str">
            <v>STD</v>
          </cell>
          <cell r="L75">
            <v>45592.200000000012</v>
          </cell>
          <cell r="M75">
            <v>1982.2695652173918</v>
          </cell>
          <cell r="O75" t="str">
            <v>PINZA DE SUJECION IZQUIERDA</v>
          </cell>
        </row>
        <row r="76">
          <cell r="D76" t="str">
            <v>HTJA020010</v>
          </cell>
          <cell r="E76" t="str">
            <v>10225400</v>
          </cell>
          <cell r="F76" t="str">
            <v>AC-1500i Honda 2NX / GMT</v>
          </cell>
          <cell r="G76">
            <v>500000</v>
          </cell>
          <cell r="H76" t="str">
            <v>Nacional</v>
          </cell>
          <cell r="I76">
            <v>15</v>
          </cell>
          <cell r="J76" t="str">
            <v>STD</v>
          </cell>
          <cell r="L76">
            <v>0</v>
          </cell>
          <cell r="M76">
            <v>0</v>
          </cell>
          <cell r="O76" t="str">
            <v>MORDAZA DE SIJECION</v>
          </cell>
        </row>
        <row r="77">
          <cell r="D77" t="str">
            <v>HTJA020010</v>
          </cell>
          <cell r="E77" t="str">
            <v>7479050219</v>
          </cell>
          <cell r="F77" t="str">
            <v>AC-1700i FORD</v>
          </cell>
          <cell r="G77">
            <v>500000</v>
          </cell>
          <cell r="H77" t="str">
            <v>Nacional</v>
          </cell>
          <cell r="I77">
            <v>15</v>
          </cell>
          <cell r="J77" t="str">
            <v>STD</v>
          </cell>
          <cell r="L77">
            <v>38420.799999999996</v>
          </cell>
          <cell r="M77">
            <v>1670.4695652173912</v>
          </cell>
          <cell r="O77" t="str">
            <v>MORDAZA DE SIJECION</v>
          </cell>
        </row>
        <row r="78">
          <cell r="D78" t="str">
            <v>HTJA020010</v>
          </cell>
          <cell r="E78" t="str">
            <v>00806342</v>
          </cell>
          <cell r="F78" t="str">
            <v>AC-2900i VW</v>
          </cell>
          <cell r="G78">
            <v>500000</v>
          </cell>
          <cell r="H78" t="str">
            <v>Nacional</v>
          </cell>
          <cell r="I78">
            <v>15</v>
          </cell>
          <cell r="J78" t="str">
            <v>STD</v>
          </cell>
          <cell r="L78">
            <v>23450.400000000001</v>
          </cell>
          <cell r="M78">
            <v>1019.5826086956522</v>
          </cell>
          <cell r="O78" t="str">
            <v>MORDAZA DE SIJECION</v>
          </cell>
        </row>
        <row r="79">
          <cell r="D79" t="str">
            <v>HTJA020010</v>
          </cell>
          <cell r="E79" t="str">
            <v>7870050221</v>
          </cell>
          <cell r="F79" t="str">
            <v>UF-3400 PQ-35 VW</v>
          </cell>
          <cell r="G79">
            <v>500000</v>
          </cell>
          <cell r="H79" t="str">
            <v>Nacional</v>
          </cell>
          <cell r="I79">
            <v>15</v>
          </cell>
          <cell r="J79" t="str">
            <v>STD</v>
          </cell>
          <cell r="L79">
            <v>45592.200000000012</v>
          </cell>
          <cell r="M79">
            <v>1982.2695652173918</v>
          </cell>
          <cell r="O79" t="str">
            <v>MORDAZA DE SIJECION</v>
          </cell>
        </row>
        <row r="80">
          <cell r="D80" t="str">
            <v>HTJA020011</v>
          </cell>
          <cell r="E80" t="str">
            <v>10225400</v>
          </cell>
          <cell r="F80" t="str">
            <v>AC-1500i Honda 2NX / GMT</v>
          </cell>
          <cell r="G80">
            <v>500000</v>
          </cell>
          <cell r="H80" t="str">
            <v>Nacional</v>
          </cell>
          <cell r="I80">
            <v>15</v>
          </cell>
          <cell r="J80" t="str">
            <v>STD</v>
          </cell>
          <cell r="L80">
            <v>0</v>
          </cell>
          <cell r="M80">
            <v>0</v>
          </cell>
          <cell r="O80" t="str">
            <v>PINZA DE SUJECION DERECHA</v>
          </cell>
        </row>
        <row r="81">
          <cell r="D81" t="str">
            <v>HTJA020011</v>
          </cell>
          <cell r="E81" t="str">
            <v>7479050219</v>
          </cell>
          <cell r="F81" t="str">
            <v>AC-1700i FORD</v>
          </cell>
          <cell r="G81">
            <v>500000</v>
          </cell>
          <cell r="H81" t="str">
            <v>Nacional</v>
          </cell>
          <cell r="I81">
            <v>15</v>
          </cell>
          <cell r="J81" t="str">
            <v>STD</v>
          </cell>
          <cell r="L81">
            <v>38420.799999999996</v>
          </cell>
          <cell r="M81">
            <v>1670.4695652173912</v>
          </cell>
          <cell r="O81" t="str">
            <v>PINZA DE SUJECION DERECHA</v>
          </cell>
        </row>
        <row r="82">
          <cell r="D82" t="str">
            <v>HTJA020011</v>
          </cell>
          <cell r="E82" t="str">
            <v>00806342</v>
          </cell>
          <cell r="F82" t="str">
            <v>AC-2900i VW</v>
          </cell>
          <cell r="G82">
            <v>500000</v>
          </cell>
          <cell r="H82" t="str">
            <v>Nacional</v>
          </cell>
          <cell r="I82">
            <v>15</v>
          </cell>
          <cell r="J82" t="str">
            <v>STD</v>
          </cell>
          <cell r="L82">
            <v>23450.400000000001</v>
          </cell>
          <cell r="M82">
            <v>1019.5826086956522</v>
          </cell>
          <cell r="O82" t="str">
            <v>PINZA DE SUJECION DERECHA</v>
          </cell>
        </row>
        <row r="83">
          <cell r="D83" t="str">
            <v>HTJA020011</v>
          </cell>
          <cell r="E83" t="str">
            <v>7870050221</v>
          </cell>
          <cell r="F83" t="str">
            <v>UF-3400 PQ-35 VW</v>
          </cell>
          <cell r="G83">
            <v>500000</v>
          </cell>
          <cell r="H83" t="str">
            <v>Nacional</v>
          </cell>
          <cell r="I83">
            <v>15</v>
          </cell>
          <cell r="J83" t="str">
            <v>STD</v>
          </cell>
          <cell r="L83">
            <v>45592.200000000012</v>
          </cell>
          <cell r="M83">
            <v>1982.2695652173918</v>
          </cell>
          <cell r="O83" t="str">
            <v>PINZA DE SUJECION DERECHA</v>
          </cell>
        </row>
        <row r="84">
          <cell r="D84" t="str">
            <v>HTJA020012</v>
          </cell>
          <cell r="E84" t="str">
            <v>10225400</v>
          </cell>
          <cell r="F84" t="str">
            <v>AC-1500i Honda 2NX / GMT</v>
          </cell>
          <cell r="G84">
            <v>100000</v>
          </cell>
          <cell r="H84" t="str">
            <v>Nacional</v>
          </cell>
          <cell r="I84">
            <v>8</v>
          </cell>
          <cell r="J84" t="str">
            <v>STD</v>
          </cell>
          <cell r="L84">
            <v>0</v>
          </cell>
          <cell r="M84">
            <v>0</v>
          </cell>
          <cell r="O84" t="str">
            <v>PORTA BOTADOR INFERIOR</v>
          </cell>
        </row>
        <row r="85">
          <cell r="D85" t="str">
            <v>HTJA020012</v>
          </cell>
          <cell r="E85" t="str">
            <v>7479050219</v>
          </cell>
          <cell r="F85" t="str">
            <v>AC-1700i FORD</v>
          </cell>
          <cell r="G85">
            <v>100000</v>
          </cell>
          <cell r="H85" t="str">
            <v>Nacional</v>
          </cell>
          <cell r="I85">
            <v>8</v>
          </cell>
          <cell r="J85" t="str">
            <v>STD</v>
          </cell>
          <cell r="L85">
            <v>38420.799999999996</v>
          </cell>
          <cell r="M85">
            <v>1670.4695652173912</v>
          </cell>
          <cell r="O85" t="str">
            <v>PORTA BOTADOR INFERIOR</v>
          </cell>
        </row>
        <row r="86">
          <cell r="D86" t="str">
            <v>HTJA020012</v>
          </cell>
          <cell r="E86" t="str">
            <v>00806342</v>
          </cell>
          <cell r="F86" t="str">
            <v>AC-2900i VW</v>
          </cell>
          <cell r="G86">
            <v>100000</v>
          </cell>
          <cell r="H86" t="str">
            <v>Nacional</v>
          </cell>
          <cell r="I86">
            <v>8</v>
          </cell>
          <cell r="J86" t="str">
            <v>STD</v>
          </cell>
          <cell r="L86">
            <v>23450.400000000001</v>
          </cell>
          <cell r="M86">
            <v>1019.5826086956522</v>
          </cell>
          <cell r="O86" t="str">
            <v>PORTA BOTADOR INFERIOR</v>
          </cell>
        </row>
        <row r="87">
          <cell r="D87" t="str">
            <v>HTJA020012</v>
          </cell>
          <cell r="E87" t="str">
            <v>7870050221</v>
          </cell>
          <cell r="F87" t="str">
            <v>UF-3400 PQ-35 VW</v>
          </cell>
          <cell r="G87">
            <v>100000</v>
          </cell>
          <cell r="H87" t="str">
            <v>Nacional</v>
          </cell>
          <cell r="I87">
            <v>8</v>
          </cell>
          <cell r="J87" t="str">
            <v>STD</v>
          </cell>
          <cell r="L87">
            <v>45592.200000000012</v>
          </cell>
          <cell r="M87">
            <v>1982.2695652173918</v>
          </cell>
          <cell r="O87" t="str">
            <v>PORTA BOTADOR INFERIOR</v>
          </cell>
        </row>
        <row r="88">
          <cell r="D88" t="str">
            <v>HTJA020017</v>
          </cell>
          <cell r="E88" t="str">
            <v>7870050221</v>
          </cell>
          <cell r="F88" t="str">
            <v>UF-3400 PQ-35 VW</v>
          </cell>
          <cell r="G88">
            <v>30000</v>
          </cell>
          <cell r="H88" t="str">
            <v>Nacional</v>
          </cell>
          <cell r="I88">
            <v>21</v>
          </cell>
          <cell r="J88" t="str">
            <v>UF-3400</v>
          </cell>
          <cell r="L88">
            <v>45592.200000000012</v>
          </cell>
          <cell r="M88">
            <v>1982.2695652173918</v>
          </cell>
          <cell r="O88" t="str">
            <v>Dados</v>
          </cell>
        </row>
        <row r="89">
          <cell r="D89" t="str">
            <v>HTJA020018</v>
          </cell>
          <cell r="E89" t="str">
            <v>7870050221</v>
          </cell>
          <cell r="F89" t="str">
            <v>UF-3400 PQ-35 VW</v>
          </cell>
          <cell r="G89">
            <v>25000</v>
          </cell>
          <cell r="H89" t="str">
            <v>Nacional</v>
          </cell>
          <cell r="I89">
            <v>7</v>
          </cell>
          <cell r="J89" t="str">
            <v>UF-3400</v>
          </cell>
          <cell r="L89">
            <v>45592.200000000012</v>
          </cell>
          <cell r="M89">
            <v>1982.2695652173918</v>
          </cell>
          <cell r="O89" t="str">
            <v>Botador Superior</v>
          </cell>
        </row>
        <row r="90">
          <cell r="D90" t="str">
            <v>HTJA020019</v>
          </cell>
          <cell r="E90" t="str">
            <v>7870050221</v>
          </cell>
          <cell r="F90" t="str">
            <v>UF-3400 PQ-35 VW</v>
          </cell>
          <cell r="G90">
            <v>25000</v>
          </cell>
          <cell r="H90" t="str">
            <v>Nacional</v>
          </cell>
          <cell r="I90">
            <v>7</v>
          </cell>
          <cell r="J90" t="str">
            <v>UF-3400</v>
          </cell>
          <cell r="L90">
            <v>45592.200000000012</v>
          </cell>
          <cell r="M90">
            <v>1982.2695652173918</v>
          </cell>
          <cell r="O90" t="str">
            <v>Botador Inferior</v>
          </cell>
        </row>
        <row r="91">
          <cell r="D91" t="str">
            <v>HTJA020024</v>
          </cell>
          <cell r="E91" t="str">
            <v>10225400</v>
          </cell>
          <cell r="F91" t="str">
            <v>AC-1500i Honda 2NX / GMT</v>
          </cell>
          <cell r="G91">
            <v>50000</v>
          </cell>
          <cell r="H91" t="str">
            <v>Nacional</v>
          </cell>
          <cell r="I91">
            <v>15</v>
          </cell>
          <cell r="J91" t="str">
            <v>STD</v>
          </cell>
          <cell r="L91">
            <v>0</v>
          </cell>
          <cell r="M91">
            <v>0</v>
          </cell>
          <cell r="O91" t="str">
            <v>ARANDELA  PORTA BOTADOR</v>
          </cell>
        </row>
        <row r="92">
          <cell r="D92" t="str">
            <v>HTJA020024</v>
          </cell>
          <cell r="E92" t="str">
            <v>7479050219</v>
          </cell>
          <cell r="F92" t="str">
            <v>AC-1700i FORD</v>
          </cell>
          <cell r="G92">
            <v>50000</v>
          </cell>
          <cell r="H92" t="str">
            <v>Nacional</v>
          </cell>
          <cell r="I92">
            <v>15</v>
          </cell>
          <cell r="J92" t="str">
            <v>STD</v>
          </cell>
          <cell r="L92">
            <v>38420.799999999996</v>
          </cell>
          <cell r="M92">
            <v>1670.4695652173912</v>
          </cell>
          <cell r="O92" t="str">
            <v>ARANDELA  PORTA BOTADOR</v>
          </cell>
        </row>
        <row r="93">
          <cell r="D93" t="str">
            <v>HTJA020024</v>
          </cell>
          <cell r="E93" t="str">
            <v>00806342</v>
          </cell>
          <cell r="F93" t="str">
            <v>AC-2900i VW</v>
          </cell>
          <cell r="G93">
            <v>50000</v>
          </cell>
          <cell r="H93" t="str">
            <v>Nacional</v>
          </cell>
          <cell r="I93">
            <v>15</v>
          </cell>
          <cell r="J93" t="str">
            <v>STD</v>
          </cell>
          <cell r="L93">
            <v>23450.400000000001</v>
          </cell>
          <cell r="M93">
            <v>1019.5826086956522</v>
          </cell>
          <cell r="O93" t="str">
            <v>ARANDELA  PORTA BOTADOR</v>
          </cell>
        </row>
        <row r="94">
          <cell r="D94" t="str">
            <v>HTJA020024</v>
          </cell>
          <cell r="E94" t="str">
            <v>7870050221</v>
          </cell>
          <cell r="F94" t="str">
            <v>UF-3400 PQ-35 VW</v>
          </cell>
          <cell r="G94">
            <v>50000</v>
          </cell>
          <cell r="H94" t="str">
            <v>Nacional</v>
          </cell>
          <cell r="I94">
            <v>15</v>
          </cell>
          <cell r="J94" t="str">
            <v>STD</v>
          </cell>
          <cell r="L94">
            <v>45592.200000000012</v>
          </cell>
          <cell r="M94">
            <v>1982.2695652173918</v>
          </cell>
          <cell r="O94" t="str">
            <v>ARANDELA  PORTA BOTADOR</v>
          </cell>
        </row>
        <row r="95">
          <cell r="D95" t="str">
            <v>HTJA020025</v>
          </cell>
          <cell r="E95" t="str">
            <v>00806342</v>
          </cell>
          <cell r="F95" t="str">
            <v>AC-2900i VW</v>
          </cell>
          <cell r="G95">
            <v>30000</v>
          </cell>
          <cell r="H95" t="str">
            <v>Nacional</v>
          </cell>
          <cell r="I95">
            <v>21</v>
          </cell>
          <cell r="J95" t="str">
            <v>AC-2900i</v>
          </cell>
          <cell r="L95">
            <v>23450.400000000001</v>
          </cell>
          <cell r="M95">
            <v>1019.5826086956522</v>
          </cell>
          <cell r="O95" t="str">
            <v>Dados</v>
          </cell>
        </row>
        <row r="96">
          <cell r="D96" t="str">
            <v>HTJA020026</v>
          </cell>
          <cell r="E96" t="str">
            <v>00806342</v>
          </cell>
          <cell r="F96" t="str">
            <v>AC-2900i VW</v>
          </cell>
          <cell r="G96">
            <v>25000</v>
          </cell>
          <cell r="H96" t="str">
            <v>Nacional</v>
          </cell>
          <cell r="I96">
            <v>7</v>
          </cell>
          <cell r="J96" t="str">
            <v>AC-2900i</v>
          </cell>
          <cell r="L96">
            <v>23450.400000000001</v>
          </cell>
          <cell r="M96">
            <v>1019.5826086956522</v>
          </cell>
          <cell r="O96" t="str">
            <v>Botador Superior</v>
          </cell>
        </row>
        <row r="97">
          <cell r="D97" t="str">
            <v>HTJA020027</v>
          </cell>
          <cell r="E97" t="str">
            <v>00806342</v>
          </cell>
          <cell r="F97" t="str">
            <v>AC-2900i VW</v>
          </cell>
          <cell r="G97">
            <v>25000</v>
          </cell>
          <cell r="H97" t="str">
            <v>Nacional</v>
          </cell>
          <cell r="I97">
            <v>7</v>
          </cell>
          <cell r="J97" t="str">
            <v>AC-2900i</v>
          </cell>
          <cell r="L97">
            <v>23450.400000000001</v>
          </cell>
          <cell r="M97">
            <v>1019.5826086956522</v>
          </cell>
          <cell r="O97" t="str">
            <v>Botador Inferior</v>
          </cell>
        </row>
        <row r="98">
          <cell r="D98" t="str">
            <v>HTJA020046</v>
          </cell>
          <cell r="E98" t="str">
            <v>10225400</v>
          </cell>
          <cell r="F98" t="str">
            <v>AC-1500i Honda 2NX / GMT</v>
          </cell>
          <cell r="G98">
            <v>2000000</v>
          </cell>
          <cell r="H98" t="str">
            <v>Nacional</v>
          </cell>
          <cell r="I98">
            <v>20</v>
          </cell>
          <cell r="J98" t="str">
            <v>STD</v>
          </cell>
          <cell r="L98">
            <v>0</v>
          </cell>
          <cell r="M98">
            <v>0</v>
          </cell>
          <cell r="O98" t="str">
            <v>BUJE BRONCE</v>
          </cell>
        </row>
        <row r="99">
          <cell r="D99" t="str">
            <v>HTJA020046</v>
          </cell>
          <cell r="E99" t="str">
            <v>7479050219</v>
          </cell>
          <cell r="F99" t="str">
            <v>AC-1700i FORD</v>
          </cell>
          <cell r="G99">
            <v>2000000</v>
          </cell>
          <cell r="H99" t="str">
            <v>Nacional</v>
          </cell>
          <cell r="I99">
            <v>20</v>
          </cell>
          <cell r="J99" t="str">
            <v>STD</v>
          </cell>
          <cell r="L99">
            <v>38420.799999999996</v>
          </cell>
          <cell r="M99">
            <v>1670.4695652173912</v>
          </cell>
          <cell r="O99" t="str">
            <v>BUJE BRONCE</v>
          </cell>
        </row>
        <row r="100">
          <cell r="D100" t="str">
            <v>HTJA020046</v>
          </cell>
          <cell r="E100" t="str">
            <v>00806342</v>
          </cell>
          <cell r="F100" t="str">
            <v>AC-2900i VW</v>
          </cell>
          <cell r="G100">
            <v>2000000</v>
          </cell>
          <cell r="H100" t="str">
            <v>Nacional</v>
          </cell>
          <cell r="I100">
            <v>20</v>
          </cell>
          <cell r="J100" t="str">
            <v>STD</v>
          </cell>
          <cell r="L100">
            <v>23450.400000000001</v>
          </cell>
          <cell r="M100">
            <v>1019.5826086956522</v>
          </cell>
          <cell r="O100" t="str">
            <v>BUJE BRONCE</v>
          </cell>
        </row>
        <row r="101">
          <cell r="D101" t="str">
            <v>HTJA020046</v>
          </cell>
          <cell r="E101" t="str">
            <v>7870050221</v>
          </cell>
          <cell r="F101" t="str">
            <v>UF-3400 PQ-35 VW</v>
          </cell>
          <cell r="G101">
            <v>2000000</v>
          </cell>
          <cell r="H101" t="str">
            <v>Nacional</v>
          </cell>
          <cell r="I101">
            <v>20</v>
          </cell>
          <cell r="J101" t="str">
            <v>STD</v>
          </cell>
          <cell r="L101">
            <v>45592.200000000012</v>
          </cell>
          <cell r="M101">
            <v>1982.2695652173918</v>
          </cell>
          <cell r="O101" t="str">
            <v>BUJE BRONCE</v>
          </cell>
        </row>
        <row r="102">
          <cell r="D102" t="str">
            <v>HTJA020047</v>
          </cell>
          <cell r="E102" t="str">
            <v>10225400</v>
          </cell>
          <cell r="F102" t="str">
            <v>AC-1500i Honda 2NX / GMT</v>
          </cell>
          <cell r="G102">
            <v>500000</v>
          </cell>
          <cell r="H102" t="str">
            <v>ALEMAN</v>
          </cell>
          <cell r="I102">
            <v>20</v>
          </cell>
          <cell r="J102" t="str">
            <v>STD</v>
          </cell>
          <cell r="L102">
            <v>0</v>
          </cell>
          <cell r="M102">
            <v>0</v>
          </cell>
          <cell r="O102" t="str">
            <v>CORONA DE SUJECION INFERIOR Ø125.00(GEORGE)</v>
          </cell>
        </row>
        <row r="103">
          <cell r="D103" t="str">
            <v>HTJA020047</v>
          </cell>
          <cell r="E103" t="str">
            <v>7479050219</v>
          </cell>
          <cell r="F103" t="str">
            <v>AC-1700i FORD</v>
          </cell>
          <cell r="G103">
            <v>500000</v>
          </cell>
          <cell r="H103" t="str">
            <v>ALEMAN</v>
          </cell>
          <cell r="I103">
            <v>20</v>
          </cell>
          <cell r="J103" t="str">
            <v>STD</v>
          </cell>
          <cell r="L103">
            <v>38420.799999999996</v>
          </cell>
          <cell r="M103">
            <v>1670.4695652173912</v>
          </cell>
          <cell r="O103" t="str">
            <v>CORONA DE SUJECION INFERIOR Ø125.00(GEORGE)</v>
          </cell>
        </row>
        <row r="104">
          <cell r="D104" t="str">
            <v>HTJA020047</v>
          </cell>
          <cell r="E104" t="str">
            <v>00806342</v>
          </cell>
          <cell r="F104" t="str">
            <v>AC-2900i VW</v>
          </cell>
          <cell r="G104">
            <v>500000</v>
          </cell>
          <cell r="H104" t="str">
            <v>ALEMAN</v>
          </cell>
          <cell r="I104">
            <v>20</v>
          </cell>
          <cell r="J104" t="str">
            <v>STD</v>
          </cell>
          <cell r="L104">
            <v>23450.400000000001</v>
          </cell>
          <cell r="M104">
            <v>1019.5826086956522</v>
          </cell>
          <cell r="O104" t="str">
            <v>CORONA DE SUJECION INFERIOR Ø125.00(GEORGE)</v>
          </cell>
        </row>
        <row r="105">
          <cell r="D105" t="str">
            <v>HTJA020047</v>
          </cell>
          <cell r="E105" t="str">
            <v>7870050221</v>
          </cell>
          <cell r="F105" t="str">
            <v>UF-3400 PQ-35 VW</v>
          </cell>
          <cell r="G105">
            <v>500000</v>
          </cell>
          <cell r="H105" t="str">
            <v>ALEMAN</v>
          </cell>
          <cell r="I105">
            <v>20</v>
          </cell>
          <cell r="J105" t="str">
            <v>STD</v>
          </cell>
          <cell r="L105">
            <v>45592.200000000012</v>
          </cell>
          <cell r="M105">
            <v>1982.2695652173918</v>
          </cell>
          <cell r="O105" t="str">
            <v>CORONA DE SUJECION INFERIOR Ø125.00(GEORGE)</v>
          </cell>
        </row>
        <row r="106">
          <cell r="D106" t="str">
            <v>HTJA020048</v>
          </cell>
          <cell r="E106" t="str">
            <v>10225400</v>
          </cell>
          <cell r="F106" t="str">
            <v>AC-1500i Honda 2NX / GMT</v>
          </cell>
          <cell r="G106">
            <v>500000</v>
          </cell>
          <cell r="H106" t="str">
            <v>ALEMAN</v>
          </cell>
          <cell r="I106">
            <v>20</v>
          </cell>
          <cell r="J106" t="str">
            <v>STD</v>
          </cell>
          <cell r="L106">
            <v>0</v>
          </cell>
          <cell r="M106">
            <v>0</v>
          </cell>
          <cell r="O106" t="str">
            <v>CORONA DE SUJECION SUPERIOR Ø125.00(GEORGE)</v>
          </cell>
        </row>
        <row r="107">
          <cell r="D107" t="str">
            <v>HTJA020048</v>
          </cell>
          <cell r="E107" t="str">
            <v>7479050219</v>
          </cell>
          <cell r="F107" t="str">
            <v>AC-1700i FORD</v>
          </cell>
          <cell r="G107">
            <v>500000</v>
          </cell>
          <cell r="H107" t="str">
            <v>ALEMAN</v>
          </cell>
          <cell r="I107">
            <v>20</v>
          </cell>
          <cell r="J107" t="str">
            <v>STD</v>
          </cell>
          <cell r="L107">
            <v>38420.799999999996</v>
          </cell>
          <cell r="M107">
            <v>1670.4695652173912</v>
          </cell>
          <cell r="O107" t="str">
            <v>CORONA DE SUJECION SUPERIOR Ø125.00(GEORGE)</v>
          </cell>
        </row>
        <row r="108">
          <cell r="D108" t="str">
            <v>HTJA020048</v>
          </cell>
          <cell r="E108" t="str">
            <v>00806342</v>
          </cell>
          <cell r="F108" t="str">
            <v>AC-2900i VW</v>
          </cell>
          <cell r="G108">
            <v>500000</v>
          </cell>
          <cell r="H108" t="str">
            <v>ALEMAN</v>
          </cell>
          <cell r="I108">
            <v>20</v>
          </cell>
          <cell r="J108" t="str">
            <v>STD</v>
          </cell>
          <cell r="L108">
            <v>23450.400000000001</v>
          </cell>
          <cell r="M108">
            <v>1019.5826086956522</v>
          </cell>
          <cell r="O108" t="str">
            <v>CORONA DE SUJECION SUPERIOR Ø125.00(GEORGE)</v>
          </cell>
        </row>
        <row r="109">
          <cell r="D109" t="str">
            <v>HTJA020048</v>
          </cell>
          <cell r="E109" t="str">
            <v>7870050221</v>
          </cell>
          <cell r="F109" t="str">
            <v>UF-3400 PQ-35 VW</v>
          </cell>
          <cell r="G109">
            <v>500000</v>
          </cell>
          <cell r="H109" t="str">
            <v>ALEMAN</v>
          </cell>
          <cell r="I109">
            <v>20</v>
          </cell>
          <cell r="J109" t="str">
            <v>STD</v>
          </cell>
          <cell r="L109">
            <v>45592.200000000012</v>
          </cell>
          <cell r="M109">
            <v>1982.2695652173918</v>
          </cell>
          <cell r="O109" t="str">
            <v>CORONA DE SUJECION SUPERIOR Ø125.00(GEORGE)</v>
          </cell>
        </row>
        <row r="110">
          <cell r="D110" t="str">
            <v>HTJA020049</v>
          </cell>
          <cell r="E110" t="str">
            <v>10019426</v>
          </cell>
          <cell r="F110" t="str">
            <v>AC-1500i Honda 2NX / GMT</v>
          </cell>
          <cell r="G110">
            <v>100000</v>
          </cell>
          <cell r="H110" t="str">
            <v>Nacional</v>
          </cell>
          <cell r="I110">
            <v>15</v>
          </cell>
          <cell r="J110" t="str">
            <v>AC-1500i</v>
          </cell>
          <cell r="L110">
            <v>32759.000000000004</v>
          </cell>
          <cell r="M110">
            <v>1424.3043478260872</v>
          </cell>
          <cell r="O110" t="str">
            <v>PORTA BOTADOR SUPERIOR</v>
          </cell>
        </row>
        <row r="111">
          <cell r="D111" t="str">
            <v>HTJA020050</v>
          </cell>
          <cell r="E111" t="str">
            <v>7479050219</v>
          </cell>
          <cell r="F111" t="str">
            <v>AC-1700i FORD</v>
          </cell>
          <cell r="G111">
            <v>25000</v>
          </cell>
          <cell r="H111" t="str">
            <v>Nacional</v>
          </cell>
          <cell r="I111">
            <v>15</v>
          </cell>
          <cell r="J111" t="str">
            <v>AC-1700i</v>
          </cell>
          <cell r="L111">
            <v>38420.799999999996</v>
          </cell>
          <cell r="M111">
            <v>1670.4695652173912</v>
          </cell>
          <cell r="O111" t="str">
            <v>PORTA BOTADOR SUPERIOR</v>
          </cell>
        </row>
        <row r="112">
          <cell r="D112" t="str">
            <v>HTJA020051</v>
          </cell>
          <cell r="E112" t="str">
            <v>10225400</v>
          </cell>
          <cell r="F112" t="str">
            <v>AC-1500i Honda 2NX / GMT</v>
          </cell>
          <cell r="G112">
            <v>200000</v>
          </cell>
          <cell r="H112" t="str">
            <v>Nacional</v>
          </cell>
          <cell r="I112">
            <v>8</v>
          </cell>
          <cell r="J112" t="str">
            <v>STD</v>
          </cell>
          <cell r="L112">
            <v>0</v>
          </cell>
          <cell r="M112">
            <v>0</v>
          </cell>
          <cell r="O112" t="str">
            <v>BLOCK BRAZO CARGADOR</v>
          </cell>
        </row>
        <row r="113">
          <cell r="D113" t="str">
            <v>HTJA020051</v>
          </cell>
          <cell r="E113" t="str">
            <v>7479050219</v>
          </cell>
          <cell r="F113" t="str">
            <v>AC-1700i FORD</v>
          </cell>
          <cell r="G113">
            <v>200000</v>
          </cell>
          <cell r="H113" t="str">
            <v>Nacional</v>
          </cell>
          <cell r="I113">
            <v>8</v>
          </cell>
          <cell r="J113" t="str">
            <v>STD</v>
          </cell>
          <cell r="L113">
            <v>38420.799999999996</v>
          </cell>
          <cell r="M113">
            <v>1670.4695652173912</v>
          </cell>
          <cell r="O113" t="str">
            <v>BLOCK BRAZO CARGADOR</v>
          </cell>
        </row>
        <row r="114">
          <cell r="D114" t="str">
            <v>HTJA020051</v>
          </cell>
          <cell r="E114" t="str">
            <v>00806342</v>
          </cell>
          <cell r="F114" t="str">
            <v>AC-2900i VW</v>
          </cell>
          <cell r="G114">
            <v>200000</v>
          </cell>
          <cell r="H114" t="str">
            <v>Nacional</v>
          </cell>
          <cell r="I114">
            <v>8</v>
          </cell>
          <cell r="J114" t="str">
            <v>STD</v>
          </cell>
          <cell r="L114">
            <v>23450.400000000001</v>
          </cell>
          <cell r="M114">
            <v>1019.5826086956522</v>
          </cell>
          <cell r="O114" t="str">
            <v>BLOCK BRAZO CARGADOR</v>
          </cell>
        </row>
        <row r="115">
          <cell r="D115" t="str">
            <v>HTJA020051</v>
          </cell>
          <cell r="E115" t="str">
            <v>7870050221</v>
          </cell>
          <cell r="F115" t="str">
            <v>UF-3400 PQ-35 VW</v>
          </cell>
          <cell r="G115">
            <v>200000</v>
          </cell>
          <cell r="H115" t="str">
            <v>Nacional</v>
          </cell>
          <cell r="I115">
            <v>8</v>
          </cell>
          <cell r="J115" t="str">
            <v>STD</v>
          </cell>
          <cell r="L115">
            <v>45592.200000000012</v>
          </cell>
          <cell r="M115">
            <v>1982.2695652173918</v>
          </cell>
          <cell r="O115" t="str">
            <v>BLOCK BRAZO CARGADOR</v>
          </cell>
        </row>
        <row r="116">
          <cell r="D116" t="str">
            <v>HTJA020052</v>
          </cell>
          <cell r="E116" t="str">
            <v>10225400</v>
          </cell>
          <cell r="F116" t="str">
            <v>AC-1500i Honda 2NX / GMT</v>
          </cell>
          <cell r="G116">
            <v>500000</v>
          </cell>
          <cell r="H116" t="str">
            <v>Nacional</v>
          </cell>
          <cell r="I116">
            <v>15</v>
          </cell>
          <cell r="J116" t="str">
            <v>STD</v>
          </cell>
          <cell r="L116">
            <v>0</v>
          </cell>
          <cell r="M116">
            <v>0</v>
          </cell>
          <cell r="O116" t="str">
            <v>BRAZO DE DESCARGA IZQ</v>
          </cell>
        </row>
        <row r="117">
          <cell r="D117" t="str">
            <v>HTJA020052</v>
          </cell>
          <cell r="E117" t="str">
            <v>7479050219</v>
          </cell>
          <cell r="F117" t="str">
            <v>AC-1700i FORD</v>
          </cell>
          <cell r="G117">
            <v>500000</v>
          </cell>
          <cell r="H117" t="str">
            <v>Nacional</v>
          </cell>
          <cell r="I117">
            <v>15</v>
          </cell>
          <cell r="J117" t="str">
            <v>STD</v>
          </cell>
          <cell r="L117">
            <v>38420.799999999996</v>
          </cell>
          <cell r="M117">
            <v>1670.4695652173912</v>
          </cell>
          <cell r="O117" t="str">
            <v>BRAZO DE DESCARGA IZQ</v>
          </cell>
        </row>
        <row r="118">
          <cell r="D118" t="str">
            <v>HTJA020052</v>
          </cell>
          <cell r="E118" t="str">
            <v>00806342</v>
          </cell>
          <cell r="F118" t="str">
            <v>AC-2900i VW</v>
          </cell>
          <cell r="G118">
            <v>500000</v>
          </cell>
          <cell r="H118" t="str">
            <v>Nacional</v>
          </cell>
          <cell r="I118">
            <v>15</v>
          </cell>
          <cell r="J118" t="str">
            <v>STD</v>
          </cell>
          <cell r="L118">
            <v>23450.400000000001</v>
          </cell>
          <cell r="M118">
            <v>1019.5826086956522</v>
          </cell>
          <cell r="O118" t="str">
            <v>BRAZO DE DESCARGA IZQ</v>
          </cell>
        </row>
        <row r="119">
          <cell r="D119" t="str">
            <v>HTJA020052</v>
          </cell>
          <cell r="E119" t="str">
            <v>7870050221</v>
          </cell>
          <cell r="F119" t="str">
            <v>UF-3400 PQ-35 VW</v>
          </cell>
          <cell r="G119">
            <v>500000</v>
          </cell>
          <cell r="H119" t="str">
            <v>Nacional</v>
          </cell>
          <cell r="I119">
            <v>15</v>
          </cell>
          <cell r="J119" t="str">
            <v>STD</v>
          </cell>
          <cell r="L119">
            <v>45592.200000000012</v>
          </cell>
          <cell r="M119">
            <v>1982.2695652173918</v>
          </cell>
          <cell r="O119" t="str">
            <v>BRAZO DE DESCARGA IZQ</v>
          </cell>
        </row>
        <row r="120">
          <cell r="D120" t="str">
            <v>HTJA020053</v>
          </cell>
          <cell r="E120" t="str">
            <v>10225400</v>
          </cell>
          <cell r="F120" t="str">
            <v>AC-1500i Honda 2NX / GMT</v>
          </cell>
          <cell r="G120">
            <v>500000</v>
          </cell>
          <cell r="H120" t="str">
            <v>Nacional</v>
          </cell>
          <cell r="I120">
            <v>15</v>
          </cell>
          <cell r="J120" t="str">
            <v>STD</v>
          </cell>
          <cell r="L120">
            <v>0</v>
          </cell>
          <cell r="M120">
            <v>0</v>
          </cell>
          <cell r="O120" t="str">
            <v>BRAZO DE DESCARGA DER</v>
          </cell>
        </row>
        <row r="121">
          <cell r="D121" t="str">
            <v>HTJA020053</v>
          </cell>
          <cell r="E121" t="str">
            <v>7479050219</v>
          </cell>
          <cell r="F121" t="str">
            <v>AC-1700i FORD</v>
          </cell>
          <cell r="G121">
            <v>500000</v>
          </cell>
          <cell r="H121" t="str">
            <v>Nacional</v>
          </cell>
          <cell r="I121">
            <v>15</v>
          </cell>
          <cell r="J121" t="str">
            <v>STD</v>
          </cell>
          <cell r="L121">
            <v>38420.799999999996</v>
          </cell>
          <cell r="M121">
            <v>1670.4695652173912</v>
          </cell>
          <cell r="O121" t="str">
            <v>BRAZO DE DESCARGA DER</v>
          </cell>
        </row>
        <row r="122">
          <cell r="D122" t="str">
            <v>HTJA020053</v>
          </cell>
          <cell r="E122" t="str">
            <v>00806342</v>
          </cell>
          <cell r="F122" t="str">
            <v>AC-2900i VW</v>
          </cell>
          <cell r="G122">
            <v>500000</v>
          </cell>
          <cell r="H122" t="str">
            <v>Nacional</v>
          </cell>
          <cell r="I122">
            <v>15</v>
          </cell>
          <cell r="J122" t="str">
            <v>STD</v>
          </cell>
          <cell r="L122">
            <v>23450.400000000001</v>
          </cell>
          <cell r="M122">
            <v>1019.5826086956522</v>
          </cell>
          <cell r="O122" t="str">
            <v>BRAZO DE DESCARGA DER</v>
          </cell>
        </row>
        <row r="123">
          <cell r="D123" t="str">
            <v>HTJA020053</v>
          </cell>
          <cell r="E123" t="str">
            <v>7870050221</v>
          </cell>
          <cell r="F123" t="str">
            <v>UF-3400 PQ-35 VW</v>
          </cell>
          <cell r="G123">
            <v>500000</v>
          </cell>
          <cell r="H123" t="str">
            <v>Nacional</v>
          </cell>
          <cell r="I123">
            <v>15</v>
          </cell>
          <cell r="J123" t="str">
            <v>STD</v>
          </cell>
          <cell r="L123">
            <v>45592.200000000012</v>
          </cell>
          <cell r="M123">
            <v>1982.2695652173918</v>
          </cell>
          <cell r="O123" t="str">
            <v>BRAZO DE DESCARGA DER</v>
          </cell>
        </row>
        <row r="124">
          <cell r="D124" t="str">
            <v>HTJA020054</v>
          </cell>
          <cell r="E124" t="str">
            <v>10225400</v>
          </cell>
          <cell r="F124" t="str">
            <v>AC-1500i Honda 2NX / GMT</v>
          </cell>
          <cell r="G124">
            <v>500000</v>
          </cell>
          <cell r="H124" t="str">
            <v>Nacional</v>
          </cell>
          <cell r="I124">
            <v>15</v>
          </cell>
          <cell r="J124" t="str">
            <v>STD</v>
          </cell>
          <cell r="L124">
            <v>0</v>
          </cell>
          <cell r="M124">
            <v>0</v>
          </cell>
          <cell r="O124" t="str">
            <v>CUÑA DE EXPANSIÓN</v>
          </cell>
        </row>
        <row r="125">
          <cell r="D125" t="str">
            <v>HTJA020054</v>
          </cell>
          <cell r="E125" t="str">
            <v>7479050219</v>
          </cell>
          <cell r="F125" t="str">
            <v>AC-1700i FORD</v>
          </cell>
          <cell r="G125">
            <v>500000</v>
          </cell>
          <cell r="H125" t="str">
            <v>Nacional</v>
          </cell>
          <cell r="I125">
            <v>15</v>
          </cell>
          <cell r="J125" t="str">
            <v>STD</v>
          </cell>
          <cell r="L125">
            <v>38420.799999999996</v>
          </cell>
          <cell r="M125">
            <v>1670.4695652173912</v>
          </cell>
          <cell r="O125" t="str">
            <v>CUÑA DE EXPANSIÓN</v>
          </cell>
        </row>
        <row r="126">
          <cell r="D126" t="str">
            <v>HTJA020054</v>
          </cell>
          <cell r="E126" t="str">
            <v>00806342</v>
          </cell>
          <cell r="F126" t="str">
            <v>AC-2900i VW</v>
          </cell>
          <cell r="G126">
            <v>500000</v>
          </cell>
          <cell r="H126" t="str">
            <v>Nacional</v>
          </cell>
          <cell r="I126">
            <v>15</v>
          </cell>
          <cell r="J126" t="str">
            <v>STD</v>
          </cell>
          <cell r="L126">
            <v>23450.400000000001</v>
          </cell>
          <cell r="M126">
            <v>1019.5826086956522</v>
          </cell>
          <cell r="O126" t="str">
            <v>CUÑA DE EXPANSIÓN</v>
          </cell>
        </row>
        <row r="127">
          <cell r="D127" t="str">
            <v>HTJA020054</v>
          </cell>
          <cell r="E127" t="str">
            <v>7870050221</v>
          </cell>
          <cell r="F127" t="str">
            <v>UF-3400 PQ-35 VW</v>
          </cell>
          <cell r="G127">
            <v>500000</v>
          </cell>
          <cell r="H127" t="str">
            <v>Nacional</v>
          </cell>
          <cell r="I127">
            <v>15</v>
          </cell>
          <cell r="J127" t="str">
            <v>STD</v>
          </cell>
          <cell r="L127">
            <v>45592.200000000012</v>
          </cell>
          <cell r="M127">
            <v>1982.2695652173918</v>
          </cell>
          <cell r="O127" t="str">
            <v>CUÑA DE EXPANSIÓN</v>
          </cell>
        </row>
        <row r="128">
          <cell r="D128" t="str">
            <v>HTJA020055</v>
          </cell>
          <cell r="E128" t="str">
            <v>10225400</v>
          </cell>
          <cell r="F128" t="str">
            <v>AC-1500i Honda 2NX / GMT</v>
          </cell>
          <cell r="G128">
            <v>500000</v>
          </cell>
          <cell r="H128" t="str">
            <v>Nacional</v>
          </cell>
          <cell r="I128">
            <v>15</v>
          </cell>
          <cell r="J128" t="str">
            <v>STD</v>
          </cell>
          <cell r="L128">
            <v>0</v>
          </cell>
          <cell r="M128">
            <v>0</v>
          </cell>
          <cell r="O128" t="str">
            <v>PLACA GUIA POSICIONADORA</v>
          </cell>
        </row>
        <row r="129">
          <cell r="D129" t="str">
            <v>HTJA020055</v>
          </cell>
          <cell r="E129" t="str">
            <v>7479050219</v>
          </cell>
          <cell r="F129" t="str">
            <v>AC-1700i FORD</v>
          </cell>
          <cell r="G129">
            <v>500000</v>
          </cell>
          <cell r="H129" t="str">
            <v>Nacional</v>
          </cell>
          <cell r="I129">
            <v>15</v>
          </cell>
          <cell r="J129" t="str">
            <v>STD</v>
          </cell>
          <cell r="L129">
            <v>38420.799999999996</v>
          </cell>
          <cell r="M129">
            <v>1670.4695652173912</v>
          </cell>
          <cell r="O129" t="str">
            <v>PLACA GUIA POSICIONADORA</v>
          </cell>
        </row>
        <row r="130">
          <cell r="D130" t="str">
            <v>HTJA020055</v>
          </cell>
          <cell r="E130" t="str">
            <v>00806342</v>
          </cell>
          <cell r="F130" t="str">
            <v>AC-2900i VW</v>
          </cell>
          <cell r="G130">
            <v>500000</v>
          </cell>
          <cell r="H130" t="str">
            <v>Nacional</v>
          </cell>
          <cell r="I130">
            <v>15</v>
          </cell>
          <cell r="J130" t="str">
            <v>STD</v>
          </cell>
          <cell r="L130">
            <v>23450.400000000001</v>
          </cell>
          <cell r="M130">
            <v>1019.5826086956522</v>
          </cell>
          <cell r="O130" t="str">
            <v>PLACA GUIA POSICIONADORA</v>
          </cell>
        </row>
        <row r="131">
          <cell r="D131" t="str">
            <v>HTJA020055</v>
          </cell>
          <cell r="E131" t="str">
            <v>7870050221</v>
          </cell>
          <cell r="F131" t="str">
            <v>UF-3400 PQ-35 VW</v>
          </cell>
          <cell r="G131">
            <v>500000</v>
          </cell>
          <cell r="H131" t="str">
            <v>Nacional</v>
          </cell>
          <cell r="I131">
            <v>15</v>
          </cell>
          <cell r="J131" t="str">
            <v>STD</v>
          </cell>
          <cell r="L131">
            <v>45592.200000000012</v>
          </cell>
          <cell r="M131">
            <v>1982.2695652173918</v>
          </cell>
          <cell r="O131" t="str">
            <v>PLACA GUIA POSICIONADORA</v>
          </cell>
        </row>
        <row r="132">
          <cell r="D132" t="str">
            <v>HTJA030001</v>
          </cell>
          <cell r="E132" t="str">
            <v>7174050203</v>
          </cell>
          <cell r="F132" t="str">
            <v>A4 RF-95</v>
          </cell>
          <cell r="G132">
            <v>40000</v>
          </cell>
          <cell r="H132" t="str">
            <v>Nacional</v>
          </cell>
          <cell r="I132">
            <v>8</v>
          </cell>
          <cell r="J132" t="str">
            <v>A4 RF-95</v>
          </cell>
          <cell r="L132">
            <v>8133.6</v>
          </cell>
          <cell r="M132">
            <v>353.63478260869567</v>
          </cell>
          <cell r="O132" t="str">
            <v>Rodillo Superior</v>
          </cell>
        </row>
        <row r="133">
          <cell r="D133" t="str">
            <v>HTJA030002</v>
          </cell>
          <cell r="E133" t="str">
            <v>7174050203</v>
          </cell>
          <cell r="F133" t="str">
            <v>A4 RF-95</v>
          </cell>
          <cell r="G133">
            <v>20000</v>
          </cell>
          <cell r="H133" t="str">
            <v>Nacional</v>
          </cell>
          <cell r="I133">
            <v>8</v>
          </cell>
          <cell r="J133" t="str">
            <v>A4 RF-95</v>
          </cell>
          <cell r="L133">
            <v>8133.6</v>
          </cell>
          <cell r="M133">
            <v>353.63478260869567</v>
          </cell>
          <cell r="O133" t="str">
            <v>Mandril</v>
          </cell>
        </row>
        <row r="134">
          <cell r="D134" t="str">
            <v>HTJA030003</v>
          </cell>
          <cell r="E134" t="str">
            <v>7324050215</v>
          </cell>
          <cell r="F134" t="str">
            <v>AC-2300i PT-44</v>
          </cell>
          <cell r="G134">
            <v>50000</v>
          </cell>
          <cell r="H134" t="str">
            <v>Nacional</v>
          </cell>
          <cell r="I134">
            <v>8</v>
          </cell>
          <cell r="J134" t="str">
            <v>AC-2300i</v>
          </cell>
          <cell r="L134">
            <v>44731.400000000009</v>
          </cell>
          <cell r="M134">
            <v>1944.8434782608699</v>
          </cell>
          <cell r="O134" t="str">
            <v>Rodillo Superior</v>
          </cell>
        </row>
        <row r="135">
          <cell r="D135" t="str">
            <v>HTJA030003</v>
          </cell>
          <cell r="E135" t="str">
            <v>10226750</v>
          </cell>
          <cell r="F135" t="str">
            <v>AC-2300i DNA (Preforma)</v>
          </cell>
          <cell r="G135">
            <v>50000</v>
          </cell>
          <cell r="H135" t="str">
            <v>Nacional</v>
          </cell>
          <cell r="I135">
            <v>8</v>
          </cell>
          <cell r="J135" t="str">
            <v>AC-2300i</v>
          </cell>
          <cell r="L135">
            <v>49420.800000000003</v>
          </cell>
          <cell r="M135">
            <v>2148.7304347826089</v>
          </cell>
          <cell r="O135" t="str">
            <v>Rodillo Superior</v>
          </cell>
        </row>
        <row r="136">
          <cell r="D136" t="str">
            <v>HTJA030004</v>
          </cell>
          <cell r="E136" t="str">
            <v>7324050215</v>
          </cell>
          <cell r="F136" t="str">
            <v>AC-2300i PT-44</v>
          </cell>
          <cell r="G136">
            <v>20000</v>
          </cell>
          <cell r="H136" t="str">
            <v>Nacional</v>
          </cell>
          <cell r="I136">
            <v>8</v>
          </cell>
          <cell r="J136" t="str">
            <v>AC-2300i</v>
          </cell>
          <cell r="L136">
            <v>58512.600000000006</v>
          </cell>
          <cell r="M136">
            <v>2544.0260869565218</v>
          </cell>
          <cell r="O136" t="str">
            <v>Mandril</v>
          </cell>
        </row>
        <row r="137">
          <cell r="D137" t="str">
            <v>HTJA030004</v>
          </cell>
          <cell r="E137" t="str">
            <v>10226750</v>
          </cell>
          <cell r="F137" t="str">
            <v>AC-2300i DNA (Preforma)</v>
          </cell>
          <cell r="G137">
            <v>20000</v>
          </cell>
          <cell r="H137" t="str">
            <v>Nacional</v>
          </cell>
          <cell r="I137">
            <v>8</v>
          </cell>
          <cell r="J137" t="str">
            <v>AC-2300i</v>
          </cell>
          <cell r="L137">
            <v>52509.599999999999</v>
          </cell>
          <cell r="M137">
            <v>2283.0260869565218</v>
          </cell>
          <cell r="O137" t="str">
            <v>Mandril</v>
          </cell>
        </row>
        <row r="138">
          <cell r="D138" t="str">
            <v>HTJA030007</v>
          </cell>
          <cell r="E138" t="str">
            <v>4302091005</v>
          </cell>
          <cell r="F138" t="str">
            <v>C-2000 PL-BODY</v>
          </cell>
          <cell r="G138">
            <v>40000</v>
          </cell>
          <cell r="H138" t="str">
            <v>Nacional</v>
          </cell>
          <cell r="I138">
            <v>8</v>
          </cell>
          <cell r="J138" t="str">
            <v>C-2000</v>
          </cell>
          <cell r="L138">
            <v>1811</v>
          </cell>
          <cell r="M138">
            <v>78.739130434782609</v>
          </cell>
          <cell r="O138" t="str">
            <v>Rodillo Superior</v>
          </cell>
        </row>
        <row r="139">
          <cell r="D139" t="str">
            <v>HTJA030008</v>
          </cell>
          <cell r="E139" t="str">
            <v>4302091005</v>
          </cell>
          <cell r="F139" t="str">
            <v>C-2000 PL-BODY</v>
          </cell>
          <cell r="G139">
            <v>20000</v>
          </cell>
          <cell r="H139" t="str">
            <v>Nacional</v>
          </cell>
          <cell r="I139">
            <v>8</v>
          </cell>
          <cell r="J139" t="str">
            <v>C-2000</v>
          </cell>
          <cell r="L139">
            <v>0</v>
          </cell>
          <cell r="M139">
            <v>0</v>
          </cell>
          <cell r="O139" t="str">
            <v>Mandril</v>
          </cell>
        </row>
        <row r="140">
          <cell r="D140" t="str">
            <v>HTJA030009</v>
          </cell>
          <cell r="E140" t="str">
            <v>8647050233</v>
          </cell>
          <cell r="F140" t="str">
            <v>AC-2000i Honda Acura</v>
          </cell>
          <cell r="G140">
            <v>100000</v>
          </cell>
          <cell r="H140" t="str">
            <v>Nacional</v>
          </cell>
          <cell r="I140">
            <v>10</v>
          </cell>
          <cell r="J140" t="str">
            <v>STD</v>
          </cell>
          <cell r="L140">
            <v>74801.200000000012</v>
          </cell>
          <cell r="M140">
            <v>3252.2260869565221</v>
          </cell>
          <cell r="O140" t="str">
            <v>EJE DOSIFICADOR</v>
          </cell>
        </row>
        <row r="141">
          <cell r="D141" t="str">
            <v>HTJA030009</v>
          </cell>
          <cell r="E141" t="str">
            <v>10232841</v>
          </cell>
          <cell r="F141" t="str">
            <v>AC-2000i DNA (Preforma)</v>
          </cell>
          <cell r="G141">
            <v>100000</v>
          </cell>
          <cell r="H141" t="str">
            <v>Nacional</v>
          </cell>
          <cell r="I141">
            <v>10</v>
          </cell>
          <cell r="J141" t="str">
            <v>STD</v>
          </cell>
          <cell r="L141">
            <v>101200</v>
          </cell>
          <cell r="M141">
            <v>4400</v>
          </cell>
          <cell r="O141" t="str">
            <v>EJE DOSIFICADOR</v>
          </cell>
        </row>
        <row r="142">
          <cell r="D142" t="str">
            <v>HTJA030009</v>
          </cell>
          <cell r="E142" t="str">
            <v>4302091005</v>
          </cell>
          <cell r="F142" t="str">
            <v>C-2000 PL-BODY</v>
          </cell>
          <cell r="G142">
            <v>100000</v>
          </cell>
          <cell r="H142" t="str">
            <v>Nacional</v>
          </cell>
          <cell r="I142">
            <v>10</v>
          </cell>
          <cell r="J142" t="str">
            <v>STD</v>
          </cell>
          <cell r="L142">
            <v>1811</v>
          </cell>
          <cell r="M142">
            <v>78.739130434782609</v>
          </cell>
          <cell r="O142" t="str">
            <v>EJE DOSIFICADOR</v>
          </cell>
        </row>
        <row r="143">
          <cell r="D143" t="str">
            <v>HTJA030009</v>
          </cell>
          <cell r="E143" t="str">
            <v>7324050215</v>
          </cell>
          <cell r="F143" t="str">
            <v>AC-2300i PT-44</v>
          </cell>
          <cell r="G143">
            <v>100000</v>
          </cell>
          <cell r="H143" t="str">
            <v>Nacional</v>
          </cell>
          <cell r="I143">
            <v>10</v>
          </cell>
          <cell r="J143" t="str">
            <v>STD</v>
          </cell>
          <cell r="L143">
            <v>44731.400000000009</v>
          </cell>
          <cell r="M143">
            <v>1944.8434782608699</v>
          </cell>
          <cell r="O143" t="str">
            <v>EJE DOSIFICADOR</v>
          </cell>
        </row>
        <row r="144">
          <cell r="D144" t="str">
            <v>HTJA030009</v>
          </cell>
          <cell r="E144" t="str">
            <v>10226750</v>
          </cell>
          <cell r="F144" t="str">
            <v>AC-2300i DNA (Preforma)</v>
          </cell>
          <cell r="G144">
            <v>100000</v>
          </cell>
          <cell r="H144" t="str">
            <v>Nacional</v>
          </cell>
          <cell r="I144">
            <v>10</v>
          </cell>
          <cell r="J144" t="str">
            <v>STD</v>
          </cell>
          <cell r="L144">
            <v>49420.800000000003</v>
          </cell>
          <cell r="M144">
            <v>2148.7304347826089</v>
          </cell>
          <cell r="O144" t="str">
            <v>EJE DOSIFICADOR</v>
          </cell>
        </row>
        <row r="145">
          <cell r="D145" t="str">
            <v>HTJA030009</v>
          </cell>
          <cell r="E145" t="str">
            <v>7553050217</v>
          </cell>
          <cell r="F145" t="str">
            <v>AC-2600i PT-Turbo</v>
          </cell>
          <cell r="G145">
            <v>100000</v>
          </cell>
          <cell r="H145" t="str">
            <v>Nacional</v>
          </cell>
          <cell r="I145">
            <v>10</v>
          </cell>
          <cell r="J145" t="str">
            <v>STD</v>
          </cell>
          <cell r="L145">
            <v>34957.999999999993</v>
          </cell>
          <cell r="M145">
            <v>1519.9130434782605</v>
          </cell>
          <cell r="O145" t="str">
            <v>EJE DOSIFICADOR</v>
          </cell>
        </row>
        <row r="146">
          <cell r="D146" t="str">
            <v>HTJA030009</v>
          </cell>
          <cell r="E146" t="str">
            <v>10001024R</v>
          </cell>
          <cell r="F146" t="str">
            <v>AC-2600i Ford Escape</v>
          </cell>
          <cell r="G146">
            <v>100000</v>
          </cell>
          <cell r="H146" t="str">
            <v>Nacional</v>
          </cell>
          <cell r="I146">
            <v>10</v>
          </cell>
          <cell r="J146" t="str">
            <v>STD</v>
          </cell>
          <cell r="L146">
            <v>56501.200000000004</v>
          </cell>
          <cell r="M146">
            <v>2456.5739130434786</v>
          </cell>
          <cell r="O146" t="str">
            <v>EJE DOSIFICADOR</v>
          </cell>
        </row>
        <row r="147">
          <cell r="D147" t="str">
            <v>HTJA030009</v>
          </cell>
          <cell r="E147" t="str">
            <v>10226752</v>
          </cell>
          <cell r="F147" t="str">
            <v>AC-2600i DNA (Preforma)</v>
          </cell>
          <cell r="G147">
            <v>100000</v>
          </cell>
          <cell r="H147" t="str">
            <v>Nacional</v>
          </cell>
          <cell r="I147">
            <v>10</v>
          </cell>
          <cell r="J147" t="str">
            <v>STD</v>
          </cell>
          <cell r="L147">
            <v>26784</v>
          </cell>
          <cell r="M147">
            <v>1164.5217391304348</v>
          </cell>
          <cell r="O147" t="str">
            <v>EJE DOSIFICADOR</v>
          </cell>
        </row>
        <row r="148">
          <cell r="D148" t="str">
            <v>HTJA030009</v>
          </cell>
          <cell r="E148" t="str">
            <v>10054551</v>
          </cell>
          <cell r="F148" t="str">
            <v>AC-2650 JC49 / GS PLT / DNA</v>
          </cell>
          <cell r="G148">
            <v>100000</v>
          </cell>
          <cell r="H148" t="str">
            <v>Nacional</v>
          </cell>
          <cell r="I148">
            <v>10</v>
          </cell>
          <cell r="J148" t="str">
            <v>STD</v>
          </cell>
          <cell r="L148">
            <v>7516.4</v>
          </cell>
          <cell r="M148">
            <v>326.8</v>
          </cell>
          <cell r="O148" t="str">
            <v>EJE DOSIFICADOR</v>
          </cell>
        </row>
        <row r="149">
          <cell r="D149" t="str">
            <v>HTJA030009</v>
          </cell>
          <cell r="E149" t="str">
            <v>10226751</v>
          </cell>
          <cell r="F149" t="str">
            <v>AC-2650 DNA</v>
          </cell>
          <cell r="G149">
            <v>100000</v>
          </cell>
          <cell r="H149" t="str">
            <v>Nacional</v>
          </cell>
          <cell r="I149">
            <v>10</v>
          </cell>
          <cell r="J149" t="str">
            <v>STD</v>
          </cell>
          <cell r="L149">
            <v>14227.2</v>
          </cell>
          <cell r="M149">
            <v>618.57391304347834</v>
          </cell>
          <cell r="O149" t="str">
            <v>EJE DOSIFICADOR</v>
          </cell>
        </row>
        <row r="150">
          <cell r="D150" t="str">
            <v>HTJA030009</v>
          </cell>
          <cell r="E150" t="str">
            <v>8152050226</v>
          </cell>
          <cell r="F150" t="str">
            <v>UF-2600i PQ-35 VW</v>
          </cell>
          <cell r="G150">
            <v>100000</v>
          </cell>
          <cell r="H150" t="str">
            <v>Nacional</v>
          </cell>
          <cell r="I150">
            <v>10</v>
          </cell>
          <cell r="J150" t="str">
            <v>STD</v>
          </cell>
          <cell r="L150">
            <v>67111.400000000023</v>
          </cell>
          <cell r="M150">
            <v>2917.8869565217401</v>
          </cell>
          <cell r="O150" t="str">
            <v>EJE DOSIFICADOR</v>
          </cell>
        </row>
        <row r="151">
          <cell r="D151" t="str">
            <v>HTJA030009</v>
          </cell>
          <cell r="E151" t="str">
            <v>10060762</v>
          </cell>
          <cell r="F151" t="str">
            <v>UF-2600i Ford Explorer</v>
          </cell>
          <cell r="G151">
            <v>100000</v>
          </cell>
          <cell r="H151" t="str">
            <v>Nacional</v>
          </cell>
          <cell r="I151">
            <v>10</v>
          </cell>
          <cell r="J151" t="str">
            <v>STD</v>
          </cell>
          <cell r="L151">
            <v>0</v>
          </cell>
          <cell r="M151">
            <v>0</v>
          </cell>
          <cell r="O151" t="str">
            <v>EJE DOSIFICADOR</v>
          </cell>
        </row>
        <row r="152">
          <cell r="D152" t="str">
            <v>HTJA030009</v>
          </cell>
          <cell r="E152" t="str">
            <v>00806088</v>
          </cell>
          <cell r="F152" t="str">
            <v>UF-2600i Hyundai</v>
          </cell>
          <cell r="G152">
            <v>100000</v>
          </cell>
          <cell r="H152" t="str">
            <v>Nacional</v>
          </cell>
          <cell r="I152">
            <v>10</v>
          </cell>
          <cell r="J152" t="str">
            <v>STD</v>
          </cell>
          <cell r="L152">
            <v>0</v>
          </cell>
          <cell r="M152">
            <v>0</v>
          </cell>
          <cell r="O152" t="str">
            <v>EJE DOSIFICADOR</v>
          </cell>
        </row>
        <row r="153">
          <cell r="D153" t="str">
            <v>HTJA030009</v>
          </cell>
          <cell r="E153" t="str">
            <v>10235857</v>
          </cell>
          <cell r="F153" t="str">
            <v>UF-2600i DNA (Preforma)</v>
          </cell>
          <cell r="G153">
            <v>100000</v>
          </cell>
          <cell r="H153" t="str">
            <v>Nacional</v>
          </cell>
          <cell r="I153">
            <v>10</v>
          </cell>
          <cell r="J153" t="str">
            <v>STD</v>
          </cell>
          <cell r="L153">
            <v>0</v>
          </cell>
          <cell r="M153">
            <v>0</v>
          </cell>
          <cell r="O153" t="str">
            <v>EJE DOSIFICADOR</v>
          </cell>
        </row>
        <row r="154">
          <cell r="D154" t="str">
            <v>HTJA030009</v>
          </cell>
          <cell r="E154" t="str">
            <v>10018041</v>
          </cell>
          <cell r="F154" t="str">
            <v>UF-3300i W</v>
          </cell>
          <cell r="G154">
            <v>100000</v>
          </cell>
          <cell r="H154" t="str">
            <v>Nacional</v>
          </cell>
          <cell r="I154">
            <v>10</v>
          </cell>
          <cell r="J154" t="str">
            <v>STD</v>
          </cell>
          <cell r="L154">
            <v>14212.800000000001</v>
          </cell>
          <cell r="M154">
            <v>617.94782608695652</v>
          </cell>
          <cell r="O154" t="str">
            <v>EJE DOSIFICADOR</v>
          </cell>
        </row>
        <row r="155">
          <cell r="D155" t="str">
            <v>HTJA030009</v>
          </cell>
          <cell r="E155" t="str">
            <v>10009621</v>
          </cell>
          <cell r="F155" t="str">
            <v>UF-4600i W</v>
          </cell>
          <cell r="G155">
            <v>100000</v>
          </cell>
          <cell r="H155" t="str">
            <v>Nacional</v>
          </cell>
          <cell r="I155">
            <v>10</v>
          </cell>
          <cell r="J155" t="str">
            <v>STD</v>
          </cell>
          <cell r="L155">
            <v>30182.199999999997</v>
          </cell>
          <cell r="M155">
            <v>1312.2695652173911</v>
          </cell>
          <cell r="O155" t="str">
            <v>EJE DOSIFICADOR</v>
          </cell>
        </row>
        <row r="156">
          <cell r="D156" t="str">
            <v>HTJA030009</v>
          </cell>
          <cell r="E156" t="str">
            <v>7056050202</v>
          </cell>
          <cell r="F156" t="str">
            <v>A4 RF-91 Concept One</v>
          </cell>
          <cell r="G156">
            <v>100000</v>
          </cell>
          <cell r="H156" t="str">
            <v>Nacional</v>
          </cell>
          <cell r="I156">
            <v>10</v>
          </cell>
          <cell r="J156" t="str">
            <v>STD</v>
          </cell>
          <cell r="L156">
            <v>0</v>
          </cell>
          <cell r="M156">
            <v>0</v>
          </cell>
          <cell r="O156" t="str">
            <v>EJE DOSIFICADOR</v>
          </cell>
        </row>
        <row r="157">
          <cell r="D157" t="str">
            <v>HTJA030009</v>
          </cell>
          <cell r="E157" t="str">
            <v>7174050203</v>
          </cell>
          <cell r="F157" t="str">
            <v>A4 RF-95</v>
          </cell>
          <cell r="G157">
            <v>100000</v>
          </cell>
          <cell r="H157" t="str">
            <v>Nacional</v>
          </cell>
          <cell r="I157">
            <v>10</v>
          </cell>
          <cell r="J157" t="str">
            <v>STD</v>
          </cell>
          <cell r="L157">
            <v>6412.2000000000007</v>
          </cell>
          <cell r="M157">
            <v>278.7913043478261</v>
          </cell>
          <cell r="O157" t="str">
            <v>EJE DOSIFICADOR</v>
          </cell>
        </row>
        <row r="158">
          <cell r="D158" t="str">
            <v>HTJA030010</v>
          </cell>
          <cell r="E158" t="str">
            <v>8647050233</v>
          </cell>
          <cell r="F158" t="str">
            <v>AC-2000i Honda Acura</v>
          </cell>
          <cell r="G158">
            <v>500000</v>
          </cell>
          <cell r="H158" t="str">
            <v>Nacional</v>
          </cell>
          <cell r="I158">
            <v>15</v>
          </cell>
          <cell r="J158" t="str">
            <v>STD</v>
          </cell>
          <cell r="L158">
            <v>74801.200000000012</v>
          </cell>
          <cell r="M158">
            <v>3252.2260869565221</v>
          </cell>
          <cell r="O158" t="str">
            <v>BRAZO BASE DE RODILLO</v>
          </cell>
        </row>
        <row r="159">
          <cell r="D159" t="str">
            <v>HTJA030010</v>
          </cell>
          <cell r="E159" t="str">
            <v>10232841</v>
          </cell>
          <cell r="F159" t="str">
            <v>AC-2000i DNA (Preforma)</v>
          </cell>
          <cell r="G159">
            <v>500000</v>
          </cell>
          <cell r="H159" t="str">
            <v>Nacional</v>
          </cell>
          <cell r="I159">
            <v>15</v>
          </cell>
          <cell r="J159" t="str">
            <v>STD</v>
          </cell>
          <cell r="L159">
            <v>101200</v>
          </cell>
          <cell r="M159">
            <v>4400</v>
          </cell>
          <cell r="O159" t="str">
            <v>BRAZO BASE DE RODILLO</v>
          </cell>
        </row>
        <row r="160">
          <cell r="D160" t="str">
            <v>HTJA030010</v>
          </cell>
          <cell r="E160" t="str">
            <v>4302091005</v>
          </cell>
          <cell r="F160" t="str">
            <v>C-2000 PL-BODY</v>
          </cell>
          <cell r="G160">
            <v>500000</v>
          </cell>
          <cell r="H160" t="str">
            <v>Nacional</v>
          </cell>
          <cell r="I160">
            <v>15</v>
          </cell>
          <cell r="J160" t="str">
            <v>STD</v>
          </cell>
          <cell r="L160">
            <v>1811</v>
          </cell>
          <cell r="M160">
            <v>78.739130434782609</v>
          </cell>
          <cell r="O160" t="str">
            <v>BRAZO BASE DE RODILLO</v>
          </cell>
        </row>
        <row r="161">
          <cell r="D161" t="str">
            <v>HTJA030010</v>
          </cell>
          <cell r="E161" t="str">
            <v>7324050215</v>
          </cell>
          <cell r="F161" t="str">
            <v>AC-2300i PT-44</v>
          </cell>
          <cell r="G161">
            <v>500000</v>
          </cell>
          <cell r="H161" t="str">
            <v>Nacional</v>
          </cell>
          <cell r="I161">
            <v>15</v>
          </cell>
          <cell r="J161" t="str">
            <v>STD</v>
          </cell>
          <cell r="L161">
            <v>44731.400000000009</v>
          </cell>
          <cell r="M161">
            <v>1944.8434782608699</v>
          </cell>
          <cell r="O161" t="str">
            <v>BRAZO BASE DE RODILLO</v>
          </cell>
        </row>
        <row r="162">
          <cell r="D162" t="str">
            <v>HTJA030010</v>
          </cell>
          <cell r="E162" t="str">
            <v>10226750</v>
          </cell>
          <cell r="F162" t="str">
            <v>AC-2300i DNA (Preforma)</v>
          </cell>
          <cell r="G162">
            <v>500000</v>
          </cell>
          <cell r="H162" t="str">
            <v>Nacional</v>
          </cell>
          <cell r="I162">
            <v>15</v>
          </cell>
          <cell r="J162" t="str">
            <v>STD</v>
          </cell>
          <cell r="L162">
            <v>49420.800000000003</v>
          </cell>
          <cell r="M162">
            <v>2148.7304347826089</v>
          </cell>
          <cell r="O162" t="str">
            <v>BRAZO BASE DE RODILLO</v>
          </cell>
        </row>
        <row r="163">
          <cell r="D163" t="str">
            <v>HTJA030010</v>
          </cell>
          <cell r="E163" t="str">
            <v>7553050217</v>
          </cell>
          <cell r="F163" t="str">
            <v>AC-2600i PT-Turbo</v>
          </cell>
          <cell r="G163">
            <v>500000</v>
          </cell>
          <cell r="H163" t="str">
            <v>Nacional</v>
          </cell>
          <cell r="I163">
            <v>15</v>
          </cell>
          <cell r="J163" t="str">
            <v>STD</v>
          </cell>
          <cell r="L163">
            <v>34957.999999999993</v>
          </cell>
          <cell r="M163">
            <v>1519.9130434782605</v>
          </cell>
          <cell r="O163" t="str">
            <v>BRAZO BASE DE RODILLO</v>
          </cell>
        </row>
        <row r="164">
          <cell r="D164" t="str">
            <v>HTJA030010</v>
          </cell>
          <cell r="E164" t="str">
            <v>10001024R</v>
          </cell>
          <cell r="F164" t="str">
            <v>AC-2600i Ford Escape</v>
          </cell>
          <cell r="G164">
            <v>500000</v>
          </cell>
          <cell r="H164" t="str">
            <v>Nacional</v>
          </cell>
          <cell r="I164">
            <v>15</v>
          </cell>
          <cell r="J164" t="str">
            <v>STD</v>
          </cell>
          <cell r="L164">
            <v>56501.200000000004</v>
          </cell>
          <cell r="M164">
            <v>2456.5739130434786</v>
          </cell>
          <cell r="O164" t="str">
            <v>BRAZO BASE DE RODILLO</v>
          </cell>
        </row>
        <row r="165">
          <cell r="D165" t="str">
            <v>HTJA030010</v>
          </cell>
          <cell r="E165" t="str">
            <v>10226752</v>
          </cell>
          <cell r="F165" t="str">
            <v>AC-2600i DNA (Preforma)</v>
          </cell>
          <cell r="G165">
            <v>500000</v>
          </cell>
          <cell r="H165" t="str">
            <v>Nacional</v>
          </cell>
          <cell r="I165">
            <v>15</v>
          </cell>
          <cell r="J165" t="str">
            <v>STD</v>
          </cell>
          <cell r="L165">
            <v>26784</v>
          </cell>
          <cell r="M165">
            <v>1164.5217391304348</v>
          </cell>
          <cell r="O165" t="str">
            <v>BRAZO BASE DE RODILLO</v>
          </cell>
        </row>
        <row r="166">
          <cell r="D166" t="str">
            <v>HTJA030010</v>
          </cell>
          <cell r="E166" t="str">
            <v>10054551</v>
          </cell>
          <cell r="F166" t="str">
            <v>AC-2650 JC49 / GS PLT / DNA</v>
          </cell>
          <cell r="G166">
            <v>500000</v>
          </cell>
          <cell r="H166" t="str">
            <v>Nacional</v>
          </cell>
          <cell r="I166">
            <v>15</v>
          </cell>
          <cell r="J166" t="str">
            <v>STD</v>
          </cell>
          <cell r="L166">
            <v>7516.4</v>
          </cell>
          <cell r="M166">
            <v>326.8</v>
          </cell>
          <cell r="O166" t="str">
            <v>BRAZO BASE DE RODILLO</v>
          </cell>
        </row>
        <row r="167">
          <cell r="D167" t="str">
            <v>HTJA030010</v>
          </cell>
          <cell r="E167" t="str">
            <v>10226751</v>
          </cell>
          <cell r="F167" t="str">
            <v>AC-2650 DNA</v>
          </cell>
          <cell r="G167">
            <v>500000</v>
          </cell>
          <cell r="H167" t="str">
            <v>Nacional</v>
          </cell>
          <cell r="I167">
            <v>15</v>
          </cell>
          <cell r="J167" t="str">
            <v>STD</v>
          </cell>
          <cell r="L167">
            <v>14227.2</v>
          </cell>
          <cell r="M167">
            <v>618.57391304347834</v>
          </cell>
          <cell r="O167" t="str">
            <v>BRAZO BASE DE RODILLO</v>
          </cell>
        </row>
        <row r="168">
          <cell r="D168" t="str">
            <v>HTJA030010</v>
          </cell>
          <cell r="E168" t="str">
            <v>8152050226</v>
          </cell>
          <cell r="F168" t="str">
            <v>UF-2600i PQ-35 VW</v>
          </cell>
          <cell r="G168">
            <v>500000</v>
          </cell>
          <cell r="H168" t="str">
            <v>Nacional</v>
          </cell>
          <cell r="I168">
            <v>15</v>
          </cell>
          <cell r="J168" t="str">
            <v>STD</v>
          </cell>
          <cell r="L168">
            <v>67111.400000000023</v>
          </cell>
          <cell r="M168">
            <v>2917.8869565217401</v>
          </cell>
          <cell r="O168" t="str">
            <v>BRAZO BASE DE RODILLO</v>
          </cell>
        </row>
        <row r="169">
          <cell r="D169" t="str">
            <v>HTJA030010</v>
          </cell>
          <cell r="E169" t="str">
            <v>10060762</v>
          </cell>
          <cell r="F169" t="str">
            <v>UF-2600i Ford Explorer</v>
          </cell>
          <cell r="G169">
            <v>500000</v>
          </cell>
          <cell r="H169" t="str">
            <v>Nacional</v>
          </cell>
          <cell r="I169">
            <v>15</v>
          </cell>
          <cell r="J169" t="str">
            <v>STD</v>
          </cell>
          <cell r="L169">
            <v>0</v>
          </cell>
          <cell r="M169">
            <v>0</v>
          </cell>
          <cell r="O169" t="str">
            <v>BRAZO BASE DE RODILLO</v>
          </cell>
        </row>
        <row r="170">
          <cell r="D170" t="str">
            <v>HTJA030010</v>
          </cell>
          <cell r="E170" t="str">
            <v>00806088</v>
          </cell>
          <cell r="F170" t="str">
            <v>UF-2600i Hyundai</v>
          </cell>
          <cell r="G170">
            <v>500000</v>
          </cell>
          <cell r="H170" t="str">
            <v>Nacional</v>
          </cell>
          <cell r="I170">
            <v>15</v>
          </cell>
          <cell r="J170" t="str">
            <v>STD</v>
          </cell>
          <cell r="L170">
            <v>0</v>
          </cell>
          <cell r="M170">
            <v>0</v>
          </cell>
          <cell r="O170" t="str">
            <v>BRAZO BASE DE RODILLO</v>
          </cell>
        </row>
        <row r="171">
          <cell r="D171" t="str">
            <v>HTJA030010</v>
          </cell>
          <cell r="E171" t="str">
            <v>10235857</v>
          </cell>
          <cell r="F171" t="str">
            <v>UF-2600i DNA (Preforma)</v>
          </cell>
          <cell r="G171">
            <v>500000</v>
          </cell>
          <cell r="H171" t="str">
            <v>Nacional</v>
          </cell>
          <cell r="I171">
            <v>15</v>
          </cell>
          <cell r="J171" t="str">
            <v>STD</v>
          </cell>
          <cell r="L171">
            <v>0</v>
          </cell>
          <cell r="M171">
            <v>0</v>
          </cell>
          <cell r="O171" t="str">
            <v>BRAZO BASE DE RODILLO</v>
          </cell>
        </row>
        <row r="172">
          <cell r="D172" t="str">
            <v>HTJA030010</v>
          </cell>
          <cell r="E172" t="str">
            <v>10018041</v>
          </cell>
          <cell r="F172" t="str">
            <v>UF-3300i W</v>
          </cell>
          <cell r="G172">
            <v>500000</v>
          </cell>
          <cell r="H172" t="str">
            <v>Nacional</v>
          </cell>
          <cell r="I172">
            <v>15</v>
          </cell>
          <cell r="J172" t="str">
            <v>STD</v>
          </cell>
          <cell r="L172">
            <v>14212.800000000001</v>
          </cell>
          <cell r="M172">
            <v>617.94782608695652</v>
          </cell>
          <cell r="O172" t="str">
            <v>BRAZO BASE DE RODILLO</v>
          </cell>
        </row>
        <row r="173">
          <cell r="D173" t="str">
            <v>HTJA030010</v>
          </cell>
          <cell r="E173" t="str">
            <v>10009621</v>
          </cell>
          <cell r="F173" t="str">
            <v>UF-4600i W</v>
          </cell>
          <cell r="G173">
            <v>500000</v>
          </cell>
          <cell r="H173" t="str">
            <v>Nacional</v>
          </cell>
          <cell r="I173">
            <v>15</v>
          </cell>
          <cell r="J173" t="str">
            <v>STD</v>
          </cell>
          <cell r="L173">
            <v>30182.199999999997</v>
          </cell>
          <cell r="M173">
            <v>1312.2695652173911</v>
          </cell>
          <cell r="O173" t="str">
            <v>BRAZO BASE DE RODILLO</v>
          </cell>
        </row>
        <row r="174">
          <cell r="D174" t="str">
            <v>HTJA030010</v>
          </cell>
          <cell r="E174" t="str">
            <v>7056050202</v>
          </cell>
          <cell r="F174" t="str">
            <v>A4 RF-91 Concept One</v>
          </cell>
          <cell r="G174">
            <v>500000</v>
          </cell>
          <cell r="H174" t="str">
            <v>Nacional</v>
          </cell>
          <cell r="I174">
            <v>15</v>
          </cell>
          <cell r="J174" t="str">
            <v>STD</v>
          </cell>
          <cell r="L174">
            <v>0</v>
          </cell>
          <cell r="M174">
            <v>0</v>
          </cell>
          <cell r="O174" t="str">
            <v>BRAZO BASE DE RODILLO</v>
          </cell>
        </row>
        <row r="175">
          <cell r="D175" t="str">
            <v>HTJA030010</v>
          </cell>
          <cell r="E175" t="str">
            <v>7174050203</v>
          </cell>
          <cell r="F175" t="str">
            <v>A4 RF-95</v>
          </cell>
          <cell r="G175">
            <v>500000</v>
          </cell>
          <cell r="H175" t="str">
            <v>Nacional</v>
          </cell>
          <cell r="I175">
            <v>15</v>
          </cell>
          <cell r="J175" t="str">
            <v>STD</v>
          </cell>
          <cell r="L175">
            <v>6412.2000000000007</v>
          </cell>
          <cell r="M175">
            <v>278.7913043478261</v>
          </cell>
          <cell r="O175" t="str">
            <v>BRAZO BASE DE RODILLO</v>
          </cell>
        </row>
        <row r="176">
          <cell r="D176" t="str">
            <v>HTJA030011</v>
          </cell>
          <cell r="E176" t="str">
            <v>8647050233</v>
          </cell>
          <cell r="F176" t="str">
            <v>AC-2000i Honda Acura</v>
          </cell>
          <cell r="G176">
            <v>500000</v>
          </cell>
          <cell r="H176" t="str">
            <v>Nacional</v>
          </cell>
          <cell r="I176">
            <v>10</v>
          </cell>
          <cell r="J176" t="str">
            <v>STD</v>
          </cell>
          <cell r="L176">
            <v>74801.200000000012</v>
          </cell>
          <cell r="M176">
            <v>3252.2260869565221</v>
          </cell>
          <cell r="O176" t="str">
            <v>BARRA ROSCADA CABEZAL IZQUIERDO</v>
          </cell>
        </row>
        <row r="177">
          <cell r="D177" t="str">
            <v>HTJA030011</v>
          </cell>
          <cell r="E177" t="str">
            <v>10232841</v>
          </cell>
          <cell r="F177" t="str">
            <v>AC-2000i DNA (Preforma)</v>
          </cell>
          <cell r="G177">
            <v>500000</v>
          </cell>
          <cell r="H177" t="str">
            <v>Nacional</v>
          </cell>
          <cell r="I177">
            <v>10</v>
          </cell>
          <cell r="J177" t="str">
            <v>STD</v>
          </cell>
          <cell r="L177">
            <v>101200</v>
          </cell>
          <cell r="M177">
            <v>4400</v>
          </cell>
          <cell r="O177" t="str">
            <v>BARRA ROSCADA CABEZAL IZQUIERDO</v>
          </cell>
        </row>
        <row r="178">
          <cell r="D178" t="str">
            <v>HTJA030011</v>
          </cell>
          <cell r="E178" t="str">
            <v>4302091005</v>
          </cell>
          <cell r="F178" t="str">
            <v>C-2000 PL-BODY</v>
          </cell>
          <cell r="G178">
            <v>500000</v>
          </cell>
          <cell r="H178" t="str">
            <v>Nacional</v>
          </cell>
          <cell r="I178">
            <v>10</v>
          </cell>
          <cell r="J178" t="str">
            <v>STD</v>
          </cell>
          <cell r="L178">
            <v>1811</v>
          </cell>
          <cell r="M178">
            <v>78.739130434782609</v>
          </cell>
          <cell r="O178" t="str">
            <v>BARRA ROSCADA CABEZAL IZQUIERDO</v>
          </cell>
        </row>
        <row r="179">
          <cell r="D179" t="str">
            <v>HTJA030011</v>
          </cell>
          <cell r="E179" t="str">
            <v>7324050215</v>
          </cell>
          <cell r="F179" t="str">
            <v>AC-2300i PT-44</v>
          </cell>
          <cell r="G179">
            <v>500000</v>
          </cell>
          <cell r="H179" t="str">
            <v>Nacional</v>
          </cell>
          <cell r="I179">
            <v>10</v>
          </cell>
          <cell r="J179" t="str">
            <v>STD</v>
          </cell>
          <cell r="L179">
            <v>44731.400000000009</v>
          </cell>
          <cell r="M179">
            <v>1944.8434782608699</v>
          </cell>
          <cell r="O179" t="str">
            <v>BARRA ROSCADA CABEZAL IZQUIERDO</v>
          </cell>
        </row>
        <row r="180">
          <cell r="D180" t="str">
            <v>HTJA030011</v>
          </cell>
          <cell r="E180" t="str">
            <v>10226750</v>
          </cell>
          <cell r="F180" t="str">
            <v>AC-2300i DNA (Preforma)</v>
          </cell>
          <cell r="G180">
            <v>500000</v>
          </cell>
          <cell r="H180" t="str">
            <v>Nacional</v>
          </cell>
          <cell r="I180">
            <v>10</v>
          </cell>
          <cell r="J180" t="str">
            <v>STD</v>
          </cell>
          <cell r="L180">
            <v>49420.800000000003</v>
          </cell>
          <cell r="M180">
            <v>2148.7304347826089</v>
          </cell>
          <cell r="O180" t="str">
            <v>BARRA ROSCADA CABEZAL IZQUIERDO</v>
          </cell>
        </row>
        <row r="181">
          <cell r="D181" t="str">
            <v>HTJA030011</v>
          </cell>
          <cell r="E181" t="str">
            <v>7553050217</v>
          </cell>
          <cell r="F181" t="str">
            <v>AC-2600i PT-Turbo</v>
          </cell>
          <cell r="G181">
            <v>500000</v>
          </cell>
          <cell r="H181" t="str">
            <v>Nacional</v>
          </cell>
          <cell r="I181">
            <v>10</v>
          </cell>
          <cell r="J181" t="str">
            <v>STD</v>
          </cell>
          <cell r="L181">
            <v>34957.999999999993</v>
          </cell>
          <cell r="M181">
            <v>1519.9130434782605</v>
          </cell>
          <cell r="O181" t="str">
            <v>BARRA ROSCADA CABEZAL IZQUIERDO</v>
          </cell>
        </row>
        <row r="182">
          <cell r="D182" t="str">
            <v>HTJA030011</v>
          </cell>
          <cell r="E182" t="str">
            <v>10001024R</v>
          </cell>
          <cell r="F182" t="str">
            <v>AC-2600i Ford Escape</v>
          </cell>
          <cell r="G182">
            <v>500000</v>
          </cell>
          <cell r="H182" t="str">
            <v>Nacional</v>
          </cell>
          <cell r="I182">
            <v>10</v>
          </cell>
          <cell r="J182" t="str">
            <v>STD</v>
          </cell>
          <cell r="L182">
            <v>56501.200000000004</v>
          </cell>
          <cell r="M182">
            <v>2456.5739130434786</v>
          </cell>
          <cell r="O182" t="str">
            <v>BARRA ROSCADA CABEZAL IZQUIERDO</v>
          </cell>
        </row>
        <row r="183">
          <cell r="D183" t="str">
            <v>HTJA030011</v>
          </cell>
          <cell r="E183" t="str">
            <v>10226752</v>
          </cell>
          <cell r="F183" t="str">
            <v>AC-2600i DNA (Preforma)</v>
          </cell>
          <cell r="G183">
            <v>500000</v>
          </cell>
          <cell r="H183" t="str">
            <v>Nacional</v>
          </cell>
          <cell r="I183">
            <v>10</v>
          </cell>
          <cell r="J183" t="str">
            <v>STD</v>
          </cell>
          <cell r="L183">
            <v>26784</v>
          </cell>
          <cell r="M183">
            <v>1164.5217391304348</v>
          </cell>
          <cell r="O183" t="str">
            <v>BARRA ROSCADA CABEZAL IZQUIERDO</v>
          </cell>
        </row>
        <row r="184">
          <cell r="D184" t="str">
            <v>HTJA030011</v>
          </cell>
          <cell r="E184" t="str">
            <v>10054551</v>
          </cell>
          <cell r="F184" t="str">
            <v>AC-2650 JC49 / GS PLT / DNA</v>
          </cell>
          <cell r="G184">
            <v>500000</v>
          </cell>
          <cell r="H184" t="str">
            <v>Nacional</v>
          </cell>
          <cell r="I184">
            <v>10</v>
          </cell>
          <cell r="J184" t="str">
            <v>STD</v>
          </cell>
          <cell r="L184">
            <v>7516.4</v>
          </cell>
          <cell r="M184">
            <v>326.8</v>
          </cell>
          <cell r="O184" t="str">
            <v>BARRA ROSCADA CABEZAL IZQUIERDO</v>
          </cell>
        </row>
        <row r="185">
          <cell r="D185" t="str">
            <v>HTJA030011</v>
          </cell>
          <cell r="E185" t="str">
            <v>10226751</v>
          </cell>
          <cell r="F185" t="str">
            <v>AC-2650 DNA</v>
          </cell>
          <cell r="G185">
            <v>500000</v>
          </cell>
          <cell r="H185" t="str">
            <v>Nacional</v>
          </cell>
          <cell r="I185">
            <v>10</v>
          </cell>
          <cell r="J185" t="str">
            <v>STD</v>
          </cell>
          <cell r="L185">
            <v>14227.2</v>
          </cell>
          <cell r="M185">
            <v>618.57391304347834</v>
          </cell>
          <cell r="O185" t="str">
            <v>BARRA ROSCADA CABEZAL IZQUIERDO</v>
          </cell>
        </row>
        <row r="186">
          <cell r="D186" t="str">
            <v>HTJA030011</v>
          </cell>
          <cell r="E186" t="str">
            <v>8152050226</v>
          </cell>
          <cell r="F186" t="str">
            <v>UF-2600i PQ-35 VW</v>
          </cell>
          <cell r="G186">
            <v>500000</v>
          </cell>
          <cell r="H186" t="str">
            <v>Nacional</v>
          </cell>
          <cell r="I186">
            <v>10</v>
          </cell>
          <cell r="J186" t="str">
            <v>STD</v>
          </cell>
          <cell r="L186">
            <v>67111.400000000023</v>
          </cell>
          <cell r="M186">
            <v>2917.8869565217401</v>
          </cell>
          <cell r="O186" t="str">
            <v>BARRA ROSCADA CABEZAL IZQUIERDO</v>
          </cell>
        </row>
        <row r="187">
          <cell r="D187" t="str">
            <v>HTJA030011</v>
          </cell>
          <cell r="E187" t="str">
            <v>10060762</v>
          </cell>
          <cell r="F187" t="str">
            <v>UF-2600i Ford Explorer</v>
          </cell>
          <cell r="G187">
            <v>500000</v>
          </cell>
          <cell r="H187" t="str">
            <v>Nacional</v>
          </cell>
          <cell r="I187">
            <v>10</v>
          </cell>
          <cell r="J187" t="str">
            <v>STD</v>
          </cell>
          <cell r="L187">
            <v>0</v>
          </cell>
          <cell r="M187">
            <v>0</v>
          </cell>
          <cell r="O187" t="str">
            <v>BARRA ROSCADA CABEZAL IZQUIERDO</v>
          </cell>
        </row>
        <row r="188">
          <cell r="D188" t="str">
            <v>HTJA030011</v>
          </cell>
          <cell r="E188" t="str">
            <v>00806088</v>
          </cell>
          <cell r="F188" t="str">
            <v>UF-2600i Hyundai</v>
          </cell>
          <cell r="G188">
            <v>500000</v>
          </cell>
          <cell r="H188" t="str">
            <v>Nacional</v>
          </cell>
          <cell r="I188">
            <v>10</v>
          </cell>
          <cell r="J188" t="str">
            <v>STD</v>
          </cell>
          <cell r="L188">
            <v>0</v>
          </cell>
          <cell r="M188">
            <v>0</v>
          </cell>
          <cell r="O188" t="str">
            <v>BARRA ROSCADA CABEZAL IZQUIERDO</v>
          </cell>
        </row>
        <row r="189">
          <cell r="D189" t="str">
            <v>HTJA030011</v>
          </cell>
          <cell r="E189" t="str">
            <v>10235857</v>
          </cell>
          <cell r="F189" t="str">
            <v>UF-2600i DNA (Preforma)</v>
          </cell>
          <cell r="G189">
            <v>500000</v>
          </cell>
          <cell r="H189" t="str">
            <v>Nacional</v>
          </cell>
          <cell r="I189">
            <v>10</v>
          </cell>
          <cell r="J189" t="str">
            <v>STD</v>
          </cell>
          <cell r="L189">
            <v>0</v>
          </cell>
          <cell r="M189">
            <v>0</v>
          </cell>
          <cell r="O189" t="str">
            <v>BARRA ROSCADA CABEZAL IZQUIERDO</v>
          </cell>
        </row>
        <row r="190">
          <cell r="D190" t="str">
            <v>HTJA030011</v>
          </cell>
          <cell r="E190" t="str">
            <v>10018041</v>
          </cell>
          <cell r="F190" t="str">
            <v>UF-3300i W</v>
          </cell>
          <cell r="G190">
            <v>500000</v>
          </cell>
          <cell r="H190" t="str">
            <v>Nacional</v>
          </cell>
          <cell r="I190">
            <v>10</v>
          </cell>
          <cell r="J190" t="str">
            <v>STD</v>
          </cell>
          <cell r="L190">
            <v>14212.800000000001</v>
          </cell>
          <cell r="M190">
            <v>617.94782608695652</v>
          </cell>
          <cell r="O190" t="str">
            <v>BARRA ROSCADA CABEZAL IZQUIERDO</v>
          </cell>
        </row>
        <row r="191">
          <cell r="D191" t="str">
            <v>HTJA030011</v>
          </cell>
          <cell r="E191" t="str">
            <v>10009621</v>
          </cell>
          <cell r="F191" t="str">
            <v>UF-4600i W</v>
          </cell>
          <cell r="G191">
            <v>500000</v>
          </cell>
          <cell r="H191" t="str">
            <v>Nacional</v>
          </cell>
          <cell r="I191">
            <v>10</v>
          </cell>
          <cell r="J191" t="str">
            <v>STD</v>
          </cell>
          <cell r="L191">
            <v>30182.199999999997</v>
          </cell>
          <cell r="M191">
            <v>1312.2695652173911</v>
          </cell>
          <cell r="O191" t="str">
            <v>BARRA ROSCADA CABEZAL IZQUIERDO</v>
          </cell>
        </row>
        <row r="192">
          <cell r="D192" t="str">
            <v>HTJA030011</v>
          </cell>
          <cell r="E192" t="str">
            <v>7056050202</v>
          </cell>
          <cell r="F192" t="str">
            <v>A4 RF-91 Concept One</v>
          </cell>
          <cell r="G192">
            <v>500000</v>
          </cell>
          <cell r="H192" t="str">
            <v>Nacional</v>
          </cell>
          <cell r="I192">
            <v>10</v>
          </cell>
          <cell r="J192" t="str">
            <v>STD</v>
          </cell>
          <cell r="L192">
            <v>0</v>
          </cell>
          <cell r="M192">
            <v>0</v>
          </cell>
          <cell r="O192" t="str">
            <v>BARRA ROSCADA CABEZAL IZQUIERDO</v>
          </cell>
        </row>
        <row r="193">
          <cell r="D193" t="str">
            <v>HTJA030011</v>
          </cell>
          <cell r="E193" t="str">
            <v>7174050203</v>
          </cell>
          <cell r="F193" t="str">
            <v>A4 RF-95</v>
          </cell>
          <cell r="G193">
            <v>500000</v>
          </cell>
          <cell r="H193" t="str">
            <v>Nacional</v>
          </cell>
          <cell r="I193">
            <v>10</v>
          </cell>
          <cell r="J193" t="str">
            <v>STD</v>
          </cell>
          <cell r="L193">
            <v>6412.2000000000007</v>
          </cell>
          <cell r="M193">
            <v>278.7913043478261</v>
          </cell>
          <cell r="O193" t="str">
            <v>BARRA ROSCADA CABEZAL IZQUIERDO</v>
          </cell>
        </row>
        <row r="194">
          <cell r="D194" t="str">
            <v>HTJA030012</v>
          </cell>
          <cell r="E194" t="str">
            <v>8647050233</v>
          </cell>
          <cell r="F194" t="str">
            <v>AC-2000i Honda Acura</v>
          </cell>
          <cell r="G194">
            <v>500000</v>
          </cell>
          <cell r="H194" t="str">
            <v>Nacional</v>
          </cell>
          <cell r="I194">
            <v>10</v>
          </cell>
          <cell r="J194" t="str">
            <v>STD</v>
          </cell>
          <cell r="L194">
            <v>74801.200000000012</v>
          </cell>
          <cell r="M194">
            <v>3252.2260869565221</v>
          </cell>
          <cell r="O194" t="str">
            <v>BARRA ROSCADA CABEZAL DERECHO</v>
          </cell>
        </row>
        <row r="195">
          <cell r="D195" t="str">
            <v>HTJA030012</v>
          </cell>
          <cell r="E195" t="str">
            <v>10232841</v>
          </cell>
          <cell r="F195" t="str">
            <v>AC-2000i DNA (Preforma)</v>
          </cell>
          <cell r="G195">
            <v>500000</v>
          </cell>
          <cell r="H195" t="str">
            <v>Nacional</v>
          </cell>
          <cell r="I195">
            <v>10</v>
          </cell>
          <cell r="J195" t="str">
            <v>STD</v>
          </cell>
          <cell r="L195">
            <v>101200</v>
          </cell>
          <cell r="M195">
            <v>4400</v>
          </cell>
          <cell r="O195" t="str">
            <v>BARRA ROSCADA CABEZAL DERECHO</v>
          </cell>
        </row>
        <row r="196">
          <cell r="D196" t="str">
            <v>HTJA030012</v>
          </cell>
          <cell r="E196" t="str">
            <v>4302091005</v>
          </cell>
          <cell r="F196" t="str">
            <v>C-2000 PL-BODY</v>
          </cell>
          <cell r="G196">
            <v>500000</v>
          </cell>
          <cell r="H196" t="str">
            <v>Nacional</v>
          </cell>
          <cell r="I196">
            <v>10</v>
          </cell>
          <cell r="J196" t="str">
            <v>STD</v>
          </cell>
          <cell r="L196">
            <v>1811</v>
          </cell>
          <cell r="M196">
            <v>78.739130434782609</v>
          </cell>
          <cell r="O196" t="str">
            <v>BARRA ROSCADA CABEZAL DERECHO</v>
          </cell>
        </row>
        <row r="197">
          <cell r="D197" t="str">
            <v>HTJA030012</v>
          </cell>
          <cell r="E197" t="str">
            <v>7324050215</v>
          </cell>
          <cell r="F197" t="str">
            <v>AC-2300i PT-44</v>
          </cell>
          <cell r="G197">
            <v>500000</v>
          </cell>
          <cell r="H197" t="str">
            <v>Nacional</v>
          </cell>
          <cell r="I197">
            <v>10</v>
          </cell>
          <cell r="J197" t="str">
            <v>STD</v>
          </cell>
          <cell r="L197">
            <v>44731.400000000009</v>
          </cell>
          <cell r="M197">
            <v>1944.8434782608699</v>
          </cell>
          <cell r="O197" t="str">
            <v>BARRA ROSCADA CABEZAL DERECHO</v>
          </cell>
        </row>
        <row r="198">
          <cell r="D198" t="str">
            <v>HTJA030012</v>
          </cell>
          <cell r="E198" t="str">
            <v>10226750</v>
          </cell>
          <cell r="F198" t="str">
            <v>AC-2300i DNA (Preforma)</v>
          </cell>
          <cell r="G198">
            <v>500000</v>
          </cell>
          <cell r="H198" t="str">
            <v>Nacional</v>
          </cell>
          <cell r="I198">
            <v>10</v>
          </cell>
          <cell r="J198" t="str">
            <v>STD</v>
          </cell>
          <cell r="L198">
            <v>49420.800000000003</v>
          </cell>
          <cell r="M198">
            <v>2148.7304347826089</v>
          </cell>
          <cell r="O198" t="str">
            <v>BARRA ROSCADA CABEZAL DERECHO</v>
          </cell>
        </row>
        <row r="199">
          <cell r="D199" t="str">
            <v>HTJA030012</v>
          </cell>
          <cell r="E199" t="str">
            <v>7553050217</v>
          </cell>
          <cell r="F199" t="str">
            <v>AC-2600i PT-Turbo</v>
          </cell>
          <cell r="G199">
            <v>500000</v>
          </cell>
          <cell r="H199" t="str">
            <v>Nacional</v>
          </cell>
          <cell r="I199">
            <v>10</v>
          </cell>
          <cell r="J199" t="str">
            <v>STD</v>
          </cell>
          <cell r="L199">
            <v>34957.999999999993</v>
          </cell>
          <cell r="M199">
            <v>1519.9130434782605</v>
          </cell>
          <cell r="O199" t="str">
            <v>BARRA ROSCADA CABEZAL DERECHO</v>
          </cell>
        </row>
        <row r="200">
          <cell r="D200" t="str">
            <v>HTJA030012</v>
          </cell>
          <cell r="E200" t="str">
            <v>10001024R</v>
          </cell>
          <cell r="F200" t="str">
            <v>AC-2600i Ford Escape</v>
          </cell>
          <cell r="G200">
            <v>500000</v>
          </cell>
          <cell r="H200" t="str">
            <v>Nacional</v>
          </cell>
          <cell r="I200">
            <v>10</v>
          </cell>
          <cell r="J200" t="str">
            <v>STD</v>
          </cell>
          <cell r="L200">
            <v>56501.200000000004</v>
          </cell>
          <cell r="M200">
            <v>2456.5739130434786</v>
          </cell>
          <cell r="O200" t="str">
            <v>BARRA ROSCADA CABEZAL DERECHO</v>
          </cell>
        </row>
        <row r="201">
          <cell r="D201" t="str">
            <v>HTJA030012</v>
          </cell>
          <cell r="E201" t="str">
            <v>10226752</v>
          </cell>
          <cell r="F201" t="str">
            <v>AC-2600i DNA (Preforma)</v>
          </cell>
          <cell r="G201">
            <v>500000</v>
          </cell>
          <cell r="H201" t="str">
            <v>Nacional</v>
          </cell>
          <cell r="I201">
            <v>10</v>
          </cell>
          <cell r="J201" t="str">
            <v>STD</v>
          </cell>
          <cell r="L201">
            <v>26784</v>
          </cell>
          <cell r="M201">
            <v>1164.5217391304348</v>
          </cell>
          <cell r="O201" t="str">
            <v>BARRA ROSCADA CABEZAL DERECHO</v>
          </cell>
        </row>
        <row r="202">
          <cell r="D202" t="str">
            <v>HTJA030012</v>
          </cell>
          <cell r="E202" t="str">
            <v>10054551</v>
          </cell>
          <cell r="F202" t="str">
            <v>AC-2650 JC49 / GS PLT / DNA</v>
          </cell>
          <cell r="G202">
            <v>500000</v>
          </cell>
          <cell r="H202" t="str">
            <v>Nacional</v>
          </cell>
          <cell r="I202">
            <v>10</v>
          </cell>
          <cell r="J202" t="str">
            <v>STD</v>
          </cell>
          <cell r="L202">
            <v>7516.4</v>
          </cell>
          <cell r="M202">
            <v>326.8</v>
          </cell>
          <cell r="O202" t="str">
            <v>BARRA ROSCADA CABEZAL DERECHO</v>
          </cell>
        </row>
        <row r="203">
          <cell r="D203" t="str">
            <v>HTJA030012</v>
          </cell>
          <cell r="E203" t="str">
            <v>10226751</v>
          </cell>
          <cell r="F203" t="str">
            <v>AC-2650 DNA</v>
          </cell>
          <cell r="G203">
            <v>500000</v>
          </cell>
          <cell r="H203" t="str">
            <v>Nacional</v>
          </cell>
          <cell r="I203">
            <v>10</v>
          </cell>
          <cell r="J203" t="str">
            <v>STD</v>
          </cell>
          <cell r="L203">
            <v>14227.2</v>
          </cell>
          <cell r="M203">
            <v>618.57391304347834</v>
          </cell>
          <cell r="O203" t="str">
            <v>BARRA ROSCADA CABEZAL DERECHO</v>
          </cell>
        </row>
        <row r="204">
          <cell r="D204" t="str">
            <v>HTJA030012</v>
          </cell>
          <cell r="E204" t="str">
            <v>8152050226</v>
          </cell>
          <cell r="F204" t="str">
            <v>UF-2600i PQ-35 VW</v>
          </cell>
          <cell r="G204">
            <v>500000</v>
          </cell>
          <cell r="H204" t="str">
            <v>Nacional</v>
          </cell>
          <cell r="I204">
            <v>10</v>
          </cell>
          <cell r="J204" t="str">
            <v>STD</v>
          </cell>
          <cell r="L204">
            <v>67111.400000000023</v>
          </cell>
          <cell r="M204">
            <v>2917.8869565217401</v>
          </cell>
          <cell r="O204" t="str">
            <v>BARRA ROSCADA CABEZAL DERECHO</v>
          </cell>
        </row>
        <row r="205">
          <cell r="D205" t="str">
            <v>HTJA030012</v>
          </cell>
          <cell r="E205" t="str">
            <v>10060762</v>
          </cell>
          <cell r="F205" t="str">
            <v>UF-2600i Ford Explorer</v>
          </cell>
          <cell r="G205">
            <v>500000</v>
          </cell>
          <cell r="H205" t="str">
            <v>Nacional</v>
          </cell>
          <cell r="I205">
            <v>10</v>
          </cell>
          <cell r="J205" t="str">
            <v>STD</v>
          </cell>
          <cell r="L205">
            <v>0</v>
          </cell>
          <cell r="M205">
            <v>0</v>
          </cell>
          <cell r="O205" t="str">
            <v>BARRA ROSCADA CABEZAL DERECHO</v>
          </cell>
        </row>
        <row r="206">
          <cell r="D206" t="str">
            <v>HTJA030012</v>
          </cell>
          <cell r="E206" t="str">
            <v>00806088</v>
          </cell>
          <cell r="F206" t="str">
            <v>UF-2600i Hyundai</v>
          </cell>
          <cell r="G206">
            <v>500000</v>
          </cell>
          <cell r="H206" t="str">
            <v>Nacional</v>
          </cell>
          <cell r="I206">
            <v>10</v>
          </cell>
          <cell r="J206" t="str">
            <v>STD</v>
          </cell>
          <cell r="L206">
            <v>0</v>
          </cell>
          <cell r="M206">
            <v>0</v>
          </cell>
          <cell r="O206" t="str">
            <v>BARRA ROSCADA CABEZAL DERECHO</v>
          </cell>
        </row>
        <row r="207">
          <cell r="D207" t="str">
            <v>HTJA030012</v>
          </cell>
          <cell r="E207" t="str">
            <v>10235857</v>
          </cell>
          <cell r="F207" t="str">
            <v>UF-2600i DNA (Preforma)</v>
          </cell>
          <cell r="G207">
            <v>500000</v>
          </cell>
          <cell r="H207" t="str">
            <v>Nacional</v>
          </cell>
          <cell r="I207">
            <v>10</v>
          </cell>
          <cell r="J207" t="str">
            <v>STD</v>
          </cell>
          <cell r="L207">
            <v>0</v>
          </cell>
          <cell r="M207">
            <v>0</v>
          </cell>
          <cell r="O207" t="str">
            <v>BARRA ROSCADA CABEZAL DERECHO</v>
          </cell>
        </row>
        <row r="208">
          <cell r="D208" t="str">
            <v>HTJA030012</v>
          </cell>
          <cell r="E208" t="str">
            <v>10018041</v>
          </cell>
          <cell r="F208" t="str">
            <v>UF-3300i W</v>
          </cell>
          <cell r="G208">
            <v>500000</v>
          </cell>
          <cell r="H208" t="str">
            <v>Nacional</v>
          </cell>
          <cell r="I208">
            <v>10</v>
          </cell>
          <cell r="J208" t="str">
            <v>STD</v>
          </cell>
          <cell r="L208">
            <v>14212.800000000001</v>
          </cell>
          <cell r="M208">
            <v>617.94782608695652</v>
          </cell>
          <cell r="O208" t="str">
            <v>BARRA ROSCADA CABEZAL DERECHO</v>
          </cell>
        </row>
        <row r="209">
          <cell r="D209" t="str">
            <v>HTJA030012</v>
          </cell>
          <cell r="E209" t="str">
            <v>10009621</v>
          </cell>
          <cell r="F209" t="str">
            <v>UF-4600i W</v>
          </cell>
          <cell r="G209">
            <v>500000</v>
          </cell>
          <cell r="H209" t="str">
            <v>Nacional</v>
          </cell>
          <cell r="I209">
            <v>10</v>
          </cell>
          <cell r="J209" t="str">
            <v>STD</v>
          </cell>
          <cell r="L209">
            <v>30182.199999999997</v>
          </cell>
          <cell r="M209">
            <v>1312.2695652173911</v>
          </cell>
          <cell r="O209" t="str">
            <v>BARRA ROSCADA CABEZAL DERECHO</v>
          </cell>
        </row>
        <row r="210">
          <cell r="D210" t="str">
            <v>HTJA030012</v>
          </cell>
          <cell r="E210" t="str">
            <v>7056050202</v>
          </cell>
          <cell r="F210" t="str">
            <v>A4 RF-91 Concept One</v>
          </cell>
          <cell r="G210">
            <v>500000</v>
          </cell>
          <cell r="H210" t="str">
            <v>Nacional</v>
          </cell>
          <cell r="I210">
            <v>10</v>
          </cell>
          <cell r="J210" t="str">
            <v>STD</v>
          </cell>
          <cell r="L210">
            <v>0</v>
          </cell>
          <cell r="M210">
            <v>0</v>
          </cell>
          <cell r="O210" t="str">
            <v>BARRA ROSCADA CABEZAL DERECHO</v>
          </cell>
        </row>
        <row r="211">
          <cell r="D211" t="str">
            <v>HTJA030012</v>
          </cell>
          <cell r="E211" t="str">
            <v>7174050203</v>
          </cell>
          <cell r="F211" t="str">
            <v>A4 RF-95</v>
          </cell>
          <cell r="G211">
            <v>500000</v>
          </cell>
          <cell r="H211" t="str">
            <v>Nacional</v>
          </cell>
          <cell r="I211">
            <v>10</v>
          </cell>
          <cell r="J211" t="str">
            <v>STD</v>
          </cell>
          <cell r="L211">
            <v>6412.2000000000007</v>
          </cell>
          <cell r="M211">
            <v>278.7913043478261</v>
          </cell>
          <cell r="O211" t="str">
            <v>BARRA ROSCADA CABEZAL DERECHO</v>
          </cell>
        </row>
        <row r="212">
          <cell r="D212" t="str">
            <v>HTJA030014</v>
          </cell>
          <cell r="E212" t="str">
            <v>8647050233</v>
          </cell>
          <cell r="F212" t="str">
            <v>AC-2000i Honda Acura</v>
          </cell>
          <cell r="G212">
            <v>300000</v>
          </cell>
          <cell r="H212" t="str">
            <v>Profirrol</v>
          </cell>
          <cell r="I212">
            <v>30</v>
          </cell>
          <cell r="J212" t="str">
            <v>STD</v>
          </cell>
          <cell r="L212">
            <v>74729.200000000012</v>
          </cell>
          <cell r="M212">
            <v>3249.0956521739135</v>
          </cell>
          <cell r="O212" t="str">
            <v>SOPORTE DE ALIMENTADOR</v>
          </cell>
        </row>
        <row r="213">
          <cell r="D213" t="str">
            <v>HTJA030014</v>
          </cell>
          <cell r="E213" t="str">
            <v>10232841</v>
          </cell>
          <cell r="F213" t="str">
            <v>AC-2000i DNA (Preforma)</v>
          </cell>
          <cell r="G213">
            <v>300000</v>
          </cell>
          <cell r="H213" t="str">
            <v>Profirrol</v>
          </cell>
          <cell r="I213">
            <v>30</v>
          </cell>
          <cell r="J213" t="str">
            <v>STD</v>
          </cell>
          <cell r="L213">
            <v>99000</v>
          </cell>
          <cell r="M213">
            <v>4304.347826086957</v>
          </cell>
          <cell r="O213" t="str">
            <v>SOPORTE DE ALIMENTADOR</v>
          </cell>
        </row>
        <row r="214">
          <cell r="D214" t="str">
            <v>HTJA030014</v>
          </cell>
          <cell r="E214" t="str">
            <v>4302091005</v>
          </cell>
          <cell r="F214" t="str">
            <v>C-2000 PL-BODY</v>
          </cell>
          <cell r="G214">
            <v>300000</v>
          </cell>
          <cell r="H214" t="str">
            <v>Profirrol</v>
          </cell>
          <cell r="I214">
            <v>30</v>
          </cell>
          <cell r="J214" t="str">
            <v>STD</v>
          </cell>
          <cell r="L214">
            <v>0</v>
          </cell>
          <cell r="M214">
            <v>0</v>
          </cell>
          <cell r="O214" t="str">
            <v>SOPORTE DE ALIMENTADOR</v>
          </cell>
        </row>
        <row r="215">
          <cell r="D215" t="str">
            <v>HTJA030014</v>
          </cell>
          <cell r="E215" t="str">
            <v>7324050215</v>
          </cell>
          <cell r="F215" t="str">
            <v>AC-2300i PT-44</v>
          </cell>
          <cell r="G215">
            <v>300000</v>
          </cell>
          <cell r="H215" t="str">
            <v>Profirrol</v>
          </cell>
          <cell r="I215">
            <v>30</v>
          </cell>
          <cell r="J215" t="str">
            <v>STD</v>
          </cell>
          <cell r="L215">
            <v>58512.600000000006</v>
          </cell>
          <cell r="M215">
            <v>2544.0260869565218</v>
          </cell>
          <cell r="O215" t="str">
            <v>SOPORTE DE ALIMENTADOR</v>
          </cell>
        </row>
        <row r="216">
          <cell r="D216" t="str">
            <v>HTJA030014</v>
          </cell>
          <cell r="E216" t="str">
            <v>10226750</v>
          </cell>
          <cell r="F216" t="str">
            <v>AC-2300i DNA (Preforma)</v>
          </cell>
          <cell r="G216">
            <v>300000</v>
          </cell>
          <cell r="H216" t="str">
            <v>Profirrol</v>
          </cell>
          <cell r="I216">
            <v>30</v>
          </cell>
          <cell r="J216" t="str">
            <v>STD</v>
          </cell>
          <cell r="L216">
            <v>52509.599999999999</v>
          </cell>
          <cell r="M216">
            <v>2283.0260869565218</v>
          </cell>
          <cell r="O216" t="str">
            <v>SOPORTE DE ALIMENTADOR</v>
          </cell>
        </row>
        <row r="217">
          <cell r="D217" t="str">
            <v>HTJA030014</v>
          </cell>
          <cell r="E217" t="str">
            <v>7553050217</v>
          </cell>
          <cell r="F217" t="str">
            <v>AC-2600i PT-Turbo</v>
          </cell>
          <cell r="G217">
            <v>300000</v>
          </cell>
          <cell r="H217" t="str">
            <v>Profirrol</v>
          </cell>
          <cell r="I217">
            <v>30</v>
          </cell>
          <cell r="J217" t="str">
            <v>STD</v>
          </cell>
          <cell r="L217">
            <v>37981.199999999997</v>
          </cell>
          <cell r="M217">
            <v>1651.3565217391304</v>
          </cell>
          <cell r="O217" t="str">
            <v>SOPORTE DE ALIMENTADOR</v>
          </cell>
        </row>
        <row r="218">
          <cell r="D218" t="str">
            <v>HTJA030014</v>
          </cell>
          <cell r="E218" t="str">
            <v>10001024R</v>
          </cell>
          <cell r="F218" t="str">
            <v>AC-2600i Ford Escape</v>
          </cell>
          <cell r="G218">
            <v>300000</v>
          </cell>
          <cell r="H218" t="str">
            <v>Profirrol</v>
          </cell>
          <cell r="I218">
            <v>30</v>
          </cell>
          <cell r="J218" t="str">
            <v>STD</v>
          </cell>
          <cell r="L218">
            <v>59203</v>
          </cell>
          <cell r="M218">
            <v>2574.0434782608695</v>
          </cell>
          <cell r="O218" t="str">
            <v>SOPORTE DE ALIMENTADOR</v>
          </cell>
        </row>
        <row r="219">
          <cell r="D219" t="str">
            <v>HTJA030014</v>
          </cell>
          <cell r="E219" t="str">
            <v>10226752</v>
          </cell>
          <cell r="F219" t="str">
            <v>AC-2600i DNA (Preforma)</v>
          </cell>
          <cell r="G219">
            <v>300000</v>
          </cell>
          <cell r="H219" t="str">
            <v>Profirrol</v>
          </cell>
          <cell r="I219">
            <v>30</v>
          </cell>
          <cell r="J219" t="str">
            <v>STD</v>
          </cell>
          <cell r="L219">
            <v>31536</v>
          </cell>
          <cell r="M219">
            <v>1371.1304347826087</v>
          </cell>
          <cell r="O219" t="str">
            <v>SOPORTE DE ALIMENTADOR</v>
          </cell>
        </row>
        <row r="220">
          <cell r="D220" t="str">
            <v>HTJA030014</v>
          </cell>
          <cell r="E220" t="str">
            <v>10054551</v>
          </cell>
          <cell r="F220" t="str">
            <v>AC-2650 JC49 / GS PLT / DNA</v>
          </cell>
          <cell r="G220">
            <v>300000</v>
          </cell>
          <cell r="H220" t="str">
            <v>Profirrol</v>
          </cell>
          <cell r="I220">
            <v>30</v>
          </cell>
          <cell r="J220" t="str">
            <v>STD</v>
          </cell>
          <cell r="L220">
            <v>11932</v>
          </cell>
          <cell r="M220">
            <v>518.78260869565213</v>
          </cell>
          <cell r="O220" t="str">
            <v>SOPORTE DE ALIMENTADOR</v>
          </cell>
        </row>
        <row r="221">
          <cell r="D221" t="str">
            <v>HTJA030014</v>
          </cell>
          <cell r="E221" t="str">
            <v>10226751</v>
          </cell>
          <cell r="F221" t="str">
            <v>AC-2650 DNA</v>
          </cell>
          <cell r="G221">
            <v>300000</v>
          </cell>
          <cell r="H221" t="str">
            <v>Profirrol</v>
          </cell>
          <cell r="I221">
            <v>30</v>
          </cell>
          <cell r="J221" t="str">
            <v>STD</v>
          </cell>
          <cell r="L221">
            <v>24453</v>
          </cell>
          <cell r="M221">
            <v>1063.1739130434783</v>
          </cell>
          <cell r="O221" t="str">
            <v>SOPORTE DE ALIMENTADOR</v>
          </cell>
        </row>
        <row r="222">
          <cell r="D222" t="str">
            <v>HTJA030014</v>
          </cell>
          <cell r="E222" t="str">
            <v>8152050226</v>
          </cell>
          <cell r="F222" t="str">
            <v>UF-2600i PQ-35 VW</v>
          </cell>
          <cell r="G222">
            <v>300000</v>
          </cell>
          <cell r="H222" t="str">
            <v>Profirrol</v>
          </cell>
          <cell r="I222">
            <v>30</v>
          </cell>
          <cell r="J222" t="str">
            <v>STD</v>
          </cell>
          <cell r="L222">
            <v>38227.399999999994</v>
          </cell>
          <cell r="M222">
            <v>1662.0608695652172</v>
          </cell>
          <cell r="O222" t="str">
            <v>SOPORTE DE ALIMENTADOR</v>
          </cell>
        </row>
        <row r="223">
          <cell r="D223" t="str">
            <v>HTJA030014</v>
          </cell>
          <cell r="E223" t="str">
            <v>10060762</v>
          </cell>
          <cell r="F223" t="str">
            <v>UF-2600i Ford Explorer</v>
          </cell>
          <cell r="G223">
            <v>300000</v>
          </cell>
          <cell r="H223" t="str">
            <v>Profirrol</v>
          </cell>
          <cell r="I223">
            <v>30</v>
          </cell>
          <cell r="J223" t="str">
            <v>STD</v>
          </cell>
          <cell r="L223">
            <v>0</v>
          </cell>
          <cell r="M223">
            <v>0</v>
          </cell>
          <cell r="O223" t="str">
            <v>SOPORTE DE ALIMENTADOR</v>
          </cell>
        </row>
        <row r="224">
          <cell r="D224" t="str">
            <v>HTJA030014</v>
          </cell>
          <cell r="E224" t="str">
            <v>00806088</v>
          </cell>
          <cell r="F224" t="str">
            <v>UF-2600i Hyundai</v>
          </cell>
          <cell r="G224">
            <v>300000</v>
          </cell>
          <cell r="H224" t="str">
            <v>Profirrol</v>
          </cell>
          <cell r="I224">
            <v>30</v>
          </cell>
          <cell r="J224" t="str">
            <v>STD</v>
          </cell>
          <cell r="L224">
            <v>0</v>
          </cell>
          <cell r="M224">
            <v>0</v>
          </cell>
          <cell r="O224" t="str">
            <v>SOPORTE DE ALIMENTADOR</v>
          </cell>
        </row>
        <row r="225">
          <cell r="D225" t="str">
            <v>HTJA030014</v>
          </cell>
          <cell r="E225" t="str">
            <v>10235857</v>
          </cell>
          <cell r="F225" t="str">
            <v>UF-2600i DNA (Preforma)</v>
          </cell>
          <cell r="G225">
            <v>300000</v>
          </cell>
          <cell r="H225" t="str">
            <v>Profirrol</v>
          </cell>
          <cell r="I225">
            <v>30</v>
          </cell>
          <cell r="J225" t="str">
            <v>STD</v>
          </cell>
          <cell r="L225">
            <v>0</v>
          </cell>
          <cell r="M225">
            <v>0</v>
          </cell>
          <cell r="O225" t="str">
            <v>SOPORTE DE ALIMENTADOR</v>
          </cell>
        </row>
        <row r="226">
          <cell r="D226" t="str">
            <v>HTJA030014</v>
          </cell>
          <cell r="E226" t="str">
            <v>10018041</v>
          </cell>
          <cell r="F226" t="str">
            <v>UF-3300i W</v>
          </cell>
          <cell r="G226">
            <v>300000</v>
          </cell>
          <cell r="H226" t="str">
            <v>Profirrol</v>
          </cell>
          <cell r="I226">
            <v>30</v>
          </cell>
          <cell r="J226" t="str">
            <v>STD</v>
          </cell>
          <cell r="L226">
            <v>13520.454678603319</v>
          </cell>
          <cell r="M226">
            <v>587.84585559144864</v>
          </cell>
          <cell r="O226" t="str">
            <v>SOPORTE DE ALIMENTADOR</v>
          </cell>
        </row>
        <row r="227">
          <cell r="D227" t="str">
            <v>HTJA030014</v>
          </cell>
          <cell r="E227" t="str">
            <v>10009621</v>
          </cell>
          <cell r="F227" t="str">
            <v>UF-4600i W</v>
          </cell>
          <cell r="G227">
            <v>300000</v>
          </cell>
          <cell r="H227" t="str">
            <v>Profirrol</v>
          </cell>
          <cell r="I227">
            <v>30</v>
          </cell>
          <cell r="J227" t="str">
            <v>STD</v>
          </cell>
          <cell r="L227">
            <v>33932.483034337194</v>
          </cell>
          <cell r="M227">
            <v>1475.3253493190084</v>
          </cell>
          <cell r="O227" t="str">
            <v>SOPORTE DE ALIMENTADOR</v>
          </cell>
        </row>
        <row r="228">
          <cell r="D228" t="str">
            <v>HTJA030014</v>
          </cell>
          <cell r="E228" t="str">
            <v>7056050202</v>
          </cell>
          <cell r="F228" t="str">
            <v>A4 RF-91 Concept One</v>
          </cell>
          <cell r="G228">
            <v>300000</v>
          </cell>
          <cell r="H228" t="str">
            <v>Profirrol</v>
          </cell>
          <cell r="I228">
            <v>30</v>
          </cell>
          <cell r="J228" t="str">
            <v>STD</v>
          </cell>
          <cell r="L228">
            <v>0</v>
          </cell>
          <cell r="M228">
            <v>0</v>
          </cell>
          <cell r="O228" t="str">
            <v>SOPORTE DE ALIMENTADOR</v>
          </cell>
        </row>
        <row r="229">
          <cell r="D229" t="str">
            <v>HTJA030014</v>
          </cell>
          <cell r="E229" t="str">
            <v>7174050203</v>
          </cell>
          <cell r="F229" t="str">
            <v>A4 RF-95</v>
          </cell>
          <cell r="G229">
            <v>300000</v>
          </cell>
          <cell r="H229" t="str">
            <v>Profirrol</v>
          </cell>
          <cell r="I229">
            <v>30</v>
          </cell>
          <cell r="J229" t="str">
            <v>STD</v>
          </cell>
          <cell r="L229">
            <v>8133.6</v>
          </cell>
          <cell r="M229">
            <v>353.63478260869567</v>
          </cell>
          <cell r="O229" t="str">
            <v>SOPORTE DE ALIMENTADOR</v>
          </cell>
        </row>
        <row r="230">
          <cell r="D230" t="str">
            <v>HTJA030015</v>
          </cell>
          <cell r="E230" t="str">
            <v>8647050233</v>
          </cell>
          <cell r="F230" t="str">
            <v>AC-2000i Honda Acura</v>
          </cell>
          <cell r="G230">
            <v>300000</v>
          </cell>
          <cell r="H230" t="str">
            <v>Profirrol</v>
          </cell>
          <cell r="I230">
            <v>30</v>
          </cell>
          <cell r="J230" t="str">
            <v>STD</v>
          </cell>
          <cell r="L230">
            <v>74729.200000000012</v>
          </cell>
          <cell r="M230">
            <v>3249.0956521739135</v>
          </cell>
          <cell r="O230" t="str">
            <v>TAPA DE RODILLO MEDIDOR</v>
          </cell>
        </row>
        <row r="231">
          <cell r="D231" t="str">
            <v>HTJA030015</v>
          </cell>
          <cell r="E231" t="str">
            <v>10232841</v>
          </cell>
          <cell r="F231" t="str">
            <v>AC-2000i DNA (Preforma)</v>
          </cell>
          <cell r="G231">
            <v>300000</v>
          </cell>
          <cell r="H231" t="str">
            <v>Profirrol</v>
          </cell>
          <cell r="I231">
            <v>30</v>
          </cell>
          <cell r="J231" t="str">
            <v>STD</v>
          </cell>
          <cell r="L231">
            <v>99000</v>
          </cell>
          <cell r="M231">
            <v>4304.347826086957</v>
          </cell>
          <cell r="O231" t="str">
            <v>TAPA DE RODILLO MEDIDOR</v>
          </cell>
        </row>
        <row r="232">
          <cell r="D232" t="str">
            <v>HTJA030015</v>
          </cell>
          <cell r="E232" t="str">
            <v>4302091005</v>
          </cell>
          <cell r="F232" t="str">
            <v>C-2000 PL-BODY</v>
          </cell>
          <cell r="G232">
            <v>300000</v>
          </cell>
          <cell r="H232" t="str">
            <v>Profirrol</v>
          </cell>
          <cell r="I232">
            <v>30</v>
          </cell>
          <cell r="J232" t="str">
            <v>STD</v>
          </cell>
          <cell r="L232">
            <v>0</v>
          </cell>
          <cell r="M232">
            <v>0</v>
          </cell>
          <cell r="O232" t="str">
            <v>TAPA DE RODILLO MEDIDOR</v>
          </cell>
        </row>
        <row r="233">
          <cell r="D233" t="str">
            <v>HTJA030015</v>
          </cell>
          <cell r="E233" t="str">
            <v>7324050215</v>
          </cell>
          <cell r="F233" t="str">
            <v>AC-2300i PT-44</v>
          </cell>
          <cell r="G233">
            <v>300000</v>
          </cell>
          <cell r="H233" t="str">
            <v>Profirrol</v>
          </cell>
          <cell r="I233">
            <v>30</v>
          </cell>
          <cell r="J233" t="str">
            <v>STD</v>
          </cell>
          <cell r="L233">
            <v>58512.600000000006</v>
          </cell>
          <cell r="M233">
            <v>2544.0260869565218</v>
          </cell>
          <cell r="O233" t="str">
            <v>TAPA DE RODILLO MEDIDOR</v>
          </cell>
        </row>
        <row r="234">
          <cell r="D234" t="str">
            <v>HTJA030015</v>
          </cell>
          <cell r="E234" t="str">
            <v>10226750</v>
          </cell>
          <cell r="F234" t="str">
            <v>AC-2300i DNA (Preforma)</v>
          </cell>
          <cell r="G234">
            <v>300000</v>
          </cell>
          <cell r="H234" t="str">
            <v>Profirrol</v>
          </cell>
          <cell r="I234">
            <v>30</v>
          </cell>
          <cell r="J234" t="str">
            <v>STD</v>
          </cell>
          <cell r="L234">
            <v>52509.599999999999</v>
          </cell>
          <cell r="M234">
            <v>2283.0260869565218</v>
          </cell>
          <cell r="O234" t="str">
            <v>TAPA DE RODILLO MEDIDOR</v>
          </cell>
        </row>
        <row r="235">
          <cell r="D235" t="str">
            <v>HTJA030015</v>
          </cell>
          <cell r="E235" t="str">
            <v>7553050217</v>
          </cell>
          <cell r="F235" t="str">
            <v>AC-2600i PT-Turbo</v>
          </cell>
          <cell r="G235">
            <v>300000</v>
          </cell>
          <cell r="H235" t="str">
            <v>Profirrol</v>
          </cell>
          <cell r="I235">
            <v>30</v>
          </cell>
          <cell r="J235" t="str">
            <v>STD</v>
          </cell>
          <cell r="L235">
            <v>37981.199999999997</v>
          </cell>
          <cell r="M235">
            <v>1651.3565217391304</v>
          </cell>
          <cell r="O235" t="str">
            <v>TAPA DE RODILLO MEDIDOR</v>
          </cell>
        </row>
        <row r="236">
          <cell r="D236" t="str">
            <v>HTJA030015</v>
          </cell>
          <cell r="E236" t="str">
            <v>10001024R</v>
          </cell>
          <cell r="F236" t="str">
            <v>AC-2600i Ford Escape</v>
          </cell>
          <cell r="G236">
            <v>300000</v>
          </cell>
          <cell r="H236" t="str">
            <v>Profirrol</v>
          </cell>
          <cell r="I236">
            <v>30</v>
          </cell>
          <cell r="J236" t="str">
            <v>STD</v>
          </cell>
          <cell r="L236">
            <v>59203</v>
          </cell>
          <cell r="M236">
            <v>2574.0434782608695</v>
          </cell>
          <cell r="O236" t="str">
            <v>TAPA DE RODILLO MEDIDOR</v>
          </cell>
        </row>
        <row r="237">
          <cell r="D237" t="str">
            <v>HTJA030015</v>
          </cell>
          <cell r="E237" t="str">
            <v>10226752</v>
          </cell>
          <cell r="F237" t="str">
            <v>AC-2600i DNA (Preforma)</v>
          </cell>
          <cell r="G237">
            <v>300000</v>
          </cell>
          <cell r="H237" t="str">
            <v>Profirrol</v>
          </cell>
          <cell r="I237">
            <v>30</v>
          </cell>
          <cell r="J237" t="str">
            <v>STD</v>
          </cell>
          <cell r="L237">
            <v>31536</v>
          </cell>
          <cell r="M237">
            <v>1371.1304347826087</v>
          </cell>
          <cell r="O237" t="str">
            <v>TAPA DE RODILLO MEDIDOR</v>
          </cell>
        </row>
        <row r="238">
          <cell r="D238" t="str">
            <v>HTJA030015</v>
          </cell>
          <cell r="E238" t="str">
            <v>10054551</v>
          </cell>
          <cell r="F238" t="str">
            <v>AC-2650 JC49 / GS PLT / DNA</v>
          </cell>
          <cell r="G238">
            <v>300000</v>
          </cell>
          <cell r="H238" t="str">
            <v>Profirrol</v>
          </cell>
          <cell r="I238">
            <v>30</v>
          </cell>
          <cell r="J238" t="str">
            <v>STD</v>
          </cell>
          <cell r="L238">
            <v>11932</v>
          </cell>
          <cell r="M238">
            <v>518.78260869565213</v>
          </cell>
          <cell r="O238" t="str">
            <v>TAPA DE RODILLO MEDIDOR</v>
          </cell>
        </row>
        <row r="239">
          <cell r="D239" t="str">
            <v>HTJA030015</v>
          </cell>
          <cell r="E239" t="str">
            <v>10226751</v>
          </cell>
          <cell r="F239" t="str">
            <v>AC-2650 DNA</v>
          </cell>
          <cell r="G239">
            <v>300000</v>
          </cell>
          <cell r="H239" t="str">
            <v>Profirrol</v>
          </cell>
          <cell r="I239">
            <v>30</v>
          </cell>
          <cell r="J239" t="str">
            <v>STD</v>
          </cell>
          <cell r="L239">
            <v>24453</v>
          </cell>
          <cell r="M239">
            <v>1063.1739130434783</v>
          </cell>
          <cell r="O239" t="str">
            <v>TAPA DE RODILLO MEDIDOR</v>
          </cell>
        </row>
        <row r="240">
          <cell r="D240" t="str">
            <v>HTJA030015</v>
          </cell>
          <cell r="E240" t="str">
            <v>8152050226</v>
          </cell>
          <cell r="F240" t="str">
            <v>UF-2600i PQ-35 VW</v>
          </cell>
          <cell r="G240">
            <v>300000</v>
          </cell>
          <cell r="H240" t="str">
            <v>Profirrol</v>
          </cell>
          <cell r="I240">
            <v>30</v>
          </cell>
          <cell r="J240" t="str">
            <v>STD</v>
          </cell>
          <cell r="L240">
            <v>38227.399999999994</v>
          </cell>
          <cell r="M240">
            <v>1662.0608695652172</v>
          </cell>
          <cell r="O240" t="str">
            <v>TAPA DE RODILLO MEDIDOR</v>
          </cell>
        </row>
        <row r="241">
          <cell r="D241" t="str">
            <v>HTJA030015</v>
          </cell>
          <cell r="E241" t="str">
            <v>10060762</v>
          </cell>
          <cell r="F241" t="str">
            <v>UF-2600i Ford Explorer</v>
          </cell>
          <cell r="G241">
            <v>300000</v>
          </cell>
          <cell r="H241" t="str">
            <v>Profirrol</v>
          </cell>
          <cell r="I241">
            <v>30</v>
          </cell>
          <cell r="J241" t="str">
            <v>STD</v>
          </cell>
          <cell r="L241">
            <v>0</v>
          </cell>
          <cell r="M241">
            <v>0</v>
          </cell>
          <cell r="O241" t="str">
            <v>TAPA DE RODILLO MEDIDOR</v>
          </cell>
        </row>
        <row r="242">
          <cell r="D242" t="str">
            <v>HTJA030015</v>
          </cell>
          <cell r="E242" t="str">
            <v>00806088</v>
          </cell>
          <cell r="F242" t="str">
            <v>UF-2600i Hyundai</v>
          </cell>
          <cell r="G242">
            <v>300000</v>
          </cell>
          <cell r="H242" t="str">
            <v>Profirrol</v>
          </cell>
          <cell r="I242">
            <v>30</v>
          </cell>
          <cell r="J242" t="str">
            <v>STD</v>
          </cell>
          <cell r="L242">
            <v>0</v>
          </cell>
          <cell r="M242">
            <v>0</v>
          </cell>
          <cell r="O242" t="str">
            <v>TAPA DE RODILLO MEDIDOR</v>
          </cell>
        </row>
        <row r="243">
          <cell r="D243" t="str">
            <v>HTJA030015</v>
          </cell>
          <cell r="E243" t="str">
            <v>10235857</v>
          </cell>
          <cell r="F243" t="str">
            <v>UF-2600i DNA (Preforma)</v>
          </cell>
          <cell r="G243">
            <v>300000</v>
          </cell>
          <cell r="H243" t="str">
            <v>Profirrol</v>
          </cell>
          <cell r="I243">
            <v>30</v>
          </cell>
          <cell r="J243" t="str">
            <v>STD</v>
          </cell>
          <cell r="L243">
            <v>0</v>
          </cell>
          <cell r="M243">
            <v>0</v>
          </cell>
          <cell r="O243" t="str">
            <v>TAPA DE RODILLO MEDIDOR</v>
          </cell>
        </row>
        <row r="244">
          <cell r="D244" t="str">
            <v>HTJA030015</v>
          </cell>
          <cell r="E244" t="str">
            <v>10018041</v>
          </cell>
          <cell r="F244" t="str">
            <v>UF-3300i W</v>
          </cell>
          <cell r="G244">
            <v>300000</v>
          </cell>
          <cell r="H244" t="str">
            <v>Profirrol</v>
          </cell>
          <cell r="I244">
            <v>30</v>
          </cell>
          <cell r="J244" t="str">
            <v>STD</v>
          </cell>
          <cell r="L244">
            <v>13520.454678603319</v>
          </cell>
          <cell r="M244">
            <v>587.84585559144864</v>
          </cell>
          <cell r="O244" t="str">
            <v>TAPA DE RODILLO MEDIDOR</v>
          </cell>
        </row>
        <row r="245">
          <cell r="D245" t="str">
            <v>HTJA030015</v>
          </cell>
          <cell r="E245" t="str">
            <v>10009621</v>
          </cell>
          <cell r="F245" t="str">
            <v>UF-4600i W</v>
          </cell>
          <cell r="G245">
            <v>300000</v>
          </cell>
          <cell r="H245" t="str">
            <v>Profirrol</v>
          </cell>
          <cell r="I245">
            <v>30</v>
          </cell>
          <cell r="J245" t="str">
            <v>STD</v>
          </cell>
          <cell r="L245">
            <v>33932.483034337194</v>
          </cell>
          <cell r="M245">
            <v>1475.3253493190084</v>
          </cell>
          <cell r="O245" t="str">
            <v>TAPA DE RODILLO MEDIDOR</v>
          </cell>
        </row>
        <row r="246">
          <cell r="D246" t="str">
            <v>HTJA030015</v>
          </cell>
          <cell r="E246" t="str">
            <v>7056050202</v>
          </cell>
          <cell r="F246" t="str">
            <v>A4 RF-91 Concept One</v>
          </cell>
          <cell r="G246">
            <v>300000</v>
          </cell>
          <cell r="H246" t="str">
            <v>Profirrol</v>
          </cell>
          <cell r="I246">
            <v>30</v>
          </cell>
          <cell r="J246" t="str">
            <v>STD</v>
          </cell>
          <cell r="L246">
            <v>0</v>
          </cell>
          <cell r="M246">
            <v>0</v>
          </cell>
          <cell r="O246" t="str">
            <v>TAPA DE RODILLO MEDIDOR</v>
          </cell>
        </row>
        <row r="247">
          <cell r="D247" t="str">
            <v>HTJA030015</v>
          </cell>
          <cell r="E247" t="str">
            <v>7174050203</v>
          </cell>
          <cell r="F247" t="str">
            <v>A4 RF-95</v>
          </cell>
          <cell r="G247">
            <v>300000</v>
          </cell>
          <cell r="H247" t="str">
            <v>Profirrol</v>
          </cell>
          <cell r="I247">
            <v>30</v>
          </cell>
          <cell r="J247" t="str">
            <v>STD</v>
          </cell>
          <cell r="L247">
            <v>8133.6</v>
          </cell>
          <cell r="M247">
            <v>353.63478260869567</v>
          </cell>
          <cell r="O247" t="str">
            <v>TAPA DE RODILLO MEDIDOR</v>
          </cell>
        </row>
        <row r="248">
          <cell r="D248" t="str">
            <v>HTJA030016</v>
          </cell>
          <cell r="E248" t="str">
            <v>8647050233</v>
          </cell>
          <cell r="F248" t="str">
            <v>AC-2000i Honda Acura</v>
          </cell>
          <cell r="G248">
            <v>1000000</v>
          </cell>
          <cell r="H248" t="str">
            <v>Nacional</v>
          </cell>
          <cell r="I248">
            <v>8</v>
          </cell>
          <cell r="J248" t="str">
            <v>STD</v>
          </cell>
          <cell r="L248">
            <v>74801.200000000012</v>
          </cell>
          <cell r="M248">
            <v>3252.2260869565221</v>
          </cell>
          <cell r="O248" t="str">
            <v>LLAVE ESPECIAL</v>
          </cell>
        </row>
        <row r="249">
          <cell r="D249" t="str">
            <v>HTJA030016</v>
          </cell>
          <cell r="E249" t="str">
            <v>10232841</v>
          </cell>
          <cell r="F249" t="str">
            <v>AC-2000i DNA (Preforma)</v>
          </cell>
          <cell r="G249">
            <v>1000000</v>
          </cell>
          <cell r="H249" t="str">
            <v>Nacional</v>
          </cell>
          <cell r="I249">
            <v>8</v>
          </cell>
          <cell r="J249" t="str">
            <v>STD</v>
          </cell>
          <cell r="L249">
            <v>101200</v>
          </cell>
          <cell r="M249">
            <v>4400</v>
          </cell>
          <cell r="O249" t="str">
            <v>LLAVE ESPECIAL</v>
          </cell>
        </row>
        <row r="250">
          <cell r="D250" t="str">
            <v>HTJA030016</v>
          </cell>
          <cell r="E250" t="str">
            <v>4302091005</v>
          </cell>
          <cell r="F250" t="str">
            <v>C-2000 PL-BODY</v>
          </cell>
          <cell r="G250">
            <v>1000000</v>
          </cell>
          <cell r="H250" t="str">
            <v>Nacional</v>
          </cell>
          <cell r="I250">
            <v>8</v>
          </cell>
          <cell r="J250" t="str">
            <v>STD</v>
          </cell>
          <cell r="L250">
            <v>1811</v>
          </cell>
          <cell r="M250">
            <v>78.739130434782609</v>
          </cell>
          <cell r="O250" t="str">
            <v>LLAVE ESPECIAL</v>
          </cell>
        </row>
        <row r="251">
          <cell r="D251" t="str">
            <v>HTJA030016</v>
          </cell>
          <cell r="E251" t="str">
            <v>7324050215</v>
          </cell>
          <cell r="F251" t="str">
            <v>AC-2300i PT-44</v>
          </cell>
          <cell r="G251">
            <v>1000000</v>
          </cell>
          <cell r="H251" t="str">
            <v>Nacional</v>
          </cell>
          <cell r="I251">
            <v>8</v>
          </cell>
          <cell r="J251" t="str">
            <v>STD</v>
          </cell>
          <cell r="L251">
            <v>44731.400000000009</v>
          </cell>
          <cell r="M251">
            <v>1944.8434782608699</v>
          </cell>
          <cell r="O251" t="str">
            <v>LLAVE ESPECIAL</v>
          </cell>
        </row>
        <row r="252">
          <cell r="D252" t="str">
            <v>HTJA030016</v>
          </cell>
          <cell r="E252" t="str">
            <v>10226750</v>
          </cell>
          <cell r="F252" t="str">
            <v>AC-2300i DNA (Preforma)</v>
          </cell>
          <cell r="G252">
            <v>1000000</v>
          </cell>
          <cell r="H252" t="str">
            <v>Nacional</v>
          </cell>
          <cell r="I252">
            <v>8</v>
          </cell>
          <cell r="J252" t="str">
            <v>STD</v>
          </cell>
          <cell r="L252">
            <v>49420.800000000003</v>
          </cell>
          <cell r="M252">
            <v>2148.7304347826089</v>
          </cell>
          <cell r="O252" t="str">
            <v>LLAVE ESPECIAL</v>
          </cell>
        </row>
        <row r="253">
          <cell r="D253" t="str">
            <v>HTJA030016</v>
          </cell>
          <cell r="E253" t="str">
            <v>7553050217</v>
          </cell>
          <cell r="F253" t="str">
            <v>AC-2600i PT-Turbo</v>
          </cell>
          <cell r="G253">
            <v>1000000</v>
          </cell>
          <cell r="H253" t="str">
            <v>Nacional</v>
          </cell>
          <cell r="I253">
            <v>8</v>
          </cell>
          <cell r="J253" t="str">
            <v>STD</v>
          </cell>
          <cell r="L253">
            <v>34957.999999999993</v>
          </cell>
          <cell r="M253">
            <v>1519.9130434782605</v>
          </cell>
          <cell r="O253" t="str">
            <v>LLAVE ESPECIAL</v>
          </cell>
        </row>
        <row r="254">
          <cell r="D254" t="str">
            <v>HTJA030016</v>
          </cell>
          <cell r="E254" t="str">
            <v>10001024R</v>
          </cell>
          <cell r="F254" t="str">
            <v>AC-2600i Ford Escape</v>
          </cell>
          <cell r="G254">
            <v>1000000</v>
          </cell>
          <cell r="H254" t="str">
            <v>Nacional</v>
          </cell>
          <cell r="I254">
            <v>8</v>
          </cell>
          <cell r="J254" t="str">
            <v>STD</v>
          </cell>
          <cell r="L254">
            <v>56501.200000000004</v>
          </cell>
          <cell r="M254">
            <v>2456.5739130434786</v>
          </cell>
          <cell r="O254" t="str">
            <v>LLAVE ESPECIAL</v>
          </cell>
        </row>
        <row r="255">
          <cell r="D255" t="str">
            <v>HTJA030016</v>
          </cell>
          <cell r="E255" t="str">
            <v>10226752</v>
          </cell>
          <cell r="F255" t="str">
            <v>AC-2600i DNA (Preforma)</v>
          </cell>
          <cell r="G255">
            <v>1000000</v>
          </cell>
          <cell r="H255" t="str">
            <v>Nacional</v>
          </cell>
          <cell r="I255">
            <v>8</v>
          </cell>
          <cell r="J255" t="str">
            <v>STD</v>
          </cell>
          <cell r="L255">
            <v>26784</v>
          </cell>
          <cell r="M255">
            <v>1164.5217391304348</v>
          </cell>
          <cell r="O255" t="str">
            <v>LLAVE ESPECIAL</v>
          </cell>
        </row>
        <row r="256">
          <cell r="D256" t="str">
            <v>HTJA030016</v>
          </cell>
          <cell r="E256" t="str">
            <v>10054551</v>
          </cell>
          <cell r="F256" t="str">
            <v>AC-2650 JC49 / GS PLT / DNA</v>
          </cell>
          <cell r="G256">
            <v>1000000</v>
          </cell>
          <cell r="H256" t="str">
            <v>Nacional</v>
          </cell>
          <cell r="I256">
            <v>8</v>
          </cell>
          <cell r="J256" t="str">
            <v>STD</v>
          </cell>
          <cell r="L256">
            <v>7516.4</v>
          </cell>
          <cell r="M256">
            <v>326.8</v>
          </cell>
          <cell r="O256" t="str">
            <v>LLAVE ESPECIAL</v>
          </cell>
        </row>
        <row r="257">
          <cell r="D257" t="str">
            <v>HTJA030016</v>
          </cell>
          <cell r="E257" t="str">
            <v>10226751</v>
          </cell>
          <cell r="F257" t="str">
            <v>AC-2650 DNA</v>
          </cell>
          <cell r="G257">
            <v>1000000</v>
          </cell>
          <cell r="H257" t="str">
            <v>Nacional</v>
          </cell>
          <cell r="I257">
            <v>8</v>
          </cell>
          <cell r="J257" t="str">
            <v>STD</v>
          </cell>
          <cell r="L257">
            <v>14227.2</v>
          </cell>
          <cell r="M257">
            <v>618.57391304347834</v>
          </cell>
          <cell r="O257" t="str">
            <v>LLAVE ESPECIAL</v>
          </cell>
        </row>
        <row r="258">
          <cell r="D258" t="str">
            <v>HTJA030016</v>
          </cell>
          <cell r="E258" t="str">
            <v>8152050226</v>
          </cell>
          <cell r="F258" t="str">
            <v>UF-2600i PQ-35 VW</v>
          </cell>
          <cell r="G258">
            <v>1000000</v>
          </cell>
          <cell r="H258" t="str">
            <v>Nacional</v>
          </cell>
          <cell r="I258">
            <v>8</v>
          </cell>
          <cell r="J258" t="str">
            <v>STD</v>
          </cell>
          <cell r="L258">
            <v>67111.400000000023</v>
          </cell>
          <cell r="M258">
            <v>2917.8869565217401</v>
          </cell>
          <cell r="O258" t="str">
            <v>LLAVE ESPECIAL</v>
          </cell>
        </row>
        <row r="259">
          <cell r="D259" t="str">
            <v>HTJA030016</v>
          </cell>
          <cell r="E259" t="str">
            <v>10060762</v>
          </cell>
          <cell r="F259" t="str">
            <v>UF-2600i Ford Explorer</v>
          </cell>
          <cell r="G259">
            <v>1000000</v>
          </cell>
          <cell r="H259" t="str">
            <v>Nacional</v>
          </cell>
          <cell r="I259">
            <v>8</v>
          </cell>
          <cell r="J259" t="str">
            <v>STD</v>
          </cell>
          <cell r="L259">
            <v>0</v>
          </cell>
          <cell r="M259">
            <v>0</v>
          </cell>
          <cell r="O259" t="str">
            <v>LLAVE ESPECIAL</v>
          </cell>
        </row>
        <row r="260">
          <cell r="D260" t="str">
            <v>HTJA030016</v>
          </cell>
          <cell r="E260" t="str">
            <v>00806088</v>
          </cell>
          <cell r="F260" t="str">
            <v>UF-2600i Hyundai</v>
          </cell>
          <cell r="G260">
            <v>1000000</v>
          </cell>
          <cell r="H260" t="str">
            <v>Nacional</v>
          </cell>
          <cell r="I260">
            <v>8</v>
          </cell>
          <cell r="J260" t="str">
            <v>STD</v>
          </cell>
          <cell r="L260">
            <v>0</v>
          </cell>
          <cell r="M260">
            <v>0</v>
          </cell>
          <cell r="O260" t="str">
            <v>LLAVE ESPECIAL</v>
          </cell>
        </row>
        <row r="261">
          <cell r="D261" t="str">
            <v>HTJA030016</v>
          </cell>
          <cell r="E261" t="str">
            <v>10235857</v>
          </cell>
          <cell r="F261" t="str">
            <v>UF-2600i DNA (Preforma)</v>
          </cell>
          <cell r="G261">
            <v>1000000</v>
          </cell>
          <cell r="H261" t="str">
            <v>Nacional</v>
          </cell>
          <cell r="I261">
            <v>8</v>
          </cell>
          <cell r="J261" t="str">
            <v>STD</v>
          </cell>
          <cell r="L261">
            <v>0</v>
          </cell>
          <cell r="M261">
            <v>0</v>
          </cell>
          <cell r="O261" t="str">
            <v>LLAVE ESPECIAL</v>
          </cell>
        </row>
        <row r="262">
          <cell r="D262" t="str">
            <v>HTJA030016</v>
          </cell>
          <cell r="E262" t="str">
            <v>10018041</v>
          </cell>
          <cell r="F262" t="str">
            <v>UF-3300i W</v>
          </cell>
          <cell r="G262">
            <v>1000000</v>
          </cell>
          <cell r="H262" t="str">
            <v>Nacional</v>
          </cell>
          <cell r="I262">
            <v>8</v>
          </cell>
          <cell r="J262" t="str">
            <v>STD</v>
          </cell>
          <cell r="L262">
            <v>14212.800000000001</v>
          </cell>
          <cell r="M262">
            <v>617.94782608695652</v>
          </cell>
          <cell r="O262" t="str">
            <v>LLAVE ESPECIAL</v>
          </cell>
        </row>
        <row r="263">
          <cell r="D263" t="str">
            <v>HTJA030016</v>
          </cell>
          <cell r="E263" t="str">
            <v>10009621</v>
          </cell>
          <cell r="F263" t="str">
            <v>UF-4600i W</v>
          </cell>
          <cell r="G263">
            <v>1000000</v>
          </cell>
          <cell r="H263" t="str">
            <v>Nacional</v>
          </cell>
          <cell r="I263">
            <v>8</v>
          </cell>
          <cell r="J263" t="str">
            <v>STD</v>
          </cell>
          <cell r="L263">
            <v>30182.199999999997</v>
          </cell>
          <cell r="M263">
            <v>1312.2695652173911</v>
          </cell>
          <cell r="O263" t="str">
            <v>LLAVE ESPECIAL</v>
          </cell>
        </row>
        <row r="264">
          <cell r="D264" t="str">
            <v>HTJA030016</v>
          </cell>
          <cell r="E264" t="str">
            <v>7056050202</v>
          </cell>
          <cell r="F264" t="str">
            <v>A4 RF-91 Concept One</v>
          </cell>
          <cell r="G264">
            <v>1000000</v>
          </cell>
          <cell r="H264" t="str">
            <v>Nacional</v>
          </cell>
          <cell r="I264">
            <v>8</v>
          </cell>
          <cell r="J264" t="str">
            <v>STD</v>
          </cell>
          <cell r="L264">
            <v>0</v>
          </cell>
          <cell r="M264">
            <v>0</v>
          </cell>
          <cell r="O264" t="str">
            <v>LLAVE ESPECIAL</v>
          </cell>
        </row>
        <row r="265">
          <cell r="D265" t="str">
            <v>HTJA030016</v>
          </cell>
          <cell r="E265" t="str">
            <v>7174050203</v>
          </cell>
          <cell r="F265" t="str">
            <v>A4 RF-95</v>
          </cell>
          <cell r="G265">
            <v>1000000</v>
          </cell>
          <cell r="H265" t="str">
            <v>Nacional</v>
          </cell>
          <cell r="I265">
            <v>8</v>
          </cell>
          <cell r="J265" t="str">
            <v>STD</v>
          </cell>
          <cell r="L265">
            <v>6412.2000000000007</v>
          </cell>
          <cell r="M265">
            <v>278.7913043478261</v>
          </cell>
          <cell r="O265" t="str">
            <v>LLAVE ESPECIAL</v>
          </cell>
        </row>
        <row r="266">
          <cell r="D266" t="str">
            <v>HTJA030018</v>
          </cell>
          <cell r="E266" t="str">
            <v>8647050233</v>
          </cell>
          <cell r="F266" t="str">
            <v>AC-2000i Honda Acura</v>
          </cell>
          <cell r="G266">
            <v>40000</v>
          </cell>
          <cell r="H266" t="str">
            <v>Nacional</v>
          </cell>
          <cell r="I266">
            <v>8</v>
          </cell>
          <cell r="J266" t="str">
            <v>AC-2000i</v>
          </cell>
          <cell r="L266">
            <v>74801.200000000012</v>
          </cell>
          <cell r="M266">
            <v>3252.2260869565221</v>
          </cell>
          <cell r="O266" t="str">
            <v>Rodillo Superior</v>
          </cell>
        </row>
        <row r="267">
          <cell r="D267" t="str">
            <v>HTJA030018</v>
          </cell>
          <cell r="E267" t="str">
            <v>10232841</v>
          </cell>
          <cell r="F267" t="str">
            <v>AC-2000i DNA (Preforma)</v>
          </cell>
          <cell r="G267">
            <v>40000</v>
          </cell>
          <cell r="H267" t="str">
            <v>Nacional</v>
          </cell>
          <cell r="I267">
            <v>8</v>
          </cell>
          <cell r="J267" t="str">
            <v>AC-2000i</v>
          </cell>
          <cell r="L267">
            <v>101200</v>
          </cell>
          <cell r="M267">
            <v>4400</v>
          </cell>
          <cell r="O267" t="str">
            <v>Rodillo Superior</v>
          </cell>
        </row>
        <row r="268">
          <cell r="D268" t="str">
            <v>HTJA030019</v>
          </cell>
          <cell r="E268" t="str">
            <v>8647050233</v>
          </cell>
          <cell r="F268" t="str">
            <v>AC-2000i Honda Acura</v>
          </cell>
          <cell r="G268">
            <v>20000</v>
          </cell>
          <cell r="H268" t="str">
            <v>Nacional</v>
          </cell>
          <cell r="I268">
            <v>8</v>
          </cell>
          <cell r="J268" t="str">
            <v>AC-2000i</v>
          </cell>
          <cell r="L268">
            <v>74729.200000000012</v>
          </cell>
          <cell r="M268">
            <v>3249.0956521739135</v>
          </cell>
          <cell r="O268" t="str">
            <v>Mandril</v>
          </cell>
        </row>
        <row r="269">
          <cell r="D269" t="str">
            <v>HTJA030019</v>
          </cell>
          <cell r="E269" t="str">
            <v>10232841</v>
          </cell>
          <cell r="F269" t="str">
            <v>AC-2000i DNA (Preforma)</v>
          </cell>
          <cell r="G269">
            <v>20000</v>
          </cell>
          <cell r="H269" t="str">
            <v>Nacional</v>
          </cell>
          <cell r="I269">
            <v>8</v>
          </cell>
          <cell r="J269" t="str">
            <v>AC-2000i</v>
          </cell>
          <cell r="L269">
            <v>99000</v>
          </cell>
          <cell r="M269">
            <v>4304.347826086957</v>
          </cell>
          <cell r="O269" t="str">
            <v>Mandril</v>
          </cell>
        </row>
        <row r="270">
          <cell r="D270" t="str">
            <v>HTJA030020P</v>
          </cell>
          <cell r="E270" t="str">
            <v>8152050226</v>
          </cell>
          <cell r="F270" t="str">
            <v>UF-2600i PQ-35 VW</v>
          </cell>
          <cell r="G270">
            <v>40000</v>
          </cell>
          <cell r="H270" t="str">
            <v>Profirrol</v>
          </cell>
          <cell r="I270">
            <v>30</v>
          </cell>
          <cell r="J270" t="str">
            <v>UF-2600i</v>
          </cell>
          <cell r="L270">
            <v>38227.399999999994</v>
          </cell>
          <cell r="M270">
            <v>1662.0608695652172</v>
          </cell>
          <cell r="O270" t="str">
            <v>RODILLO SUPERIOR (PROFIROLL)</v>
          </cell>
        </row>
        <row r="271">
          <cell r="D271" t="str">
            <v>HTJA030020P</v>
          </cell>
          <cell r="E271" t="str">
            <v>10060762</v>
          </cell>
          <cell r="F271" t="str">
            <v>UF-2600i Ford Explorer</v>
          </cell>
          <cell r="G271">
            <v>40000</v>
          </cell>
          <cell r="H271" t="str">
            <v>Profirrol</v>
          </cell>
          <cell r="I271">
            <v>30</v>
          </cell>
          <cell r="J271" t="str">
            <v>UF-2600i</v>
          </cell>
          <cell r="L271">
            <v>0</v>
          </cell>
          <cell r="M271">
            <v>0</v>
          </cell>
          <cell r="O271" t="str">
            <v>RODILLO SUPERIOR (PROFIROLL)</v>
          </cell>
        </row>
        <row r="272">
          <cell r="D272" t="str">
            <v>HTJA030020P</v>
          </cell>
          <cell r="E272" t="str">
            <v>00806088</v>
          </cell>
          <cell r="F272" t="str">
            <v>UF-2600i Hyundai</v>
          </cell>
          <cell r="G272">
            <v>40000</v>
          </cell>
          <cell r="H272" t="str">
            <v>Profirrol</v>
          </cell>
          <cell r="I272">
            <v>30</v>
          </cell>
          <cell r="J272" t="str">
            <v>UF-2600i</v>
          </cell>
          <cell r="L272">
            <v>0</v>
          </cell>
          <cell r="M272">
            <v>0</v>
          </cell>
          <cell r="O272" t="str">
            <v>RODILLO SUPERIOR (PROFIROLL)</v>
          </cell>
        </row>
        <row r="273">
          <cell r="D273" t="str">
            <v>HTJA030020P</v>
          </cell>
          <cell r="E273" t="str">
            <v>10235857</v>
          </cell>
          <cell r="F273" t="str">
            <v>UF-2600i DNA (Preforma)</v>
          </cell>
          <cell r="G273">
            <v>40000</v>
          </cell>
          <cell r="H273" t="str">
            <v>Profirrol</v>
          </cell>
          <cell r="I273">
            <v>30</v>
          </cell>
          <cell r="J273" t="str">
            <v>UF-2600i</v>
          </cell>
          <cell r="L273">
            <v>0</v>
          </cell>
          <cell r="M273">
            <v>0</v>
          </cell>
          <cell r="O273" t="str">
            <v>RODILLO SUPERIOR (PROFIROLL)</v>
          </cell>
        </row>
        <row r="274">
          <cell r="D274" t="str">
            <v>HTJA030022</v>
          </cell>
          <cell r="E274" t="str">
            <v>8647050233</v>
          </cell>
          <cell r="F274" t="str">
            <v>AC-2000i Honda Acura</v>
          </cell>
          <cell r="G274">
            <v>300000</v>
          </cell>
          <cell r="H274" t="str">
            <v>Profirrol</v>
          </cell>
          <cell r="I274">
            <v>30</v>
          </cell>
          <cell r="J274" t="str">
            <v>STD</v>
          </cell>
          <cell r="L274">
            <v>74729.200000000012</v>
          </cell>
          <cell r="M274">
            <v>3249.0956521739135</v>
          </cell>
          <cell r="O274" t="str">
            <v>RESORTE PARA CANAL</v>
          </cell>
        </row>
        <row r="275">
          <cell r="D275" t="str">
            <v>HTJA030022</v>
          </cell>
          <cell r="E275" t="str">
            <v>10232841</v>
          </cell>
          <cell r="F275" t="str">
            <v>AC-2000i DNA (Preforma)</v>
          </cell>
          <cell r="G275">
            <v>300000</v>
          </cell>
          <cell r="H275" t="str">
            <v>Profirrol</v>
          </cell>
          <cell r="I275">
            <v>30</v>
          </cell>
          <cell r="J275" t="str">
            <v>STD</v>
          </cell>
          <cell r="L275">
            <v>99000</v>
          </cell>
          <cell r="M275">
            <v>4304.347826086957</v>
          </cell>
          <cell r="O275" t="str">
            <v>RESORTE PARA CANAL</v>
          </cell>
        </row>
        <row r="276">
          <cell r="D276" t="str">
            <v>HTJA030022</v>
          </cell>
          <cell r="E276" t="str">
            <v>4302091005</v>
          </cell>
          <cell r="F276" t="str">
            <v>C-2000 PL-BODY</v>
          </cell>
          <cell r="G276">
            <v>300000</v>
          </cell>
          <cell r="H276" t="str">
            <v>Profirrol</v>
          </cell>
          <cell r="I276">
            <v>30</v>
          </cell>
          <cell r="J276" t="str">
            <v>STD</v>
          </cell>
          <cell r="L276">
            <v>0</v>
          </cell>
          <cell r="M276">
            <v>0</v>
          </cell>
          <cell r="O276" t="str">
            <v>RESORTE PARA CANAL</v>
          </cell>
        </row>
        <row r="277">
          <cell r="D277" t="str">
            <v>HTJA030022</v>
          </cell>
          <cell r="E277" t="str">
            <v>7324050215</v>
          </cell>
          <cell r="F277" t="str">
            <v>AC-2300i PT-44</v>
          </cell>
          <cell r="G277">
            <v>300000</v>
          </cell>
          <cell r="H277" t="str">
            <v>Profirrol</v>
          </cell>
          <cell r="I277">
            <v>30</v>
          </cell>
          <cell r="J277" t="str">
            <v>STD</v>
          </cell>
          <cell r="L277">
            <v>58512.600000000006</v>
          </cell>
          <cell r="M277">
            <v>2544.0260869565218</v>
          </cell>
          <cell r="O277" t="str">
            <v>RESORTE PARA CANAL</v>
          </cell>
        </row>
        <row r="278">
          <cell r="D278" t="str">
            <v>HTJA030022</v>
          </cell>
          <cell r="E278" t="str">
            <v>10226750</v>
          </cell>
          <cell r="F278" t="str">
            <v>AC-2300i DNA (Preforma)</v>
          </cell>
          <cell r="G278">
            <v>300000</v>
          </cell>
          <cell r="H278" t="str">
            <v>Profirrol</v>
          </cell>
          <cell r="I278">
            <v>30</v>
          </cell>
          <cell r="J278" t="str">
            <v>STD</v>
          </cell>
          <cell r="L278">
            <v>52509.599999999999</v>
          </cell>
          <cell r="M278">
            <v>2283.0260869565218</v>
          </cell>
          <cell r="O278" t="str">
            <v>RESORTE PARA CANAL</v>
          </cell>
        </row>
        <row r="279">
          <cell r="D279" t="str">
            <v>HTJA030022</v>
          </cell>
          <cell r="E279" t="str">
            <v>7553050217</v>
          </cell>
          <cell r="F279" t="str">
            <v>AC-2600i PT-Turbo</v>
          </cell>
          <cell r="G279">
            <v>300000</v>
          </cell>
          <cell r="H279" t="str">
            <v>Profirrol</v>
          </cell>
          <cell r="I279">
            <v>30</v>
          </cell>
          <cell r="J279" t="str">
            <v>STD</v>
          </cell>
          <cell r="L279">
            <v>37981.199999999997</v>
          </cell>
          <cell r="M279">
            <v>1651.3565217391304</v>
          </cell>
          <cell r="O279" t="str">
            <v>RESORTE PARA CANAL</v>
          </cell>
        </row>
        <row r="280">
          <cell r="D280" t="str">
            <v>HTJA030022</v>
          </cell>
          <cell r="E280" t="str">
            <v>10001024R</v>
          </cell>
          <cell r="F280" t="str">
            <v>AC-2600i Ford Escape</v>
          </cell>
          <cell r="G280">
            <v>300000</v>
          </cell>
          <cell r="H280" t="str">
            <v>Profirrol</v>
          </cell>
          <cell r="I280">
            <v>30</v>
          </cell>
          <cell r="J280" t="str">
            <v>STD</v>
          </cell>
          <cell r="L280">
            <v>59203</v>
          </cell>
          <cell r="M280">
            <v>2574.0434782608695</v>
          </cell>
          <cell r="O280" t="str">
            <v>RESORTE PARA CANAL</v>
          </cell>
        </row>
        <row r="281">
          <cell r="D281" t="str">
            <v>HTJA030022</v>
          </cell>
          <cell r="E281" t="str">
            <v>10226752</v>
          </cell>
          <cell r="F281" t="str">
            <v>AC-2600i DNA (Preforma)</v>
          </cell>
          <cell r="G281">
            <v>300000</v>
          </cell>
          <cell r="H281" t="str">
            <v>Profirrol</v>
          </cell>
          <cell r="I281">
            <v>30</v>
          </cell>
          <cell r="J281" t="str">
            <v>STD</v>
          </cell>
          <cell r="L281">
            <v>31536</v>
          </cell>
          <cell r="M281">
            <v>1371.1304347826087</v>
          </cell>
          <cell r="O281" t="str">
            <v>RESORTE PARA CANAL</v>
          </cell>
        </row>
        <row r="282">
          <cell r="D282" t="str">
            <v>HTJA030022</v>
          </cell>
          <cell r="E282" t="str">
            <v>10054551</v>
          </cell>
          <cell r="F282" t="str">
            <v>AC-2650 JC49 / GS PLT / DNA</v>
          </cell>
          <cell r="G282">
            <v>300000</v>
          </cell>
          <cell r="H282" t="str">
            <v>Profirrol</v>
          </cell>
          <cell r="I282">
            <v>30</v>
          </cell>
          <cell r="J282" t="str">
            <v>STD</v>
          </cell>
          <cell r="L282">
            <v>11932</v>
          </cell>
          <cell r="M282">
            <v>518.78260869565213</v>
          </cell>
          <cell r="O282" t="str">
            <v>RESORTE PARA CANAL</v>
          </cell>
        </row>
        <row r="283">
          <cell r="D283" t="str">
            <v>HTJA030022</v>
          </cell>
          <cell r="E283" t="str">
            <v>10226751</v>
          </cell>
          <cell r="F283" t="str">
            <v>AC-2650 DNA</v>
          </cell>
          <cell r="G283">
            <v>300000</v>
          </cell>
          <cell r="H283" t="str">
            <v>Profirrol</v>
          </cell>
          <cell r="I283">
            <v>30</v>
          </cell>
          <cell r="J283" t="str">
            <v>STD</v>
          </cell>
          <cell r="L283">
            <v>24453</v>
          </cell>
          <cell r="M283">
            <v>1063.1739130434783</v>
          </cell>
          <cell r="O283" t="str">
            <v>RESORTE PARA CANAL</v>
          </cell>
        </row>
        <row r="284">
          <cell r="D284" t="str">
            <v>HTJA030022</v>
          </cell>
          <cell r="E284" t="str">
            <v>8152050226</v>
          </cell>
          <cell r="F284" t="str">
            <v>UF-2600i PQ-35 VW</v>
          </cell>
          <cell r="G284">
            <v>300000</v>
          </cell>
          <cell r="H284" t="str">
            <v>Profirrol</v>
          </cell>
          <cell r="I284">
            <v>30</v>
          </cell>
          <cell r="J284" t="str">
            <v>STD</v>
          </cell>
          <cell r="L284">
            <v>38227.399999999994</v>
          </cell>
          <cell r="M284">
            <v>1662.0608695652172</v>
          </cell>
          <cell r="O284" t="str">
            <v>RESORTE PARA CANAL</v>
          </cell>
        </row>
        <row r="285">
          <cell r="D285" t="str">
            <v>HTJA030022</v>
          </cell>
          <cell r="E285" t="str">
            <v>10060762</v>
          </cell>
          <cell r="F285" t="str">
            <v>UF-2600i Ford Explorer</v>
          </cell>
          <cell r="G285">
            <v>300000</v>
          </cell>
          <cell r="H285" t="str">
            <v>Profirrol</v>
          </cell>
          <cell r="I285">
            <v>30</v>
          </cell>
          <cell r="J285" t="str">
            <v>STD</v>
          </cell>
          <cell r="L285">
            <v>0</v>
          </cell>
          <cell r="M285">
            <v>0</v>
          </cell>
          <cell r="O285" t="str">
            <v>RESORTE PARA CANAL</v>
          </cell>
        </row>
        <row r="286">
          <cell r="D286" t="str">
            <v>HTJA030022</v>
          </cell>
          <cell r="E286" t="str">
            <v>00806088</v>
          </cell>
          <cell r="F286" t="str">
            <v>UF-2600i Hyundai</v>
          </cell>
          <cell r="G286">
            <v>300000</v>
          </cell>
          <cell r="H286" t="str">
            <v>Profirrol</v>
          </cell>
          <cell r="I286">
            <v>30</v>
          </cell>
          <cell r="J286" t="str">
            <v>STD</v>
          </cell>
          <cell r="L286">
            <v>0</v>
          </cell>
          <cell r="M286">
            <v>0</v>
          </cell>
          <cell r="O286" t="str">
            <v>RESORTE PARA CANAL</v>
          </cell>
        </row>
        <row r="287">
          <cell r="D287" t="str">
            <v>HTJA030022</v>
          </cell>
          <cell r="E287" t="str">
            <v>10235857</v>
          </cell>
          <cell r="F287" t="str">
            <v>UF-2600i DNA (Preforma)</v>
          </cell>
          <cell r="G287">
            <v>300000</v>
          </cell>
          <cell r="H287" t="str">
            <v>Profirrol</v>
          </cell>
          <cell r="I287">
            <v>30</v>
          </cell>
          <cell r="J287" t="str">
            <v>STD</v>
          </cell>
          <cell r="L287">
            <v>0</v>
          </cell>
          <cell r="M287">
            <v>0</v>
          </cell>
          <cell r="O287" t="str">
            <v>RESORTE PARA CANAL</v>
          </cell>
        </row>
        <row r="288">
          <cell r="D288" t="str">
            <v>HTJA030022</v>
          </cell>
          <cell r="E288" t="str">
            <v>10018041</v>
          </cell>
          <cell r="F288" t="str">
            <v>UF-3300i W</v>
          </cell>
          <cell r="G288">
            <v>300000</v>
          </cell>
          <cell r="H288" t="str">
            <v>Profirrol</v>
          </cell>
          <cell r="I288">
            <v>30</v>
          </cell>
          <cell r="J288" t="str">
            <v>STD</v>
          </cell>
          <cell r="L288">
            <v>13520.454678603319</v>
          </cell>
          <cell r="M288">
            <v>587.84585559144864</v>
          </cell>
          <cell r="O288" t="str">
            <v>RESORTE PARA CANAL</v>
          </cell>
        </row>
        <row r="289">
          <cell r="D289" t="str">
            <v>HTJA030022</v>
          </cell>
          <cell r="E289" t="str">
            <v>10009621</v>
          </cell>
          <cell r="F289" t="str">
            <v>UF-4600i W</v>
          </cell>
          <cell r="G289">
            <v>300000</v>
          </cell>
          <cell r="H289" t="str">
            <v>Profirrol</v>
          </cell>
          <cell r="I289">
            <v>30</v>
          </cell>
          <cell r="J289" t="str">
            <v>STD</v>
          </cell>
          <cell r="L289">
            <v>33932.483034337194</v>
          </cell>
          <cell r="M289">
            <v>1475.3253493190084</v>
          </cell>
          <cell r="O289" t="str">
            <v>RESORTE PARA CANAL</v>
          </cell>
        </row>
        <row r="290">
          <cell r="D290" t="str">
            <v>HTJA030022</v>
          </cell>
          <cell r="E290" t="str">
            <v>7056050202</v>
          </cell>
          <cell r="F290" t="str">
            <v>A4 RF-91 Concept One</v>
          </cell>
          <cell r="G290">
            <v>300000</v>
          </cell>
          <cell r="H290" t="str">
            <v>Profirrol</v>
          </cell>
          <cell r="I290">
            <v>30</v>
          </cell>
          <cell r="J290" t="str">
            <v>STD</v>
          </cell>
          <cell r="L290">
            <v>0</v>
          </cell>
          <cell r="M290">
            <v>0</v>
          </cell>
          <cell r="O290" t="str">
            <v>RESORTE PARA CANAL</v>
          </cell>
        </row>
        <row r="291">
          <cell r="D291" t="str">
            <v>HTJA030022</v>
          </cell>
          <cell r="E291" t="str">
            <v>7174050203</v>
          </cell>
          <cell r="F291" t="str">
            <v>A4 RF-95</v>
          </cell>
          <cell r="G291">
            <v>300000</v>
          </cell>
          <cell r="H291" t="str">
            <v>Profirrol</v>
          </cell>
          <cell r="I291">
            <v>30</v>
          </cell>
          <cell r="J291" t="str">
            <v>STD</v>
          </cell>
          <cell r="L291">
            <v>8133.6</v>
          </cell>
          <cell r="M291">
            <v>353.63478260869567</v>
          </cell>
          <cell r="O291" t="str">
            <v>RESORTE PARA CANAL</v>
          </cell>
        </row>
        <row r="292">
          <cell r="D292" t="str">
            <v>HTJA030023</v>
          </cell>
          <cell r="E292" t="str">
            <v>8647050233</v>
          </cell>
          <cell r="F292" t="str">
            <v>AC-2000i Honda Acura</v>
          </cell>
          <cell r="G292">
            <v>300000</v>
          </cell>
          <cell r="H292" t="str">
            <v>Profirrol</v>
          </cell>
          <cell r="I292">
            <v>30</v>
          </cell>
          <cell r="J292" t="str">
            <v>STD</v>
          </cell>
          <cell r="L292">
            <v>74729.200000000012</v>
          </cell>
          <cell r="M292">
            <v>3249.0956521739135</v>
          </cell>
          <cell r="O292" t="str">
            <v>BUJE GUÍA DE MANDRIL</v>
          </cell>
        </row>
        <row r="293">
          <cell r="D293" t="str">
            <v>HTJA030023</v>
          </cell>
          <cell r="E293" t="str">
            <v>10232841</v>
          </cell>
          <cell r="F293" t="str">
            <v>AC-2000i DNA (Preforma)</v>
          </cell>
          <cell r="G293">
            <v>300000</v>
          </cell>
          <cell r="H293" t="str">
            <v>Profirrol</v>
          </cell>
          <cell r="I293">
            <v>30</v>
          </cell>
          <cell r="J293" t="str">
            <v>STD</v>
          </cell>
          <cell r="L293">
            <v>99000</v>
          </cell>
          <cell r="M293">
            <v>4304.347826086957</v>
          </cell>
          <cell r="O293" t="str">
            <v>BUJE GUÍA DE MANDRIL</v>
          </cell>
        </row>
        <row r="294">
          <cell r="D294" t="str">
            <v>HTJA030023</v>
          </cell>
          <cell r="E294" t="str">
            <v>4302091005</v>
          </cell>
          <cell r="F294" t="str">
            <v>C-2000 PL-BODY</v>
          </cell>
          <cell r="G294">
            <v>300000</v>
          </cell>
          <cell r="H294" t="str">
            <v>Profirrol</v>
          </cell>
          <cell r="I294">
            <v>30</v>
          </cell>
          <cell r="J294" t="str">
            <v>STD</v>
          </cell>
          <cell r="L294">
            <v>0</v>
          </cell>
          <cell r="M294">
            <v>0</v>
          </cell>
          <cell r="O294" t="str">
            <v>BUJE GUÍA DE MANDRIL</v>
          </cell>
        </row>
        <row r="295">
          <cell r="D295" t="str">
            <v>HTJA030023</v>
          </cell>
          <cell r="E295" t="str">
            <v>7324050215</v>
          </cell>
          <cell r="F295" t="str">
            <v>AC-2300i PT-44</v>
          </cell>
          <cell r="G295">
            <v>300000</v>
          </cell>
          <cell r="H295" t="str">
            <v>Profirrol</v>
          </cell>
          <cell r="I295">
            <v>30</v>
          </cell>
          <cell r="J295" t="str">
            <v>STD</v>
          </cell>
          <cell r="L295">
            <v>58512.600000000006</v>
          </cell>
          <cell r="M295">
            <v>2544.0260869565218</v>
          </cell>
          <cell r="O295" t="str">
            <v>BUJE GUÍA DE MANDRIL</v>
          </cell>
        </row>
        <row r="296">
          <cell r="D296" t="str">
            <v>HTJA030023</v>
          </cell>
          <cell r="E296" t="str">
            <v>10226750</v>
          </cell>
          <cell r="F296" t="str">
            <v>AC-2300i DNA (Preforma)</v>
          </cell>
          <cell r="G296">
            <v>300000</v>
          </cell>
          <cell r="H296" t="str">
            <v>Profirrol</v>
          </cell>
          <cell r="I296">
            <v>30</v>
          </cell>
          <cell r="J296" t="str">
            <v>STD</v>
          </cell>
          <cell r="L296">
            <v>52509.599999999999</v>
          </cell>
          <cell r="M296">
            <v>2283.0260869565218</v>
          </cell>
          <cell r="O296" t="str">
            <v>BUJE GUÍA DE MANDRIL</v>
          </cell>
        </row>
        <row r="297">
          <cell r="D297" t="str">
            <v>HTJA030023</v>
          </cell>
          <cell r="E297" t="str">
            <v>7553050217</v>
          </cell>
          <cell r="F297" t="str">
            <v>AC-2600i PT-Turbo</v>
          </cell>
          <cell r="G297">
            <v>300000</v>
          </cell>
          <cell r="H297" t="str">
            <v>Profirrol</v>
          </cell>
          <cell r="I297">
            <v>30</v>
          </cell>
          <cell r="J297" t="str">
            <v>STD</v>
          </cell>
          <cell r="L297">
            <v>37981.199999999997</v>
          </cell>
          <cell r="M297">
            <v>1651.3565217391304</v>
          </cell>
          <cell r="O297" t="str">
            <v>BUJE GUÍA DE MANDRIL</v>
          </cell>
        </row>
        <row r="298">
          <cell r="D298" t="str">
            <v>HTJA030023</v>
          </cell>
          <cell r="E298" t="str">
            <v>10001024R</v>
          </cell>
          <cell r="F298" t="str">
            <v>AC-2600i Ford Escape</v>
          </cell>
          <cell r="G298">
            <v>300000</v>
          </cell>
          <cell r="H298" t="str">
            <v>Profirrol</v>
          </cell>
          <cell r="I298">
            <v>30</v>
          </cell>
          <cell r="J298" t="str">
            <v>STD</v>
          </cell>
          <cell r="L298">
            <v>59203</v>
          </cell>
          <cell r="M298">
            <v>2574.0434782608695</v>
          </cell>
          <cell r="O298" t="str">
            <v>BUJE GUÍA DE MANDRIL</v>
          </cell>
        </row>
        <row r="299">
          <cell r="D299" t="str">
            <v>HTJA030023</v>
          </cell>
          <cell r="E299" t="str">
            <v>10226752</v>
          </cell>
          <cell r="F299" t="str">
            <v>AC-2600i DNA (Preforma)</v>
          </cell>
          <cell r="G299">
            <v>300000</v>
          </cell>
          <cell r="H299" t="str">
            <v>Profirrol</v>
          </cell>
          <cell r="I299">
            <v>30</v>
          </cell>
          <cell r="J299" t="str">
            <v>STD</v>
          </cell>
          <cell r="L299">
            <v>31536</v>
          </cell>
          <cell r="M299">
            <v>1371.1304347826087</v>
          </cell>
          <cell r="O299" t="str">
            <v>BUJE GUÍA DE MANDRIL</v>
          </cell>
        </row>
        <row r="300">
          <cell r="D300" t="str">
            <v>HTJA030023</v>
          </cell>
          <cell r="E300" t="str">
            <v>10054551</v>
          </cell>
          <cell r="F300" t="str">
            <v>AC-2650 JC49 / GS PLT / DNA</v>
          </cell>
          <cell r="G300">
            <v>300000</v>
          </cell>
          <cell r="H300" t="str">
            <v>Profirrol</v>
          </cell>
          <cell r="I300">
            <v>30</v>
          </cell>
          <cell r="J300" t="str">
            <v>STD</v>
          </cell>
          <cell r="L300">
            <v>11932</v>
          </cell>
          <cell r="M300">
            <v>518.78260869565213</v>
          </cell>
          <cell r="O300" t="str">
            <v>BUJE GUÍA DE MANDRIL</v>
          </cell>
        </row>
        <row r="301">
          <cell r="D301" t="str">
            <v>HTJA030023</v>
          </cell>
          <cell r="E301" t="str">
            <v>10226751</v>
          </cell>
          <cell r="F301" t="str">
            <v>AC-2650 DNA</v>
          </cell>
          <cell r="G301">
            <v>300000</v>
          </cell>
          <cell r="H301" t="str">
            <v>Profirrol</v>
          </cell>
          <cell r="I301">
            <v>30</v>
          </cell>
          <cell r="J301" t="str">
            <v>STD</v>
          </cell>
          <cell r="L301">
            <v>24453</v>
          </cell>
          <cell r="M301">
            <v>1063.1739130434783</v>
          </cell>
          <cell r="O301" t="str">
            <v>BUJE GUÍA DE MANDRIL</v>
          </cell>
        </row>
        <row r="302">
          <cell r="D302" t="str">
            <v>HTJA030023</v>
          </cell>
          <cell r="E302" t="str">
            <v>8152050226</v>
          </cell>
          <cell r="F302" t="str">
            <v>UF-2600i PQ-35 VW</v>
          </cell>
          <cell r="G302">
            <v>300000</v>
          </cell>
          <cell r="H302" t="str">
            <v>Profirrol</v>
          </cell>
          <cell r="I302">
            <v>30</v>
          </cell>
          <cell r="J302" t="str">
            <v>STD</v>
          </cell>
          <cell r="L302">
            <v>38227.399999999994</v>
          </cell>
          <cell r="M302">
            <v>1662.0608695652172</v>
          </cell>
          <cell r="O302" t="str">
            <v>BUJE GUÍA DE MANDRIL</v>
          </cell>
        </row>
        <row r="303">
          <cell r="D303" t="str">
            <v>HTJA030023</v>
          </cell>
          <cell r="E303" t="str">
            <v>10060762</v>
          </cell>
          <cell r="F303" t="str">
            <v>UF-2600i Ford Explorer</v>
          </cell>
          <cell r="G303">
            <v>300000</v>
          </cell>
          <cell r="H303" t="str">
            <v>Profirrol</v>
          </cell>
          <cell r="I303">
            <v>30</v>
          </cell>
          <cell r="J303" t="str">
            <v>STD</v>
          </cell>
          <cell r="L303">
            <v>0</v>
          </cell>
          <cell r="M303">
            <v>0</v>
          </cell>
          <cell r="O303" t="str">
            <v>BUJE GUÍA DE MANDRIL</v>
          </cell>
        </row>
        <row r="304">
          <cell r="D304" t="str">
            <v>HTJA030023</v>
          </cell>
          <cell r="E304" t="str">
            <v>00806088</v>
          </cell>
          <cell r="F304" t="str">
            <v>UF-2600i Hyundai</v>
          </cell>
          <cell r="G304">
            <v>300000</v>
          </cell>
          <cell r="H304" t="str">
            <v>Profirrol</v>
          </cell>
          <cell r="I304">
            <v>30</v>
          </cell>
          <cell r="J304" t="str">
            <v>STD</v>
          </cell>
          <cell r="L304">
            <v>0</v>
          </cell>
          <cell r="M304">
            <v>0</v>
          </cell>
          <cell r="O304" t="str">
            <v>BUJE GUÍA DE MANDRIL</v>
          </cell>
        </row>
        <row r="305">
          <cell r="D305" t="str">
            <v>HTJA030023</v>
          </cell>
          <cell r="E305" t="str">
            <v>10235857</v>
          </cell>
          <cell r="F305" t="str">
            <v>UF-2600i DNA (Preforma)</v>
          </cell>
          <cell r="G305">
            <v>300000</v>
          </cell>
          <cell r="H305" t="str">
            <v>Profirrol</v>
          </cell>
          <cell r="I305">
            <v>30</v>
          </cell>
          <cell r="J305" t="str">
            <v>STD</v>
          </cell>
          <cell r="L305">
            <v>0</v>
          </cell>
          <cell r="M305">
            <v>0</v>
          </cell>
          <cell r="O305" t="str">
            <v>BUJE GUÍA DE MANDRIL</v>
          </cell>
        </row>
        <row r="306">
          <cell r="D306" t="str">
            <v>HTJA030023</v>
          </cell>
          <cell r="E306" t="str">
            <v>10018041</v>
          </cell>
          <cell r="F306" t="str">
            <v>UF-3300i W</v>
          </cell>
          <cell r="G306">
            <v>300000</v>
          </cell>
          <cell r="H306" t="str">
            <v>Profirrol</v>
          </cell>
          <cell r="I306">
            <v>30</v>
          </cell>
          <cell r="J306" t="str">
            <v>STD</v>
          </cell>
          <cell r="L306">
            <v>13520.454678603319</v>
          </cell>
          <cell r="M306">
            <v>587.84585559144864</v>
          </cell>
          <cell r="O306" t="str">
            <v>BUJE GUÍA DE MANDRIL</v>
          </cell>
        </row>
        <row r="307">
          <cell r="D307" t="str">
            <v>HTJA030023</v>
          </cell>
          <cell r="E307" t="str">
            <v>10009621</v>
          </cell>
          <cell r="F307" t="str">
            <v>UF-4600i W</v>
          </cell>
          <cell r="G307">
            <v>300000</v>
          </cell>
          <cell r="H307" t="str">
            <v>Profirrol</v>
          </cell>
          <cell r="I307">
            <v>30</v>
          </cell>
          <cell r="J307" t="str">
            <v>STD</v>
          </cell>
          <cell r="L307">
            <v>33932.483034337194</v>
          </cell>
          <cell r="M307">
            <v>1475.3253493190084</v>
          </cell>
          <cell r="O307" t="str">
            <v>BUJE GUÍA DE MANDRIL</v>
          </cell>
        </row>
        <row r="308">
          <cell r="D308" t="str">
            <v>HTJA030023</v>
          </cell>
          <cell r="E308" t="str">
            <v>7056050202</v>
          </cell>
          <cell r="F308" t="str">
            <v>A4 RF-91 Concept One</v>
          </cell>
          <cell r="G308">
            <v>300000</v>
          </cell>
          <cell r="H308" t="str">
            <v>Profirrol</v>
          </cell>
          <cell r="I308">
            <v>30</v>
          </cell>
          <cell r="J308" t="str">
            <v>STD</v>
          </cell>
          <cell r="L308">
            <v>0</v>
          </cell>
          <cell r="M308">
            <v>0</v>
          </cell>
          <cell r="O308" t="str">
            <v>BUJE GUÍA DE MANDRIL</v>
          </cell>
        </row>
        <row r="309">
          <cell r="D309" t="str">
            <v>HTJA030023</v>
          </cell>
          <cell r="E309" t="str">
            <v>7174050203</v>
          </cell>
          <cell r="F309" t="str">
            <v>A4 RF-95</v>
          </cell>
          <cell r="G309">
            <v>300000</v>
          </cell>
          <cell r="H309" t="str">
            <v>Profirrol</v>
          </cell>
          <cell r="I309">
            <v>30</v>
          </cell>
          <cell r="J309" t="str">
            <v>STD</v>
          </cell>
          <cell r="L309">
            <v>8133.6</v>
          </cell>
          <cell r="M309">
            <v>353.63478260869567</v>
          </cell>
          <cell r="O309" t="str">
            <v>BUJE GUÍA DE MANDRIL</v>
          </cell>
        </row>
        <row r="310">
          <cell r="D310" t="str">
            <v>HTJA030024</v>
          </cell>
          <cell r="E310" t="str">
            <v>8647050233</v>
          </cell>
          <cell r="F310" t="str">
            <v>AC-2000i Honda Acura</v>
          </cell>
          <cell r="G310">
            <v>50000</v>
          </cell>
          <cell r="H310" t="str">
            <v>Nacional</v>
          </cell>
          <cell r="I310">
            <v>8</v>
          </cell>
          <cell r="J310" t="str">
            <v>STD</v>
          </cell>
          <cell r="L310">
            <v>74729.200000000012</v>
          </cell>
          <cell r="M310">
            <v>3249.0956521739135</v>
          </cell>
          <cell r="O310" t="str">
            <v>RODILLO DE DISPOSITIVO MEDIDOR</v>
          </cell>
        </row>
        <row r="311">
          <cell r="D311" t="str">
            <v>HTJA030024</v>
          </cell>
          <cell r="E311" t="str">
            <v>10232841</v>
          </cell>
          <cell r="F311" t="str">
            <v>AC-2000i DNA (Preforma)</v>
          </cell>
          <cell r="G311">
            <v>50000</v>
          </cell>
          <cell r="H311" t="str">
            <v>Nacional</v>
          </cell>
          <cell r="I311">
            <v>8</v>
          </cell>
          <cell r="J311" t="str">
            <v>STD</v>
          </cell>
          <cell r="L311">
            <v>99000</v>
          </cell>
          <cell r="M311">
            <v>4304.347826086957</v>
          </cell>
          <cell r="O311" t="str">
            <v>RODILLO DE DISPOSITIVO MEDIDOR</v>
          </cell>
        </row>
        <row r="312">
          <cell r="D312" t="str">
            <v>HTJA030024</v>
          </cell>
          <cell r="E312" t="str">
            <v>4302091005</v>
          </cell>
          <cell r="F312" t="str">
            <v>C-2000 PL-BODY</v>
          </cell>
          <cell r="G312">
            <v>50000</v>
          </cell>
          <cell r="H312" t="str">
            <v>Nacional</v>
          </cell>
          <cell r="I312">
            <v>8</v>
          </cell>
          <cell r="J312" t="str">
            <v>STD</v>
          </cell>
          <cell r="L312">
            <v>0</v>
          </cell>
          <cell r="M312">
            <v>0</v>
          </cell>
          <cell r="O312" t="str">
            <v>RODILLO DE DISPOSITIVO MEDIDOR</v>
          </cell>
        </row>
        <row r="313">
          <cell r="D313" t="str">
            <v>HTJA030024</v>
          </cell>
          <cell r="E313" t="str">
            <v>7324050215</v>
          </cell>
          <cell r="F313" t="str">
            <v>AC-2300i PT-44</v>
          </cell>
          <cell r="G313">
            <v>50000</v>
          </cell>
          <cell r="H313" t="str">
            <v>Nacional</v>
          </cell>
          <cell r="I313">
            <v>8</v>
          </cell>
          <cell r="J313" t="str">
            <v>STD</v>
          </cell>
          <cell r="L313">
            <v>58512.600000000006</v>
          </cell>
          <cell r="M313">
            <v>2544.0260869565218</v>
          </cell>
          <cell r="O313" t="str">
            <v>RODILLO DE DISPOSITIVO MEDIDOR</v>
          </cell>
        </row>
        <row r="314">
          <cell r="D314" t="str">
            <v>HTJA030024</v>
          </cell>
          <cell r="E314" t="str">
            <v>10226750</v>
          </cell>
          <cell r="F314" t="str">
            <v>AC-2300i DNA (Preforma)</v>
          </cell>
          <cell r="G314">
            <v>50000</v>
          </cell>
          <cell r="H314" t="str">
            <v>Nacional</v>
          </cell>
          <cell r="I314">
            <v>8</v>
          </cell>
          <cell r="J314" t="str">
            <v>STD</v>
          </cell>
          <cell r="L314">
            <v>52509.599999999999</v>
          </cell>
          <cell r="M314">
            <v>2283.0260869565218</v>
          </cell>
          <cell r="O314" t="str">
            <v>RODILLO DE DISPOSITIVO MEDIDOR</v>
          </cell>
        </row>
        <row r="315">
          <cell r="D315" t="str">
            <v>HTJA030024</v>
          </cell>
          <cell r="E315" t="str">
            <v>7553050217</v>
          </cell>
          <cell r="F315" t="str">
            <v>AC-2600i PT-Turbo</v>
          </cell>
          <cell r="G315">
            <v>50000</v>
          </cell>
          <cell r="H315" t="str">
            <v>Nacional</v>
          </cell>
          <cell r="I315">
            <v>8</v>
          </cell>
          <cell r="J315" t="str">
            <v>STD</v>
          </cell>
          <cell r="L315">
            <v>37981.199999999997</v>
          </cell>
          <cell r="M315">
            <v>1651.3565217391304</v>
          </cell>
          <cell r="O315" t="str">
            <v>RODILLO DE DISPOSITIVO MEDIDOR</v>
          </cell>
        </row>
        <row r="316">
          <cell r="D316" t="str">
            <v>HTJA030024</v>
          </cell>
          <cell r="E316" t="str">
            <v>10001024R</v>
          </cell>
          <cell r="F316" t="str">
            <v>AC-2600i Ford Escape</v>
          </cell>
          <cell r="G316">
            <v>50000</v>
          </cell>
          <cell r="H316" t="str">
            <v>Nacional</v>
          </cell>
          <cell r="I316">
            <v>8</v>
          </cell>
          <cell r="J316" t="str">
            <v>STD</v>
          </cell>
          <cell r="L316">
            <v>59203</v>
          </cell>
          <cell r="M316">
            <v>2574.0434782608695</v>
          </cell>
          <cell r="O316" t="str">
            <v>RODILLO DE DISPOSITIVO MEDIDOR</v>
          </cell>
        </row>
        <row r="317">
          <cell r="D317" t="str">
            <v>HTJA030024</v>
          </cell>
          <cell r="E317" t="str">
            <v>10226752</v>
          </cell>
          <cell r="F317" t="str">
            <v>AC-2600i DNA (Preforma)</v>
          </cell>
          <cell r="G317">
            <v>50000</v>
          </cell>
          <cell r="H317" t="str">
            <v>Nacional</v>
          </cell>
          <cell r="I317">
            <v>8</v>
          </cell>
          <cell r="J317" t="str">
            <v>STD</v>
          </cell>
          <cell r="L317">
            <v>31536</v>
          </cell>
          <cell r="M317">
            <v>1371.1304347826087</v>
          </cell>
          <cell r="O317" t="str">
            <v>RODILLO DE DISPOSITIVO MEDIDOR</v>
          </cell>
        </row>
        <row r="318">
          <cell r="D318" t="str">
            <v>HTJA030024</v>
          </cell>
          <cell r="E318" t="str">
            <v>10054551</v>
          </cell>
          <cell r="F318" t="str">
            <v>AC-2650 JC49 / GS PLT / DNA</v>
          </cell>
          <cell r="G318">
            <v>50000</v>
          </cell>
          <cell r="H318" t="str">
            <v>Nacional</v>
          </cell>
          <cell r="I318">
            <v>8</v>
          </cell>
          <cell r="J318" t="str">
            <v>STD</v>
          </cell>
          <cell r="L318">
            <v>11932</v>
          </cell>
          <cell r="M318">
            <v>518.78260869565213</v>
          </cell>
          <cell r="O318" t="str">
            <v>RODILLO DE DISPOSITIVO MEDIDOR</v>
          </cell>
        </row>
        <row r="319">
          <cell r="D319" t="str">
            <v>HTJA030024</v>
          </cell>
          <cell r="E319" t="str">
            <v>10226751</v>
          </cell>
          <cell r="F319" t="str">
            <v>AC-2650 DNA</v>
          </cell>
          <cell r="G319">
            <v>50000</v>
          </cell>
          <cell r="H319" t="str">
            <v>Nacional</v>
          </cell>
          <cell r="I319">
            <v>8</v>
          </cell>
          <cell r="J319" t="str">
            <v>STD</v>
          </cell>
          <cell r="L319">
            <v>24453</v>
          </cell>
          <cell r="M319">
            <v>1063.1739130434783</v>
          </cell>
          <cell r="O319" t="str">
            <v>RODILLO DE DISPOSITIVO MEDIDOR</v>
          </cell>
        </row>
        <row r="320">
          <cell r="D320" t="str">
            <v>HTJA030024</v>
          </cell>
          <cell r="E320" t="str">
            <v>8152050226</v>
          </cell>
          <cell r="F320" t="str">
            <v>UF-2600i PQ-35 VW</v>
          </cell>
          <cell r="G320">
            <v>50000</v>
          </cell>
          <cell r="H320" t="str">
            <v>Nacional</v>
          </cell>
          <cell r="I320">
            <v>8</v>
          </cell>
          <cell r="J320" t="str">
            <v>STD</v>
          </cell>
          <cell r="L320">
            <v>38227.399999999994</v>
          </cell>
          <cell r="M320">
            <v>1662.0608695652172</v>
          </cell>
          <cell r="O320" t="str">
            <v>RODILLO DE DISPOSITIVO MEDIDOR</v>
          </cell>
        </row>
        <row r="321">
          <cell r="D321" t="str">
            <v>HTJA030024</v>
          </cell>
          <cell r="E321" t="str">
            <v>10060762</v>
          </cell>
          <cell r="F321" t="str">
            <v>UF-2600i Ford Explorer</v>
          </cell>
          <cell r="G321">
            <v>50000</v>
          </cell>
          <cell r="H321" t="str">
            <v>Nacional</v>
          </cell>
          <cell r="I321">
            <v>8</v>
          </cell>
          <cell r="J321" t="str">
            <v>STD</v>
          </cell>
          <cell r="L321">
            <v>0</v>
          </cell>
          <cell r="M321">
            <v>0</v>
          </cell>
          <cell r="O321" t="str">
            <v>RODILLO DE DISPOSITIVO MEDIDOR</v>
          </cell>
        </row>
        <row r="322">
          <cell r="D322" t="str">
            <v>HTJA030024</v>
          </cell>
          <cell r="E322" t="str">
            <v>00806088</v>
          </cell>
          <cell r="F322" t="str">
            <v>UF-2600i Hyundai</v>
          </cell>
          <cell r="G322">
            <v>50000</v>
          </cell>
          <cell r="H322" t="str">
            <v>Nacional</v>
          </cell>
          <cell r="I322">
            <v>8</v>
          </cell>
          <cell r="J322" t="str">
            <v>STD</v>
          </cell>
          <cell r="L322">
            <v>0</v>
          </cell>
          <cell r="M322">
            <v>0</v>
          </cell>
          <cell r="O322" t="str">
            <v>RODILLO DE DISPOSITIVO MEDIDOR</v>
          </cell>
        </row>
        <row r="323">
          <cell r="D323" t="str">
            <v>HTJA030024</v>
          </cell>
          <cell r="E323" t="str">
            <v>10235857</v>
          </cell>
          <cell r="F323" t="str">
            <v>UF-2600i DNA (Preforma)</v>
          </cell>
          <cell r="G323">
            <v>50000</v>
          </cell>
          <cell r="H323" t="str">
            <v>Nacional</v>
          </cell>
          <cell r="I323">
            <v>8</v>
          </cell>
          <cell r="J323" t="str">
            <v>STD</v>
          </cell>
          <cell r="L323">
            <v>0</v>
          </cell>
          <cell r="M323">
            <v>0</v>
          </cell>
          <cell r="O323" t="str">
            <v>RODILLO DE DISPOSITIVO MEDIDOR</v>
          </cell>
        </row>
        <row r="324">
          <cell r="D324" t="str">
            <v>HTJA030024</v>
          </cell>
          <cell r="E324" t="str">
            <v>10018041</v>
          </cell>
          <cell r="F324" t="str">
            <v>UF-3300i W</v>
          </cell>
          <cell r="G324">
            <v>50000</v>
          </cell>
          <cell r="H324" t="str">
            <v>Nacional</v>
          </cell>
          <cell r="I324">
            <v>8</v>
          </cell>
          <cell r="J324" t="str">
            <v>STD</v>
          </cell>
          <cell r="L324">
            <v>13520.454678603319</v>
          </cell>
          <cell r="M324">
            <v>587.84585559144864</v>
          </cell>
          <cell r="O324" t="str">
            <v>RODILLO DE DISPOSITIVO MEDIDOR</v>
          </cell>
        </row>
        <row r="325">
          <cell r="D325" t="str">
            <v>HTJA030024</v>
          </cell>
          <cell r="E325" t="str">
            <v>10009621</v>
          </cell>
          <cell r="F325" t="str">
            <v>UF-4600i W</v>
          </cell>
          <cell r="G325">
            <v>50000</v>
          </cell>
          <cell r="H325" t="str">
            <v>Nacional</v>
          </cell>
          <cell r="I325">
            <v>8</v>
          </cell>
          <cell r="J325" t="str">
            <v>STD</v>
          </cell>
          <cell r="L325">
            <v>33932.483034337194</v>
          </cell>
          <cell r="M325">
            <v>1475.3253493190084</v>
          </cell>
          <cell r="O325" t="str">
            <v>RODILLO DE DISPOSITIVO MEDIDOR</v>
          </cell>
        </row>
        <row r="326">
          <cell r="D326" t="str">
            <v>HTJA030024</v>
          </cell>
          <cell r="E326" t="str">
            <v>7056050202</v>
          </cell>
          <cell r="F326" t="str">
            <v>A4 RF-91 Concept One</v>
          </cell>
          <cell r="G326">
            <v>50000</v>
          </cell>
          <cell r="H326" t="str">
            <v>Nacional</v>
          </cell>
          <cell r="I326">
            <v>8</v>
          </cell>
          <cell r="J326" t="str">
            <v>STD</v>
          </cell>
          <cell r="L326">
            <v>0</v>
          </cell>
          <cell r="M326">
            <v>0</v>
          </cell>
          <cell r="O326" t="str">
            <v>RODILLO DE DISPOSITIVO MEDIDOR</v>
          </cell>
        </row>
        <row r="327">
          <cell r="D327" t="str">
            <v>HTJA030024</v>
          </cell>
          <cell r="E327" t="str">
            <v>7174050203</v>
          </cell>
          <cell r="F327" t="str">
            <v>A4 RF-95</v>
          </cell>
          <cell r="G327">
            <v>50000</v>
          </cell>
          <cell r="H327" t="str">
            <v>Nacional</v>
          </cell>
          <cell r="I327">
            <v>8</v>
          </cell>
          <cell r="J327" t="str">
            <v>STD</v>
          </cell>
          <cell r="L327">
            <v>8133.6</v>
          </cell>
          <cell r="M327">
            <v>353.63478260869567</v>
          </cell>
          <cell r="O327" t="str">
            <v>RODILLO DE DISPOSITIVO MEDIDOR</v>
          </cell>
        </row>
        <row r="328">
          <cell r="D328" t="str">
            <v>HTJA030025</v>
          </cell>
          <cell r="E328" t="str">
            <v>8647050233</v>
          </cell>
          <cell r="F328" t="str">
            <v>AC-2000i Honda Acura</v>
          </cell>
          <cell r="G328">
            <v>300000</v>
          </cell>
          <cell r="H328" t="str">
            <v>Profirrol</v>
          </cell>
          <cell r="I328">
            <v>30</v>
          </cell>
          <cell r="J328" t="str">
            <v>STD</v>
          </cell>
          <cell r="L328">
            <v>74729.200000000012</v>
          </cell>
          <cell r="M328">
            <v>3249.0956521739135</v>
          </cell>
          <cell r="O328" t="str">
            <v>SOPORTE PARA RESORTE</v>
          </cell>
        </row>
        <row r="329">
          <cell r="D329" t="str">
            <v>HTJA030025</v>
          </cell>
          <cell r="E329" t="str">
            <v>10232841</v>
          </cell>
          <cell r="F329" t="str">
            <v>AC-2000i DNA (Preforma)</v>
          </cell>
          <cell r="G329">
            <v>300000</v>
          </cell>
          <cell r="H329" t="str">
            <v>Profirrol</v>
          </cell>
          <cell r="I329">
            <v>30</v>
          </cell>
          <cell r="J329" t="str">
            <v>STD</v>
          </cell>
          <cell r="L329">
            <v>99000</v>
          </cell>
          <cell r="M329">
            <v>4304.347826086957</v>
          </cell>
          <cell r="O329" t="str">
            <v>SOPORTE PARA RESORTE</v>
          </cell>
        </row>
        <row r="330">
          <cell r="D330" t="str">
            <v>HTJA030025</v>
          </cell>
          <cell r="E330" t="str">
            <v>4302091005</v>
          </cell>
          <cell r="F330" t="str">
            <v>C-2000 PL-BODY</v>
          </cell>
          <cell r="G330">
            <v>300000</v>
          </cell>
          <cell r="H330" t="str">
            <v>Profirrol</v>
          </cell>
          <cell r="I330">
            <v>30</v>
          </cell>
          <cell r="J330" t="str">
            <v>STD</v>
          </cell>
          <cell r="L330">
            <v>0</v>
          </cell>
          <cell r="M330">
            <v>0</v>
          </cell>
          <cell r="O330" t="str">
            <v>SOPORTE PARA RESORTE</v>
          </cell>
        </row>
        <row r="331">
          <cell r="D331" t="str">
            <v>HTJA030025</v>
          </cell>
          <cell r="E331" t="str">
            <v>7324050215</v>
          </cell>
          <cell r="F331" t="str">
            <v>AC-2300i PT-44</v>
          </cell>
          <cell r="G331">
            <v>300000</v>
          </cell>
          <cell r="H331" t="str">
            <v>Profirrol</v>
          </cell>
          <cell r="I331">
            <v>30</v>
          </cell>
          <cell r="J331" t="str">
            <v>STD</v>
          </cell>
          <cell r="L331">
            <v>58512.600000000006</v>
          </cell>
          <cell r="M331">
            <v>2544.0260869565218</v>
          </cell>
          <cell r="O331" t="str">
            <v>SOPORTE PARA RESORTE</v>
          </cell>
        </row>
        <row r="332">
          <cell r="D332" t="str">
            <v>HTJA030025</v>
          </cell>
          <cell r="E332" t="str">
            <v>10226750</v>
          </cell>
          <cell r="F332" t="str">
            <v>AC-2300i DNA (Preforma)</v>
          </cell>
          <cell r="G332">
            <v>300000</v>
          </cell>
          <cell r="H332" t="str">
            <v>Profirrol</v>
          </cell>
          <cell r="I332">
            <v>30</v>
          </cell>
          <cell r="J332" t="str">
            <v>STD</v>
          </cell>
          <cell r="L332">
            <v>52509.599999999999</v>
          </cell>
          <cell r="M332">
            <v>2283.0260869565218</v>
          </cell>
          <cell r="O332" t="str">
            <v>SOPORTE PARA RESORTE</v>
          </cell>
        </row>
        <row r="333">
          <cell r="D333" t="str">
            <v>HTJA030025</v>
          </cell>
          <cell r="E333" t="str">
            <v>7553050217</v>
          </cell>
          <cell r="F333" t="str">
            <v>AC-2600i PT-Turbo</v>
          </cell>
          <cell r="G333">
            <v>300000</v>
          </cell>
          <cell r="H333" t="str">
            <v>Profirrol</v>
          </cell>
          <cell r="I333">
            <v>30</v>
          </cell>
          <cell r="J333" t="str">
            <v>STD</v>
          </cell>
          <cell r="L333">
            <v>37981.199999999997</v>
          </cell>
          <cell r="M333">
            <v>1651.3565217391304</v>
          </cell>
          <cell r="O333" t="str">
            <v>SOPORTE PARA RESORTE</v>
          </cell>
        </row>
        <row r="334">
          <cell r="D334" t="str">
            <v>HTJA030025</v>
          </cell>
          <cell r="E334" t="str">
            <v>10001024R</v>
          </cell>
          <cell r="F334" t="str">
            <v>AC-2600i Ford Escape</v>
          </cell>
          <cell r="G334">
            <v>300000</v>
          </cell>
          <cell r="H334" t="str">
            <v>Profirrol</v>
          </cell>
          <cell r="I334">
            <v>30</v>
          </cell>
          <cell r="J334" t="str">
            <v>STD</v>
          </cell>
          <cell r="L334">
            <v>59203</v>
          </cell>
          <cell r="M334">
            <v>2574.0434782608695</v>
          </cell>
          <cell r="O334" t="str">
            <v>SOPORTE PARA RESORTE</v>
          </cell>
        </row>
        <row r="335">
          <cell r="D335" t="str">
            <v>HTJA030025</v>
          </cell>
          <cell r="E335" t="str">
            <v>10226752</v>
          </cell>
          <cell r="F335" t="str">
            <v>AC-2600i DNA (Preforma)</v>
          </cell>
          <cell r="G335">
            <v>300000</v>
          </cell>
          <cell r="H335" t="str">
            <v>Profirrol</v>
          </cell>
          <cell r="I335">
            <v>30</v>
          </cell>
          <cell r="J335" t="str">
            <v>STD</v>
          </cell>
          <cell r="L335">
            <v>31536</v>
          </cell>
          <cell r="M335">
            <v>1371.1304347826087</v>
          </cell>
          <cell r="O335" t="str">
            <v>SOPORTE PARA RESORTE</v>
          </cell>
        </row>
        <row r="336">
          <cell r="D336" t="str">
            <v>HTJA030025</v>
          </cell>
          <cell r="E336" t="str">
            <v>10054551</v>
          </cell>
          <cell r="F336" t="str">
            <v>AC-2650 JC49 / GS PLT / DNA</v>
          </cell>
          <cell r="G336">
            <v>300000</v>
          </cell>
          <cell r="H336" t="str">
            <v>Profirrol</v>
          </cell>
          <cell r="I336">
            <v>30</v>
          </cell>
          <cell r="J336" t="str">
            <v>STD</v>
          </cell>
          <cell r="L336">
            <v>11932</v>
          </cell>
          <cell r="M336">
            <v>518.78260869565213</v>
          </cell>
          <cell r="O336" t="str">
            <v>SOPORTE PARA RESORTE</v>
          </cell>
        </row>
        <row r="337">
          <cell r="D337" t="str">
            <v>HTJA030025</v>
          </cell>
          <cell r="E337" t="str">
            <v>10226751</v>
          </cell>
          <cell r="F337" t="str">
            <v>AC-2650 DNA</v>
          </cell>
          <cell r="G337">
            <v>300000</v>
          </cell>
          <cell r="H337" t="str">
            <v>Profirrol</v>
          </cell>
          <cell r="I337">
            <v>30</v>
          </cell>
          <cell r="J337" t="str">
            <v>STD</v>
          </cell>
          <cell r="L337">
            <v>24453</v>
          </cell>
          <cell r="M337">
            <v>1063.1739130434783</v>
          </cell>
          <cell r="O337" t="str">
            <v>SOPORTE PARA RESORTE</v>
          </cell>
        </row>
        <row r="338">
          <cell r="D338" t="str">
            <v>HTJA030025</v>
          </cell>
          <cell r="E338" t="str">
            <v>8152050226</v>
          </cell>
          <cell r="F338" t="str">
            <v>UF-2600i PQ-35 VW</v>
          </cell>
          <cell r="G338">
            <v>300000</v>
          </cell>
          <cell r="H338" t="str">
            <v>Profirrol</v>
          </cell>
          <cell r="I338">
            <v>30</v>
          </cell>
          <cell r="J338" t="str">
            <v>STD</v>
          </cell>
          <cell r="L338">
            <v>38227.399999999994</v>
          </cell>
          <cell r="M338">
            <v>1662.0608695652172</v>
          </cell>
          <cell r="O338" t="str">
            <v>SOPORTE PARA RESORTE</v>
          </cell>
        </row>
        <row r="339">
          <cell r="D339" t="str">
            <v>HTJA030025</v>
          </cell>
          <cell r="E339" t="str">
            <v>10060762</v>
          </cell>
          <cell r="F339" t="str">
            <v>UF-2600i Ford Explorer</v>
          </cell>
          <cell r="G339">
            <v>300000</v>
          </cell>
          <cell r="H339" t="str">
            <v>Profirrol</v>
          </cell>
          <cell r="I339">
            <v>30</v>
          </cell>
          <cell r="J339" t="str">
            <v>STD</v>
          </cell>
          <cell r="L339">
            <v>0</v>
          </cell>
          <cell r="M339">
            <v>0</v>
          </cell>
          <cell r="O339" t="str">
            <v>SOPORTE PARA RESORTE</v>
          </cell>
        </row>
        <row r="340">
          <cell r="D340" t="str">
            <v>HTJA030025</v>
          </cell>
          <cell r="E340" t="str">
            <v>00806088</v>
          </cell>
          <cell r="F340" t="str">
            <v>UF-2600i Hyundai</v>
          </cell>
          <cell r="G340">
            <v>300000</v>
          </cell>
          <cell r="H340" t="str">
            <v>Profirrol</v>
          </cell>
          <cell r="I340">
            <v>30</v>
          </cell>
          <cell r="J340" t="str">
            <v>STD</v>
          </cell>
          <cell r="L340">
            <v>0</v>
          </cell>
          <cell r="M340">
            <v>0</v>
          </cell>
          <cell r="O340" t="str">
            <v>SOPORTE PARA RESORTE</v>
          </cell>
        </row>
        <row r="341">
          <cell r="D341" t="str">
            <v>HTJA030025</v>
          </cell>
          <cell r="E341" t="str">
            <v>10235857</v>
          </cell>
          <cell r="F341" t="str">
            <v>UF-2600i DNA (Preforma)</v>
          </cell>
          <cell r="G341">
            <v>300000</v>
          </cell>
          <cell r="H341" t="str">
            <v>Profirrol</v>
          </cell>
          <cell r="I341">
            <v>30</v>
          </cell>
          <cell r="J341" t="str">
            <v>STD</v>
          </cell>
          <cell r="L341">
            <v>0</v>
          </cell>
          <cell r="M341">
            <v>0</v>
          </cell>
          <cell r="O341" t="str">
            <v>SOPORTE PARA RESORTE</v>
          </cell>
        </row>
        <row r="342">
          <cell r="D342" t="str">
            <v>HTJA030025</v>
          </cell>
          <cell r="E342" t="str">
            <v>10018041</v>
          </cell>
          <cell r="F342" t="str">
            <v>UF-3300i W</v>
          </cell>
          <cell r="G342">
            <v>300000</v>
          </cell>
          <cell r="H342" t="str">
            <v>Profirrol</v>
          </cell>
          <cell r="I342">
            <v>30</v>
          </cell>
          <cell r="J342" t="str">
            <v>STD</v>
          </cell>
          <cell r="L342">
            <v>13520.454678603319</v>
          </cell>
          <cell r="M342">
            <v>587.84585559144864</v>
          </cell>
          <cell r="O342" t="str">
            <v>SOPORTE PARA RESORTE</v>
          </cell>
        </row>
        <row r="343">
          <cell r="D343" t="str">
            <v>HTJA030025</v>
          </cell>
          <cell r="E343" t="str">
            <v>10009621</v>
          </cell>
          <cell r="F343" t="str">
            <v>UF-4600i W</v>
          </cell>
          <cell r="G343">
            <v>300000</v>
          </cell>
          <cell r="H343" t="str">
            <v>Profirrol</v>
          </cell>
          <cell r="I343">
            <v>30</v>
          </cell>
          <cell r="J343" t="str">
            <v>STD</v>
          </cell>
          <cell r="L343">
            <v>33932.483034337194</v>
          </cell>
          <cell r="M343">
            <v>1475.3253493190084</v>
          </cell>
          <cell r="O343" t="str">
            <v>SOPORTE PARA RESORTE</v>
          </cell>
        </row>
        <row r="344">
          <cell r="D344" t="str">
            <v>HTJA030025</v>
          </cell>
          <cell r="E344" t="str">
            <v>7056050202</v>
          </cell>
          <cell r="F344" t="str">
            <v>A4 RF-91 Concept One</v>
          </cell>
          <cell r="G344">
            <v>300000</v>
          </cell>
          <cell r="H344" t="str">
            <v>Profirrol</v>
          </cell>
          <cell r="I344">
            <v>30</v>
          </cell>
          <cell r="J344" t="str">
            <v>STD</v>
          </cell>
          <cell r="L344">
            <v>0</v>
          </cell>
          <cell r="M344">
            <v>0</v>
          </cell>
          <cell r="O344" t="str">
            <v>SOPORTE PARA RESORTE</v>
          </cell>
        </row>
        <row r="345">
          <cell r="D345" t="str">
            <v>HTJA030025</v>
          </cell>
          <cell r="E345" t="str">
            <v>7174050203</v>
          </cell>
          <cell r="F345" t="str">
            <v>A4 RF-95</v>
          </cell>
          <cell r="G345">
            <v>300000</v>
          </cell>
          <cell r="H345" t="str">
            <v>Profirrol</v>
          </cell>
          <cell r="I345">
            <v>30</v>
          </cell>
          <cell r="J345" t="str">
            <v>STD</v>
          </cell>
          <cell r="L345">
            <v>8133.6</v>
          </cell>
          <cell r="M345">
            <v>353.63478260869567</v>
          </cell>
          <cell r="O345" t="str">
            <v>SOPORTE PARA RESORTE</v>
          </cell>
        </row>
        <row r="346">
          <cell r="D346" t="str">
            <v>HTJA030026</v>
          </cell>
          <cell r="E346" t="str">
            <v>8647050233</v>
          </cell>
          <cell r="F346" t="str">
            <v>AC-2000i Honda Acura</v>
          </cell>
          <cell r="G346">
            <v>500000</v>
          </cell>
          <cell r="H346" t="str">
            <v>Profirrol</v>
          </cell>
          <cell r="I346">
            <v>10</v>
          </cell>
          <cell r="J346" t="str">
            <v>STD</v>
          </cell>
          <cell r="L346">
            <v>74801.200000000012</v>
          </cell>
          <cell r="M346">
            <v>3252.2260869565221</v>
          </cell>
          <cell r="O346" t="str">
            <v>PLACA BLOCK</v>
          </cell>
        </row>
        <row r="347">
          <cell r="D347" t="str">
            <v>HTJA030026</v>
          </cell>
          <cell r="E347" t="str">
            <v>10232841</v>
          </cell>
          <cell r="F347" t="str">
            <v>AC-2000i DNA (Preforma)</v>
          </cell>
          <cell r="G347">
            <v>500000</v>
          </cell>
          <cell r="H347" t="str">
            <v>Profirrol</v>
          </cell>
          <cell r="I347">
            <v>10</v>
          </cell>
          <cell r="J347" t="str">
            <v>STD</v>
          </cell>
          <cell r="L347">
            <v>101200</v>
          </cell>
          <cell r="M347">
            <v>4400</v>
          </cell>
          <cell r="O347" t="str">
            <v>PLACA BLOCK</v>
          </cell>
        </row>
        <row r="348">
          <cell r="D348" t="str">
            <v>HTJA030026</v>
          </cell>
          <cell r="E348" t="str">
            <v>4302091005</v>
          </cell>
          <cell r="F348" t="str">
            <v>C-2000 PL-BODY</v>
          </cell>
          <cell r="G348">
            <v>500000</v>
          </cell>
          <cell r="H348" t="str">
            <v>Profirrol</v>
          </cell>
          <cell r="I348">
            <v>10</v>
          </cell>
          <cell r="J348" t="str">
            <v>STD</v>
          </cell>
          <cell r="L348">
            <v>1811</v>
          </cell>
          <cell r="M348">
            <v>78.739130434782609</v>
          </cell>
          <cell r="O348" t="str">
            <v>PLACA BLOCK</v>
          </cell>
        </row>
        <row r="349">
          <cell r="D349" t="str">
            <v>HTJA030026</v>
          </cell>
          <cell r="E349" t="str">
            <v>7324050215</v>
          </cell>
          <cell r="F349" t="str">
            <v>AC-2300i PT-44</v>
          </cell>
          <cell r="G349">
            <v>500000</v>
          </cell>
          <cell r="H349" t="str">
            <v>Profirrol</v>
          </cell>
          <cell r="I349">
            <v>10</v>
          </cell>
          <cell r="J349" t="str">
            <v>STD</v>
          </cell>
          <cell r="L349">
            <v>44731.400000000009</v>
          </cell>
          <cell r="M349">
            <v>1944.8434782608699</v>
          </cell>
          <cell r="O349" t="str">
            <v>PLACA BLOCK</v>
          </cell>
        </row>
        <row r="350">
          <cell r="D350" t="str">
            <v>HTJA030026</v>
          </cell>
          <cell r="E350" t="str">
            <v>10226750</v>
          </cell>
          <cell r="F350" t="str">
            <v>AC-2300i DNA (Preforma)</v>
          </cell>
          <cell r="G350">
            <v>500000</v>
          </cell>
          <cell r="H350" t="str">
            <v>Profirrol</v>
          </cell>
          <cell r="I350">
            <v>10</v>
          </cell>
          <cell r="J350" t="str">
            <v>STD</v>
          </cell>
          <cell r="L350">
            <v>49420.800000000003</v>
          </cell>
          <cell r="M350">
            <v>2148.7304347826089</v>
          </cell>
          <cell r="O350" t="str">
            <v>PLACA BLOCK</v>
          </cell>
        </row>
        <row r="351">
          <cell r="D351" t="str">
            <v>HTJA030026</v>
          </cell>
          <cell r="E351" t="str">
            <v>7553050217</v>
          </cell>
          <cell r="F351" t="str">
            <v>AC-2600i PT-Turbo</v>
          </cell>
          <cell r="G351">
            <v>500000</v>
          </cell>
          <cell r="H351" t="str">
            <v>Profirrol</v>
          </cell>
          <cell r="I351">
            <v>10</v>
          </cell>
          <cell r="J351" t="str">
            <v>STD</v>
          </cell>
          <cell r="L351">
            <v>34957.999999999993</v>
          </cell>
          <cell r="M351">
            <v>1519.9130434782605</v>
          </cell>
          <cell r="O351" t="str">
            <v>PLACA BLOCK</v>
          </cell>
        </row>
        <row r="352">
          <cell r="D352" t="str">
            <v>HTJA030026</v>
          </cell>
          <cell r="E352" t="str">
            <v>10001024R</v>
          </cell>
          <cell r="F352" t="str">
            <v>AC-2600i Ford Escape</v>
          </cell>
          <cell r="G352">
            <v>500000</v>
          </cell>
          <cell r="H352" t="str">
            <v>Profirrol</v>
          </cell>
          <cell r="I352">
            <v>10</v>
          </cell>
          <cell r="J352" t="str">
            <v>STD</v>
          </cell>
          <cell r="L352">
            <v>56501.200000000004</v>
          </cell>
          <cell r="M352">
            <v>2456.5739130434786</v>
          </cell>
          <cell r="O352" t="str">
            <v>PLACA BLOCK</v>
          </cell>
        </row>
        <row r="353">
          <cell r="D353" t="str">
            <v>HTJA030026</v>
          </cell>
          <cell r="E353" t="str">
            <v>10226752</v>
          </cell>
          <cell r="F353" t="str">
            <v>AC-2600i DNA (Preforma)</v>
          </cell>
          <cell r="G353">
            <v>500000</v>
          </cell>
          <cell r="H353" t="str">
            <v>Profirrol</v>
          </cell>
          <cell r="I353">
            <v>10</v>
          </cell>
          <cell r="J353" t="str">
            <v>STD</v>
          </cell>
          <cell r="L353">
            <v>26784</v>
          </cell>
          <cell r="M353">
            <v>1164.5217391304348</v>
          </cell>
          <cell r="O353" t="str">
            <v>PLACA BLOCK</v>
          </cell>
        </row>
        <row r="354">
          <cell r="D354" t="str">
            <v>HTJA030026</v>
          </cell>
          <cell r="E354" t="str">
            <v>10054551</v>
          </cell>
          <cell r="F354" t="str">
            <v>AC-2650 JC49 / GS PLT / DNA</v>
          </cell>
          <cell r="G354">
            <v>500000</v>
          </cell>
          <cell r="H354" t="str">
            <v>Profirrol</v>
          </cell>
          <cell r="I354">
            <v>10</v>
          </cell>
          <cell r="J354" t="str">
            <v>STD</v>
          </cell>
          <cell r="L354">
            <v>7516.4</v>
          </cell>
          <cell r="M354">
            <v>326.8</v>
          </cell>
          <cell r="O354" t="str">
            <v>PLACA BLOCK</v>
          </cell>
        </row>
        <row r="355">
          <cell r="D355" t="str">
            <v>HTJA030026</v>
          </cell>
          <cell r="E355" t="str">
            <v>10226751</v>
          </cell>
          <cell r="F355" t="str">
            <v>AC-2650 DNA</v>
          </cell>
          <cell r="G355">
            <v>500000</v>
          </cell>
          <cell r="H355" t="str">
            <v>Profirrol</v>
          </cell>
          <cell r="I355">
            <v>10</v>
          </cell>
          <cell r="J355" t="str">
            <v>STD</v>
          </cell>
          <cell r="L355">
            <v>14227.2</v>
          </cell>
          <cell r="M355">
            <v>618.57391304347834</v>
          </cell>
          <cell r="O355" t="str">
            <v>PLACA BLOCK</v>
          </cell>
        </row>
        <row r="356">
          <cell r="D356" t="str">
            <v>HTJA030026</v>
          </cell>
          <cell r="E356" t="str">
            <v>8152050226</v>
          </cell>
          <cell r="F356" t="str">
            <v>UF-2600i PQ-35 VW</v>
          </cell>
          <cell r="G356">
            <v>500000</v>
          </cell>
          <cell r="H356" t="str">
            <v>Profirrol</v>
          </cell>
          <cell r="I356">
            <v>10</v>
          </cell>
          <cell r="J356" t="str">
            <v>STD</v>
          </cell>
          <cell r="L356">
            <v>67111.400000000023</v>
          </cell>
          <cell r="M356">
            <v>2917.8869565217401</v>
          </cell>
          <cell r="O356" t="str">
            <v>PLACA BLOCK</v>
          </cell>
        </row>
        <row r="357">
          <cell r="D357" t="str">
            <v>HTJA030026</v>
          </cell>
          <cell r="E357" t="str">
            <v>10060762</v>
          </cell>
          <cell r="F357" t="str">
            <v>UF-2600i Ford Explorer</v>
          </cell>
          <cell r="G357">
            <v>500000</v>
          </cell>
          <cell r="H357" t="str">
            <v>Profirrol</v>
          </cell>
          <cell r="I357">
            <v>10</v>
          </cell>
          <cell r="J357" t="str">
            <v>STD</v>
          </cell>
          <cell r="L357">
            <v>0</v>
          </cell>
          <cell r="M357">
            <v>0</v>
          </cell>
          <cell r="O357" t="str">
            <v>PLACA BLOCK</v>
          </cell>
        </row>
        <row r="358">
          <cell r="D358" t="str">
            <v>HTJA030026</v>
          </cell>
          <cell r="E358" t="str">
            <v>00806088</v>
          </cell>
          <cell r="F358" t="str">
            <v>UF-2600i Hyundai</v>
          </cell>
          <cell r="G358">
            <v>500000</v>
          </cell>
          <cell r="H358" t="str">
            <v>Profirrol</v>
          </cell>
          <cell r="I358">
            <v>10</v>
          </cell>
          <cell r="J358" t="str">
            <v>STD</v>
          </cell>
          <cell r="L358">
            <v>0</v>
          </cell>
          <cell r="M358">
            <v>0</v>
          </cell>
          <cell r="O358" t="str">
            <v>PLACA BLOCK</v>
          </cell>
        </row>
        <row r="359">
          <cell r="D359" t="str">
            <v>HTJA030026</v>
          </cell>
          <cell r="E359" t="str">
            <v>10235857</v>
          </cell>
          <cell r="F359" t="str">
            <v>UF-2600i DNA (Preforma)</v>
          </cell>
          <cell r="G359">
            <v>500000</v>
          </cell>
          <cell r="H359" t="str">
            <v>Profirrol</v>
          </cell>
          <cell r="I359">
            <v>10</v>
          </cell>
          <cell r="J359" t="str">
            <v>STD</v>
          </cell>
          <cell r="L359">
            <v>0</v>
          </cell>
          <cell r="M359">
            <v>0</v>
          </cell>
          <cell r="O359" t="str">
            <v>PLACA BLOCK</v>
          </cell>
        </row>
        <row r="360">
          <cell r="D360" t="str">
            <v>HTJA030026</v>
          </cell>
          <cell r="E360" t="str">
            <v>10018041</v>
          </cell>
          <cell r="F360" t="str">
            <v>UF-3300i W</v>
          </cell>
          <cell r="G360">
            <v>500000</v>
          </cell>
          <cell r="H360" t="str">
            <v>Profirrol</v>
          </cell>
          <cell r="I360">
            <v>10</v>
          </cell>
          <cell r="J360" t="str">
            <v>STD</v>
          </cell>
          <cell r="L360">
            <v>14212.800000000001</v>
          </cell>
          <cell r="M360">
            <v>617.94782608695652</v>
          </cell>
          <cell r="O360" t="str">
            <v>PLACA BLOCK</v>
          </cell>
        </row>
        <row r="361">
          <cell r="D361" t="str">
            <v>HTJA030026</v>
          </cell>
          <cell r="E361" t="str">
            <v>10009621</v>
          </cell>
          <cell r="F361" t="str">
            <v>UF-4600i W</v>
          </cell>
          <cell r="G361">
            <v>500000</v>
          </cell>
          <cell r="H361" t="str">
            <v>Profirrol</v>
          </cell>
          <cell r="I361">
            <v>10</v>
          </cell>
          <cell r="J361" t="str">
            <v>STD</v>
          </cell>
          <cell r="L361">
            <v>30182.199999999997</v>
          </cell>
          <cell r="M361">
            <v>1312.2695652173911</v>
          </cell>
          <cell r="O361" t="str">
            <v>PLACA BLOCK</v>
          </cell>
        </row>
        <row r="362">
          <cell r="D362" t="str">
            <v>HTJA030026</v>
          </cell>
          <cell r="E362" t="str">
            <v>7056050202</v>
          </cell>
          <cell r="F362" t="str">
            <v>A4 RF-91 Concept One</v>
          </cell>
          <cell r="G362">
            <v>500000</v>
          </cell>
          <cell r="H362" t="str">
            <v>Profirrol</v>
          </cell>
          <cell r="I362">
            <v>10</v>
          </cell>
          <cell r="J362" t="str">
            <v>STD</v>
          </cell>
          <cell r="L362">
            <v>0</v>
          </cell>
          <cell r="M362">
            <v>0</v>
          </cell>
          <cell r="O362" t="str">
            <v>PLACA BLOCK</v>
          </cell>
        </row>
        <row r="363">
          <cell r="D363" t="str">
            <v>HTJA030026</v>
          </cell>
          <cell r="E363" t="str">
            <v>7174050203</v>
          </cell>
          <cell r="F363" t="str">
            <v>A4 RF-95</v>
          </cell>
          <cell r="G363">
            <v>500000</v>
          </cell>
          <cell r="H363" t="str">
            <v>Profirrol</v>
          </cell>
          <cell r="I363">
            <v>10</v>
          </cell>
          <cell r="J363" t="str">
            <v>STD</v>
          </cell>
          <cell r="L363">
            <v>6412.2000000000007</v>
          </cell>
          <cell r="M363">
            <v>278.7913043478261</v>
          </cell>
          <cell r="O363" t="str">
            <v>PLACA BLOCK</v>
          </cell>
        </row>
        <row r="364">
          <cell r="D364" t="str">
            <v>HTJA030027</v>
          </cell>
          <cell r="E364" t="str">
            <v>4302091005</v>
          </cell>
          <cell r="F364" t="str">
            <v>C-2000 PL-BODY</v>
          </cell>
          <cell r="G364">
            <v>500000</v>
          </cell>
          <cell r="H364" t="str">
            <v>Profirrol</v>
          </cell>
          <cell r="I364">
            <v>10</v>
          </cell>
          <cell r="J364" t="str">
            <v>STD</v>
          </cell>
          <cell r="L364">
            <v>1811</v>
          </cell>
          <cell r="M364">
            <v>78.739130434782609</v>
          </cell>
          <cell r="O364" t="str">
            <v>PLACA DE RESGUARDO</v>
          </cell>
        </row>
        <row r="365">
          <cell r="D365" t="str">
            <v>HTJA030027</v>
          </cell>
          <cell r="E365" t="str">
            <v>7324050215</v>
          </cell>
          <cell r="F365" t="str">
            <v>AC-2300i PT-44</v>
          </cell>
          <cell r="G365">
            <v>500000</v>
          </cell>
          <cell r="H365" t="str">
            <v>Profirrol</v>
          </cell>
          <cell r="I365">
            <v>10</v>
          </cell>
          <cell r="J365" t="str">
            <v>STD</v>
          </cell>
          <cell r="L365">
            <v>44731.400000000009</v>
          </cell>
          <cell r="M365">
            <v>1944.8434782608699</v>
          </cell>
          <cell r="O365" t="str">
            <v>PLACA DE RESGUARDO</v>
          </cell>
        </row>
        <row r="366">
          <cell r="D366" t="str">
            <v>HTJA030027</v>
          </cell>
          <cell r="E366" t="str">
            <v>10226750</v>
          </cell>
          <cell r="F366" t="str">
            <v>AC-2300i DNA (Preforma)</v>
          </cell>
          <cell r="G366">
            <v>500000</v>
          </cell>
          <cell r="H366" t="str">
            <v>Profirrol</v>
          </cell>
          <cell r="I366">
            <v>10</v>
          </cell>
          <cell r="J366" t="str">
            <v>STD</v>
          </cell>
          <cell r="L366">
            <v>49420.800000000003</v>
          </cell>
          <cell r="M366">
            <v>2148.7304347826089</v>
          </cell>
          <cell r="O366" t="str">
            <v>PLACA DE RESGUARDO</v>
          </cell>
        </row>
        <row r="367">
          <cell r="D367" t="str">
            <v>HTJA030027</v>
          </cell>
          <cell r="E367" t="str">
            <v>7553050217</v>
          </cell>
          <cell r="F367" t="str">
            <v>AC-2600i PT-Turbo</v>
          </cell>
          <cell r="G367">
            <v>500000</v>
          </cell>
          <cell r="H367" t="str">
            <v>Profirrol</v>
          </cell>
          <cell r="I367">
            <v>10</v>
          </cell>
          <cell r="J367" t="str">
            <v>STD</v>
          </cell>
          <cell r="L367">
            <v>34957.999999999993</v>
          </cell>
          <cell r="M367">
            <v>1519.9130434782605</v>
          </cell>
          <cell r="O367" t="str">
            <v>PLACA DE RESGUARDO</v>
          </cell>
        </row>
        <row r="368">
          <cell r="D368" t="str">
            <v>HTJA030027</v>
          </cell>
          <cell r="E368" t="str">
            <v>10001024R</v>
          </cell>
          <cell r="F368" t="str">
            <v>AC-2600i Ford Escape</v>
          </cell>
          <cell r="G368">
            <v>500000</v>
          </cell>
          <cell r="H368" t="str">
            <v>Profirrol</v>
          </cell>
          <cell r="I368">
            <v>10</v>
          </cell>
          <cell r="J368" t="str">
            <v>STD</v>
          </cell>
          <cell r="L368">
            <v>56501.200000000004</v>
          </cell>
          <cell r="M368">
            <v>2456.5739130434786</v>
          </cell>
          <cell r="O368" t="str">
            <v>PLACA DE RESGUARDO</v>
          </cell>
        </row>
        <row r="369">
          <cell r="D369" t="str">
            <v>HTJA030027</v>
          </cell>
          <cell r="E369" t="str">
            <v>10226752</v>
          </cell>
          <cell r="F369" t="str">
            <v>AC-2600i DNA (Preforma)</v>
          </cell>
          <cell r="G369">
            <v>500000</v>
          </cell>
          <cell r="H369" t="str">
            <v>Profirrol</v>
          </cell>
          <cell r="I369">
            <v>10</v>
          </cell>
          <cell r="J369" t="str">
            <v>STD</v>
          </cell>
          <cell r="L369">
            <v>26784</v>
          </cell>
          <cell r="M369">
            <v>1164.5217391304348</v>
          </cell>
          <cell r="O369" t="str">
            <v>PLACA DE RESGUARDO</v>
          </cell>
        </row>
        <row r="370">
          <cell r="D370" t="str">
            <v>HTJA030027</v>
          </cell>
          <cell r="E370" t="str">
            <v>10054551</v>
          </cell>
          <cell r="F370" t="str">
            <v>AC-2650 JC49 / GS PLT / DNA</v>
          </cell>
          <cell r="G370">
            <v>500000</v>
          </cell>
          <cell r="H370" t="str">
            <v>Profirrol</v>
          </cell>
          <cell r="I370">
            <v>10</v>
          </cell>
          <cell r="J370" t="str">
            <v>STD</v>
          </cell>
          <cell r="L370">
            <v>7516.4</v>
          </cell>
          <cell r="M370">
            <v>326.8</v>
          </cell>
          <cell r="O370" t="str">
            <v>PLACA DE RESGUARDO</v>
          </cell>
        </row>
        <row r="371">
          <cell r="D371" t="str">
            <v>HTJA030027</v>
          </cell>
          <cell r="E371" t="str">
            <v>10226751</v>
          </cell>
          <cell r="F371" t="str">
            <v>AC-2650 DNA</v>
          </cell>
          <cell r="G371">
            <v>500000</v>
          </cell>
          <cell r="H371" t="str">
            <v>Profirrol</v>
          </cell>
          <cell r="I371">
            <v>10</v>
          </cell>
          <cell r="J371" t="str">
            <v>STD</v>
          </cell>
          <cell r="L371">
            <v>14227.2</v>
          </cell>
          <cell r="M371">
            <v>618.57391304347834</v>
          </cell>
          <cell r="O371" t="str">
            <v>PLACA DE RESGUARDO</v>
          </cell>
        </row>
        <row r="372">
          <cell r="D372" t="str">
            <v>HTJA030027</v>
          </cell>
          <cell r="E372" t="str">
            <v>8152050226</v>
          </cell>
          <cell r="F372" t="str">
            <v>UF-2600i PQ-35 VW</v>
          </cell>
          <cell r="G372">
            <v>500000</v>
          </cell>
          <cell r="H372" t="str">
            <v>Profirrol</v>
          </cell>
          <cell r="I372">
            <v>10</v>
          </cell>
          <cell r="J372" t="str">
            <v>STD</v>
          </cell>
          <cell r="L372">
            <v>67111.400000000023</v>
          </cell>
          <cell r="M372">
            <v>2917.8869565217401</v>
          </cell>
          <cell r="O372" t="str">
            <v>PLACA DE RESGUARDO</v>
          </cell>
        </row>
        <row r="373">
          <cell r="D373" t="str">
            <v>HTJA030027</v>
          </cell>
          <cell r="E373" t="str">
            <v>10060762</v>
          </cell>
          <cell r="F373" t="str">
            <v>UF-2600i Ford Explorer</v>
          </cell>
          <cell r="G373">
            <v>500000</v>
          </cell>
          <cell r="H373" t="str">
            <v>Profirrol</v>
          </cell>
          <cell r="I373">
            <v>10</v>
          </cell>
          <cell r="J373" t="str">
            <v>STD</v>
          </cell>
          <cell r="L373">
            <v>0</v>
          </cell>
          <cell r="M373">
            <v>0</v>
          </cell>
          <cell r="O373" t="str">
            <v>PLACA DE RESGUARDO</v>
          </cell>
        </row>
        <row r="374">
          <cell r="D374" t="str">
            <v>HTJA030027</v>
          </cell>
          <cell r="E374" t="str">
            <v>00806088</v>
          </cell>
          <cell r="F374" t="str">
            <v>UF-2600i Hyundai</v>
          </cell>
          <cell r="G374">
            <v>500000</v>
          </cell>
          <cell r="H374" t="str">
            <v>Profirrol</v>
          </cell>
          <cell r="I374">
            <v>10</v>
          </cell>
          <cell r="J374" t="str">
            <v>STD</v>
          </cell>
          <cell r="L374">
            <v>0</v>
          </cell>
          <cell r="M374">
            <v>0</v>
          </cell>
          <cell r="O374" t="str">
            <v>PLACA DE RESGUARDO</v>
          </cell>
        </row>
        <row r="375">
          <cell r="D375" t="str">
            <v>HTJA030027</v>
          </cell>
          <cell r="E375" t="str">
            <v>10235857</v>
          </cell>
          <cell r="F375" t="str">
            <v>UF-2600i DNA (Preforma)</v>
          </cell>
          <cell r="G375">
            <v>500000</v>
          </cell>
          <cell r="H375" t="str">
            <v>Profirrol</v>
          </cell>
          <cell r="I375">
            <v>10</v>
          </cell>
          <cell r="J375" t="str">
            <v>STD</v>
          </cell>
          <cell r="L375">
            <v>0</v>
          </cell>
          <cell r="M375">
            <v>0</v>
          </cell>
          <cell r="O375" t="str">
            <v>PLACA DE RESGUARDO</v>
          </cell>
        </row>
        <row r="376">
          <cell r="D376" t="str">
            <v>HTJA030027</v>
          </cell>
          <cell r="E376" t="str">
            <v>10018041</v>
          </cell>
          <cell r="F376" t="str">
            <v>UF-3300i W</v>
          </cell>
          <cell r="G376">
            <v>500000</v>
          </cell>
          <cell r="H376" t="str">
            <v>Profirrol</v>
          </cell>
          <cell r="I376">
            <v>10</v>
          </cell>
          <cell r="J376" t="str">
            <v>STD</v>
          </cell>
          <cell r="L376">
            <v>14212.800000000001</v>
          </cell>
          <cell r="M376">
            <v>617.94782608695652</v>
          </cell>
          <cell r="O376" t="str">
            <v>PLACA DE RESGUARDO</v>
          </cell>
        </row>
        <row r="377">
          <cell r="D377" t="str">
            <v>HTJA030027</v>
          </cell>
          <cell r="E377" t="str">
            <v>10009621</v>
          </cell>
          <cell r="F377" t="str">
            <v>UF-4600i W</v>
          </cell>
          <cell r="G377">
            <v>500000</v>
          </cell>
          <cell r="H377" t="str">
            <v>Profirrol</v>
          </cell>
          <cell r="I377">
            <v>10</v>
          </cell>
          <cell r="J377" t="str">
            <v>STD</v>
          </cell>
          <cell r="L377">
            <v>30182.199999999997</v>
          </cell>
          <cell r="M377">
            <v>1312.2695652173911</v>
          </cell>
          <cell r="O377" t="str">
            <v>PLACA DE RESGUARDO</v>
          </cell>
        </row>
        <row r="378">
          <cell r="D378" t="str">
            <v>HTJA030027</v>
          </cell>
          <cell r="E378" t="str">
            <v>7056050202</v>
          </cell>
          <cell r="F378" t="str">
            <v>A4 RF-91 Concept One</v>
          </cell>
          <cell r="G378">
            <v>500000</v>
          </cell>
          <cell r="H378" t="str">
            <v>Profirrol</v>
          </cell>
          <cell r="I378">
            <v>10</v>
          </cell>
          <cell r="J378" t="str">
            <v>STD</v>
          </cell>
          <cell r="L378">
            <v>0</v>
          </cell>
          <cell r="M378">
            <v>0</v>
          </cell>
          <cell r="O378" t="str">
            <v>PLACA DE RESGUARDO</v>
          </cell>
        </row>
        <row r="379">
          <cell r="D379" t="str">
            <v>HTJA030027</v>
          </cell>
          <cell r="E379" t="str">
            <v>7174050203</v>
          </cell>
          <cell r="F379" t="str">
            <v>A4 RF-95</v>
          </cell>
          <cell r="G379">
            <v>500000</v>
          </cell>
          <cell r="H379" t="str">
            <v>Profirrol</v>
          </cell>
          <cell r="I379">
            <v>10</v>
          </cell>
          <cell r="J379" t="str">
            <v>STD</v>
          </cell>
          <cell r="L379">
            <v>6412.2000000000007</v>
          </cell>
          <cell r="M379">
            <v>278.7913043478261</v>
          </cell>
          <cell r="O379" t="str">
            <v>PLACA DE RESGUARDO</v>
          </cell>
        </row>
        <row r="380">
          <cell r="D380" t="str">
            <v>HTJA030028</v>
          </cell>
          <cell r="E380" t="str">
            <v>8647050233</v>
          </cell>
          <cell r="F380" t="str">
            <v>AC-2000i Honda Acura</v>
          </cell>
          <cell r="G380">
            <v>500000</v>
          </cell>
          <cell r="H380" t="str">
            <v>Profirrol</v>
          </cell>
          <cell r="I380">
            <v>10</v>
          </cell>
          <cell r="J380" t="str">
            <v>STD</v>
          </cell>
          <cell r="L380">
            <v>74801.200000000012</v>
          </cell>
          <cell r="M380">
            <v>3252.2260869565221</v>
          </cell>
          <cell r="O380" t="str">
            <v>PLACA INFERIOR DE CANAL IZQUIERDA</v>
          </cell>
        </row>
        <row r="381">
          <cell r="D381" t="str">
            <v>HTJA030028</v>
          </cell>
          <cell r="E381" t="str">
            <v>10232841</v>
          </cell>
          <cell r="F381" t="str">
            <v>AC-2000i DNA (Preforma)</v>
          </cell>
          <cell r="G381">
            <v>500000</v>
          </cell>
          <cell r="H381" t="str">
            <v>Profirrol</v>
          </cell>
          <cell r="I381">
            <v>10</v>
          </cell>
          <cell r="J381" t="str">
            <v>STD</v>
          </cell>
          <cell r="L381">
            <v>101200</v>
          </cell>
          <cell r="M381">
            <v>4400</v>
          </cell>
          <cell r="O381" t="str">
            <v>PLACA INFERIOR DE CANAL IZQUIERDA</v>
          </cell>
        </row>
        <row r="382">
          <cell r="D382" t="str">
            <v>HTJA030028</v>
          </cell>
          <cell r="E382" t="str">
            <v>4302091005</v>
          </cell>
          <cell r="F382" t="str">
            <v>C-2000 PL-BODY</v>
          </cell>
          <cell r="G382">
            <v>500000</v>
          </cell>
          <cell r="H382" t="str">
            <v>Profirrol</v>
          </cell>
          <cell r="I382">
            <v>10</v>
          </cell>
          <cell r="J382" t="str">
            <v>STD</v>
          </cell>
          <cell r="L382">
            <v>1811</v>
          </cell>
          <cell r="M382">
            <v>78.739130434782609</v>
          </cell>
          <cell r="O382" t="str">
            <v>PLACA INFERIOR DE CANAL IZQUIERDA</v>
          </cell>
        </row>
        <row r="383">
          <cell r="D383" t="str">
            <v>HTJA030028</v>
          </cell>
          <cell r="E383" t="str">
            <v>7324050215</v>
          </cell>
          <cell r="F383" t="str">
            <v>AC-2300i PT-44</v>
          </cell>
          <cell r="G383">
            <v>500000</v>
          </cell>
          <cell r="H383" t="str">
            <v>Profirrol</v>
          </cell>
          <cell r="I383">
            <v>10</v>
          </cell>
          <cell r="J383" t="str">
            <v>STD</v>
          </cell>
          <cell r="L383">
            <v>44731.400000000009</v>
          </cell>
          <cell r="M383">
            <v>1944.8434782608699</v>
          </cell>
          <cell r="O383" t="str">
            <v>PLACA INFERIOR DE CANAL IZQUIERDA</v>
          </cell>
        </row>
        <row r="384">
          <cell r="D384" t="str">
            <v>HTJA030028</v>
          </cell>
          <cell r="E384" t="str">
            <v>10226750</v>
          </cell>
          <cell r="F384" t="str">
            <v>AC-2300i DNA (Preforma)</v>
          </cell>
          <cell r="G384">
            <v>500000</v>
          </cell>
          <cell r="H384" t="str">
            <v>Profirrol</v>
          </cell>
          <cell r="I384">
            <v>10</v>
          </cell>
          <cell r="J384" t="str">
            <v>STD</v>
          </cell>
          <cell r="L384">
            <v>49420.800000000003</v>
          </cell>
          <cell r="M384">
            <v>2148.7304347826089</v>
          </cell>
          <cell r="O384" t="str">
            <v>PLACA INFERIOR DE CANAL IZQUIERDA</v>
          </cell>
        </row>
        <row r="385">
          <cell r="D385" t="str">
            <v>HTJA030028</v>
          </cell>
          <cell r="E385" t="str">
            <v>7553050217</v>
          </cell>
          <cell r="F385" t="str">
            <v>AC-2600i PT-Turbo</v>
          </cell>
          <cell r="G385">
            <v>500000</v>
          </cell>
          <cell r="H385" t="str">
            <v>Profirrol</v>
          </cell>
          <cell r="I385">
            <v>10</v>
          </cell>
          <cell r="J385" t="str">
            <v>STD</v>
          </cell>
          <cell r="L385">
            <v>34957.999999999993</v>
          </cell>
          <cell r="M385">
            <v>1519.9130434782605</v>
          </cell>
          <cell r="O385" t="str">
            <v>PLACA INFERIOR DE CANAL IZQUIERDA</v>
          </cell>
        </row>
        <row r="386">
          <cell r="D386" t="str">
            <v>HTJA030028</v>
          </cell>
          <cell r="E386" t="str">
            <v>10001024R</v>
          </cell>
          <cell r="F386" t="str">
            <v>AC-2600i Ford Escape</v>
          </cell>
          <cell r="G386">
            <v>500000</v>
          </cell>
          <cell r="H386" t="str">
            <v>Profirrol</v>
          </cell>
          <cell r="I386">
            <v>10</v>
          </cell>
          <cell r="J386" t="str">
            <v>STD</v>
          </cell>
          <cell r="L386">
            <v>56501.200000000004</v>
          </cell>
          <cell r="M386">
            <v>2456.5739130434786</v>
          </cell>
          <cell r="O386" t="str">
            <v>PLACA INFERIOR DE CANAL IZQUIERDA</v>
          </cell>
        </row>
        <row r="387">
          <cell r="D387" t="str">
            <v>HTJA030028</v>
          </cell>
          <cell r="E387" t="str">
            <v>10226752</v>
          </cell>
          <cell r="F387" t="str">
            <v>AC-2600i DNA (Preforma)</v>
          </cell>
          <cell r="G387">
            <v>500000</v>
          </cell>
          <cell r="H387" t="str">
            <v>Profirrol</v>
          </cell>
          <cell r="I387">
            <v>10</v>
          </cell>
          <cell r="J387" t="str">
            <v>STD</v>
          </cell>
          <cell r="L387">
            <v>26784</v>
          </cell>
          <cell r="M387">
            <v>1164.5217391304348</v>
          </cell>
          <cell r="O387" t="str">
            <v>PLACA INFERIOR DE CANAL IZQUIERDA</v>
          </cell>
        </row>
        <row r="388">
          <cell r="D388" t="str">
            <v>HTJA030028</v>
          </cell>
          <cell r="E388" t="str">
            <v>10054551</v>
          </cell>
          <cell r="F388" t="str">
            <v>AC-2650 JC49 / GS PLT / DNA</v>
          </cell>
          <cell r="G388">
            <v>500000</v>
          </cell>
          <cell r="H388" t="str">
            <v>Profirrol</v>
          </cell>
          <cell r="I388">
            <v>10</v>
          </cell>
          <cell r="J388" t="str">
            <v>STD</v>
          </cell>
          <cell r="L388">
            <v>7516.4</v>
          </cell>
          <cell r="M388">
            <v>326.8</v>
          </cell>
          <cell r="O388" t="str">
            <v>PLACA INFERIOR DE CANAL IZQUIERDA</v>
          </cell>
        </row>
        <row r="389">
          <cell r="D389" t="str">
            <v>HTJA030028</v>
          </cell>
          <cell r="E389" t="str">
            <v>10226751</v>
          </cell>
          <cell r="F389" t="str">
            <v>AC-2650 DNA</v>
          </cell>
          <cell r="G389">
            <v>500000</v>
          </cell>
          <cell r="H389" t="str">
            <v>Profirrol</v>
          </cell>
          <cell r="I389">
            <v>10</v>
          </cell>
          <cell r="J389" t="str">
            <v>STD</v>
          </cell>
          <cell r="L389">
            <v>14227.2</v>
          </cell>
          <cell r="M389">
            <v>618.57391304347834</v>
          </cell>
          <cell r="O389" t="str">
            <v>PLACA INFERIOR DE CANAL IZQUIERDA</v>
          </cell>
        </row>
        <row r="390">
          <cell r="D390" t="str">
            <v>HTJA030028</v>
          </cell>
          <cell r="E390" t="str">
            <v>8152050226</v>
          </cell>
          <cell r="F390" t="str">
            <v>UF-2600i PQ-35 VW</v>
          </cell>
          <cell r="G390">
            <v>500000</v>
          </cell>
          <cell r="H390" t="str">
            <v>Profirrol</v>
          </cell>
          <cell r="I390">
            <v>10</v>
          </cell>
          <cell r="J390" t="str">
            <v>STD</v>
          </cell>
          <cell r="L390">
            <v>67111.400000000023</v>
          </cell>
          <cell r="M390">
            <v>2917.8869565217401</v>
          </cell>
          <cell r="O390" t="str">
            <v>PLACA INFERIOR DE CANAL IZQUIERDA</v>
          </cell>
        </row>
        <row r="391">
          <cell r="D391" t="str">
            <v>HTJA030028</v>
          </cell>
          <cell r="E391" t="str">
            <v>10060762</v>
          </cell>
          <cell r="F391" t="str">
            <v>UF-2600i Ford Explorer</v>
          </cell>
          <cell r="G391">
            <v>500000</v>
          </cell>
          <cell r="H391" t="str">
            <v>Profirrol</v>
          </cell>
          <cell r="I391">
            <v>10</v>
          </cell>
          <cell r="J391" t="str">
            <v>STD</v>
          </cell>
          <cell r="L391">
            <v>0</v>
          </cell>
          <cell r="M391">
            <v>0</v>
          </cell>
          <cell r="O391" t="str">
            <v>PLACA INFERIOR DE CANAL IZQUIERDA</v>
          </cell>
        </row>
        <row r="392">
          <cell r="D392" t="str">
            <v>HTJA030028</v>
          </cell>
          <cell r="E392" t="str">
            <v>00806088</v>
          </cell>
          <cell r="F392" t="str">
            <v>UF-2600i Hyundai</v>
          </cell>
          <cell r="G392">
            <v>500000</v>
          </cell>
          <cell r="H392" t="str">
            <v>Profirrol</v>
          </cell>
          <cell r="I392">
            <v>10</v>
          </cell>
          <cell r="J392" t="str">
            <v>STD</v>
          </cell>
          <cell r="L392">
            <v>0</v>
          </cell>
          <cell r="M392">
            <v>0</v>
          </cell>
          <cell r="O392" t="str">
            <v>PLACA INFERIOR DE CANAL IZQUIERDA</v>
          </cell>
        </row>
        <row r="393">
          <cell r="D393" t="str">
            <v>HTJA030028</v>
          </cell>
          <cell r="E393" t="str">
            <v>10235857</v>
          </cell>
          <cell r="F393" t="str">
            <v>UF-2600i DNA (Preforma)</v>
          </cell>
          <cell r="G393">
            <v>500000</v>
          </cell>
          <cell r="H393" t="str">
            <v>Profirrol</v>
          </cell>
          <cell r="I393">
            <v>10</v>
          </cell>
          <cell r="J393" t="str">
            <v>STD</v>
          </cell>
          <cell r="L393">
            <v>0</v>
          </cell>
          <cell r="M393">
            <v>0</v>
          </cell>
          <cell r="O393" t="str">
            <v>PLACA INFERIOR DE CANAL IZQUIERDA</v>
          </cell>
        </row>
        <row r="394">
          <cell r="D394" t="str">
            <v>HTJA030028</v>
          </cell>
          <cell r="E394" t="str">
            <v>10018041</v>
          </cell>
          <cell r="F394" t="str">
            <v>UF-3300i W</v>
          </cell>
          <cell r="G394">
            <v>500000</v>
          </cell>
          <cell r="H394" t="str">
            <v>Profirrol</v>
          </cell>
          <cell r="I394">
            <v>10</v>
          </cell>
          <cell r="J394" t="str">
            <v>STD</v>
          </cell>
          <cell r="L394">
            <v>14212.800000000001</v>
          </cell>
          <cell r="M394">
            <v>617.94782608695652</v>
          </cell>
          <cell r="O394" t="str">
            <v>PLACA INFERIOR DE CANAL IZQUIERDA</v>
          </cell>
        </row>
        <row r="395">
          <cell r="D395" t="str">
            <v>HTJA030028</v>
          </cell>
          <cell r="E395" t="str">
            <v>10009621</v>
          </cell>
          <cell r="F395" t="str">
            <v>UF-4600i W</v>
          </cell>
          <cell r="G395">
            <v>500000</v>
          </cell>
          <cell r="H395" t="str">
            <v>Profirrol</v>
          </cell>
          <cell r="I395">
            <v>10</v>
          </cell>
          <cell r="J395" t="str">
            <v>STD</v>
          </cell>
          <cell r="L395">
            <v>30182.199999999997</v>
          </cell>
          <cell r="M395">
            <v>1312.2695652173911</v>
          </cell>
          <cell r="O395" t="str">
            <v>PLACA INFERIOR DE CANAL IZQUIERDA</v>
          </cell>
        </row>
        <row r="396">
          <cell r="D396" t="str">
            <v>HTJA030028</v>
          </cell>
          <cell r="E396" t="str">
            <v>7056050202</v>
          </cell>
          <cell r="F396" t="str">
            <v>A4 RF-91 Concept One</v>
          </cell>
          <cell r="G396">
            <v>500000</v>
          </cell>
          <cell r="H396" t="str">
            <v>Profirrol</v>
          </cell>
          <cell r="I396">
            <v>10</v>
          </cell>
          <cell r="J396" t="str">
            <v>STD</v>
          </cell>
          <cell r="L396">
            <v>0</v>
          </cell>
          <cell r="M396">
            <v>0</v>
          </cell>
          <cell r="O396" t="str">
            <v>PLACA INFERIOR DE CANAL IZQUIERDA</v>
          </cell>
        </row>
        <row r="397">
          <cell r="D397" t="str">
            <v>HTJA030028</v>
          </cell>
          <cell r="E397" t="str">
            <v>7174050203</v>
          </cell>
          <cell r="F397" t="str">
            <v>A4 RF-95</v>
          </cell>
          <cell r="G397">
            <v>500000</v>
          </cell>
          <cell r="H397" t="str">
            <v>Profirrol</v>
          </cell>
          <cell r="I397">
            <v>10</v>
          </cell>
          <cell r="J397" t="str">
            <v>STD</v>
          </cell>
          <cell r="L397">
            <v>6412.2000000000007</v>
          </cell>
          <cell r="M397">
            <v>278.7913043478261</v>
          </cell>
          <cell r="O397" t="str">
            <v>PLACA INFERIOR DE CANAL IZQUIERDA</v>
          </cell>
        </row>
        <row r="398">
          <cell r="D398" t="str">
            <v>HTJA030029</v>
          </cell>
          <cell r="E398" t="str">
            <v>8647050233</v>
          </cell>
          <cell r="F398" t="str">
            <v>AC-2000i Honda Acura</v>
          </cell>
          <cell r="G398">
            <v>500000</v>
          </cell>
          <cell r="H398" t="str">
            <v>Profirrol</v>
          </cell>
          <cell r="I398">
            <v>10</v>
          </cell>
          <cell r="J398" t="str">
            <v>STD</v>
          </cell>
          <cell r="L398">
            <v>74801.200000000012</v>
          </cell>
          <cell r="M398">
            <v>3252.2260869565221</v>
          </cell>
          <cell r="O398" t="str">
            <v>PLACA INFERIOR DE CANAL DERECHA</v>
          </cell>
        </row>
        <row r="399">
          <cell r="D399" t="str">
            <v>HTJA030029</v>
          </cell>
          <cell r="E399" t="str">
            <v>10232841</v>
          </cell>
          <cell r="F399" t="str">
            <v>AC-2000i DNA (Preforma)</v>
          </cell>
          <cell r="G399">
            <v>500000</v>
          </cell>
          <cell r="H399" t="str">
            <v>Profirrol</v>
          </cell>
          <cell r="I399">
            <v>10</v>
          </cell>
          <cell r="J399" t="str">
            <v>STD</v>
          </cell>
          <cell r="L399">
            <v>101200</v>
          </cell>
          <cell r="M399">
            <v>4400</v>
          </cell>
          <cell r="O399" t="str">
            <v>PLACA INFERIOR DE CANAL DERECHA</v>
          </cell>
        </row>
        <row r="400">
          <cell r="D400" t="str">
            <v>HTJA030029</v>
          </cell>
          <cell r="E400" t="str">
            <v>4302091005</v>
          </cell>
          <cell r="F400" t="str">
            <v>C-2000 PL-BODY</v>
          </cell>
          <cell r="G400">
            <v>500000</v>
          </cell>
          <cell r="H400" t="str">
            <v>Profirrol</v>
          </cell>
          <cell r="I400">
            <v>10</v>
          </cell>
          <cell r="J400" t="str">
            <v>STD</v>
          </cell>
          <cell r="L400">
            <v>1811</v>
          </cell>
          <cell r="M400">
            <v>78.739130434782609</v>
          </cell>
          <cell r="O400" t="str">
            <v>PLACA INFERIOR DE CANAL DERECHA</v>
          </cell>
        </row>
        <row r="401">
          <cell r="D401" t="str">
            <v>HTJA030029</v>
          </cell>
          <cell r="E401" t="str">
            <v>7324050215</v>
          </cell>
          <cell r="F401" t="str">
            <v>AC-2300i PT-44</v>
          </cell>
          <cell r="G401">
            <v>500000</v>
          </cell>
          <cell r="H401" t="str">
            <v>Profirrol</v>
          </cell>
          <cell r="I401">
            <v>10</v>
          </cell>
          <cell r="J401" t="str">
            <v>STD</v>
          </cell>
          <cell r="L401">
            <v>44731.400000000009</v>
          </cell>
          <cell r="M401">
            <v>1944.8434782608699</v>
          </cell>
          <cell r="O401" t="str">
            <v>PLACA INFERIOR DE CANAL DERECHA</v>
          </cell>
        </row>
        <row r="402">
          <cell r="D402" t="str">
            <v>HTJA030029</v>
          </cell>
          <cell r="E402" t="str">
            <v>10226750</v>
          </cell>
          <cell r="F402" t="str">
            <v>AC-2300i DNA (Preforma)</v>
          </cell>
          <cell r="G402">
            <v>500000</v>
          </cell>
          <cell r="H402" t="str">
            <v>Profirrol</v>
          </cell>
          <cell r="I402">
            <v>10</v>
          </cell>
          <cell r="J402" t="str">
            <v>STD</v>
          </cell>
          <cell r="L402">
            <v>49420.800000000003</v>
          </cell>
          <cell r="M402">
            <v>2148.7304347826089</v>
          </cell>
          <cell r="O402" t="str">
            <v>PLACA INFERIOR DE CANAL DERECHA</v>
          </cell>
        </row>
        <row r="403">
          <cell r="D403" t="str">
            <v>HTJA030029</v>
          </cell>
          <cell r="E403" t="str">
            <v>7553050217</v>
          </cell>
          <cell r="F403" t="str">
            <v>AC-2600i PT-Turbo</v>
          </cell>
          <cell r="G403">
            <v>500000</v>
          </cell>
          <cell r="H403" t="str">
            <v>Profirrol</v>
          </cell>
          <cell r="I403">
            <v>10</v>
          </cell>
          <cell r="J403" t="str">
            <v>STD</v>
          </cell>
          <cell r="L403">
            <v>34957.999999999993</v>
          </cell>
          <cell r="M403">
            <v>1519.9130434782605</v>
          </cell>
          <cell r="O403" t="str">
            <v>PLACA INFERIOR DE CANAL DERECHA</v>
          </cell>
        </row>
        <row r="404">
          <cell r="D404" t="str">
            <v>HTJA030029</v>
          </cell>
          <cell r="E404" t="str">
            <v>10001024R</v>
          </cell>
          <cell r="F404" t="str">
            <v>AC-2600i Ford Escape</v>
          </cell>
          <cell r="G404">
            <v>500000</v>
          </cell>
          <cell r="H404" t="str">
            <v>Profirrol</v>
          </cell>
          <cell r="I404">
            <v>10</v>
          </cell>
          <cell r="J404" t="str">
            <v>STD</v>
          </cell>
          <cell r="L404">
            <v>56501.200000000004</v>
          </cell>
          <cell r="M404">
            <v>2456.5739130434786</v>
          </cell>
          <cell r="O404" t="str">
            <v>PLACA INFERIOR DE CANAL DERECHA</v>
          </cell>
        </row>
        <row r="405">
          <cell r="D405" t="str">
            <v>HTJA030029</v>
          </cell>
          <cell r="E405" t="str">
            <v>10226752</v>
          </cell>
          <cell r="F405" t="str">
            <v>AC-2600i DNA (Preforma)</v>
          </cell>
          <cell r="G405">
            <v>500000</v>
          </cell>
          <cell r="H405" t="str">
            <v>Profirrol</v>
          </cell>
          <cell r="I405">
            <v>10</v>
          </cell>
          <cell r="J405" t="str">
            <v>STD</v>
          </cell>
          <cell r="L405">
            <v>26784</v>
          </cell>
          <cell r="M405">
            <v>1164.5217391304348</v>
          </cell>
          <cell r="O405" t="str">
            <v>PLACA INFERIOR DE CANAL DERECHA</v>
          </cell>
        </row>
        <row r="406">
          <cell r="D406" t="str">
            <v>HTJA030029</v>
          </cell>
          <cell r="E406" t="str">
            <v>10054551</v>
          </cell>
          <cell r="F406" t="str">
            <v>AC-2650 JC49 / GS PLT / DNA</v>
          </cell>
          <cell r="G406">
            <v>500000</v>
          </cell>
          <cell r="H406" t="str">
            <v>Profirrol</v>
          </cell>
          <cell r="I406">
            <v>10</v>
          </cell>
          <cell r="J406" t="str">
            <v>STD</v>
          </cell>
          <cell r="L406">
            <v>7516.4</v>
          </cell>
          <cell r="M406">
            <v>326.8</v>
          </cell>
          <cell r="O406" t="str">
            <v>PLACA INFERIOR DE CANAL DERECHA</v>
          </cell>
        </row>
        <row r="407">
          <cell r="D407" t="str">
            <v>HTJA030029</v>
          </cell>
          <cell r="E407" t="str">
            <v>10226751</v>
          </cell>
          <cell r="F407" t="str">
            <v>AC-2650 DNA</v>
          </cell>
          <cell r="G407">
            <v>500000</v>
          </cell>
          <cell r="H407" t="str">
            <v>Profirrol</v>
          </cell>
          <cell r="I407">
            <v>10</v>
          </cell>
          <cell r="J407" t="str">
            <v>STD</v>
          </cell>
          <cell r="L407">
            <v>14227.2</v>
          </cell>
          <cell r="M407">
            <v>618.57391304347834</v>
          </cell>
          <cell r="O407" t="str">
            <v>PLACA INFERIOR DE CANAL DERECHA</v>
          </cell>
        </row>
        <row r="408">
          <cell r="D408" t="str">
            <v>HTJA030029</v>
          </cell>
          <cell r="E408" t="str">
            <v>8152050226</v>
          </cell>
          <cell r="F408" t="str">
            <v>UF-2600i PQ-35 VW</v>
          </cell>
          <cell r="G408">
            <v>500000</v>
          </cell>
          <cell r="H408" t="str">
            <v>Profirrol</v>
          </cell>
          <cell r="I408">
            <v>10</v>
          </cell>
          <cell r="J408" t="str">
            <v>STD</v>
          </cell>
          <cell r="L408">
            <v>67111.400000000023</v>
          </cell>
          <cell r="M408">
            <v>2917.8869565217401</v>
          </cell>
          <cell r="O408" t="str">
            <v>PLACA INFERIOR DE CANAL DERECHA</v>
          </cell>
        </row>
        <row r="409">
          <cell r="D409" t="str">
            <v>HTJA030029</v>
          </cell>
          <cell r="E409" t="str">
            <v>10060762</v>
          </cell>
          <cell r="F409" t="str">
            <v>UF-2600i Ford Explorer</v>
          </cell>
          <cell r="G409">
            <v>500000</v>
          </cell>
          <cell r="H409" t="str">
            <v>Profirrol</v>
          </cell>
          <cell r="I409">
            <v>10</v>
          </cell>
          <cell r="J409" t="str">
            <v>STD</v>
          </cell>
          <cell r="L409">
            <v>0</v>
          </cell>
          <cell r="M409">
            <v>0</v>
          </cell>
          <cell r="O409" t="str">
            <v>PLACA INFERIOR DE CANAL DERECHA</v>
          </cell>
        </row>
        <row r="410">
          <cell r="D410" t="str">
            <v>HTJA030029</v>
          </cell>
          <cell r="E410" t="str">
            <v>00806088</v>
          </cell>
          <cell r="F410" t="str">
            <v>UF-2600i Hyundai</v>
          </cell>
          <cell r="G410">
            <v>500000</v>
          </cell>
          <cell r="H410" t="str">
            <v>Profirrol</v>
          </cell>
          <cell r="I410">
            <v>10</v>
          </cell>
          <cell r="J410" t="str">
            <v>STD</v>
          </cell>
          <cell r="L410">
            <v>0</v>
          </cell>
          <cell r="M410">
            <v>0</v>
          </cell>
          <cell r="O410" t="str">
            <v>PLACA INFERIOR DE CANAL DERECHA</v>
          </cell>
        </row>
        <row r="411">
          <cell r="D411" t="str">
            <v>HTJA030029</v>
          </cell>
          <cell r="E411" t="str">
            <v>10235857</v>
          </cell>
          <cell r="F411" t="str">
            <v>UF-2600i DNA (Preforma)</v>
          </cell>
          <cell r="G411">
            <v>500000</v>
          </cell>
          <cell r="H411" t="str">
            <v>Profirrol</v>
          </cell>
          <cell r="I411">
            <v>10</v>
          </cell>
          <cell r="J411" t="str">
            <v>STD</v>
          </cell>
          <cell r="L411">
            <v>0</v>
          </cell>
          <cell r="M411">
            <v>0</v>
          </cell>
          <cell r="O411" t="str">
            <v>PLACA INFERIOR DE CANAL DERECHA</v>
          </cell>
        </row>
        <row r="412">
          <cell r="D412" t="str">
            <v>HTJA030029</v>
          </cell>
          <cell r="E412" t="str">
            <v>10018041</v>
          </cell>
          <cell r="F412" t="str">
            <v>UF-3300i W</v>
          </cell>
          <cell r="G412">
            <v>500000</v>
          </cell>
          <cell r="H412" t="str">
            <v>Profirrol</v>
          </cell>
          <cell r="I412">
            <v>10</v>
          </cell>
          <cell r="J412" t="str">
            <v>STD</v>
          </cell>
          <cell r="L412">
            <v>14212.800000000001</v>
          </cell>
          <cell r="M412">
            <v>617.94782608695652</v>
          </cell>
          <cell r="O412" t="str">
            <v>PLACA INFERIOR DE CANAL DERECHA</v>
          </cell>
        </row>
        <row r="413">
          <cell r="D413" t="str">
            <v>HTJA030029</v>
          </cell>
          <cell r="E413" t="str">
            <v>10009621</v>
          </cell>
          <cell r="F413" t="str">
            <v>UF-4600i W</v>
          </cell>
          <cell r="G413">
            <v>500000</v>
          </cell>
          <cell r="H413" t="str">
            <v>Profirrol</v>
          </cell>
          <cell r="I413">
            <v>10</v>
          </cell>
          <cell r="J413" t="str">
            <v>STD</v>
          </cell>
          <cell r="L413">
            <v>30182.199999999997</v>
          </cell>
          <cell r="M413">
            <v>1312.2695652173911</v>
          </cell>
          <cell r="O413" t="str">
            <v>PLACA INFERIOR DE CANAL DERECHA</v>
          </cell>
        </row>
        <row r="414">
          <cell r="D414" t="str">
            <v>HTJA030029</v>
          </cell>
          <cell r="E414" t="str">
            <v>7056050202</v>
          </cell>
          <cell r="F414" t="str">
            <v>A4 RF-91 Concept One</v>
          </cell>
          <cell r="G414">
            <v>500000</v>
          </cell>
          <cell r="H414" t="str">
            <v>Profirrol</v>
          </cell>
          <cell r="I414">
            <v>10</v>
          </cell>
          <cell r="J414" t="str">
            <v>STD</v>
          </cell>
          <cell r="L414">
            <v>0</v>
          </cell>
          <cell r="M414">
            <v>0</v>
          </cell>
          <cell r="O414" t="str">
            <v>PLACA INFERIOR DE CANAL DERECHA</v>
          </cell>
        </row>
        <row r="415">
          <cell r="D415" t="str">
            <v>HTJA030029</v>
          </cell>
          <cell r="E415" t="str">
            <v>7174050203</v>
          </cell>
          <cell r="F415" t="str">
            <v>A4 RF-95</v>
          </cell>
          <cell r="G415">
            <v>500000</v>
          </cell>
          <cell r="H415" t="str">
            <v>Profirrol</v>
          </cell>
          <cell r="I415">
            <v>10</v>
          </cell>
          <cell r="J415" t="str">
            <v>STD</v>
          </cell>
          <cell r="L415">
            <v>6412.2000000000007</v>
          </cell>
          <cell r="M415">
            <v>278.7913043478261</v>
          </cell>
          <cell r="O415" t="str">
            <v>PLACA INFERIOR DE CANAL DERECHA</v>
          </cell>
        </row>
        <row r="416">
          <cell r="D416" t="str">
            <v>HTJA030030</v>
          </cell>
          <cell r="E416" t="str">
            <v>8647050233</v>
          </cell>
          <cell r="F416" t="str">
            <v>AC-2000i Honda Acura</v>
          </cell>
          <cell r="G416">
            <v>100000</v>
          </cell>
          <cell r="H416" t="str">
            <v>Nacional</v>
          </cell>
          <cell r="I416">
            <v>10</v>
          </cell>
          <cell r="J416" t="str">
            <v>STD</v>
          </cell>
          <cell r="L416">
            <v>74729.200000000012</v>
          </cell>
          <cell r="M416">
            <v>3249.0956521739135</v>
          </cell>
          <cell r="O416" t="str">
            <v>FLECHA DE RODILLO MEDIDOR</v>
          </cell>
        </row>
        <row r="417">
          <cell r="D417" t="str">
            <v>HTJA030030</v>
          </cell>
          <cell r="E417" t="str">
            <v>10232841</v>
          </cell>
          <cell r="F417" t="str">
            <v>AC-2000i DNA (Preforma)</v>
          </cell>
          <cell r="G417">
            <v>100000</v>
          </cell>
          <cell r="H417" t="str">
            <v>Nacional</v>
          </cell>
          <cell r="I417">
            <v>10</v>
          </cell>
          <cell r="J417" t="str">
            <v>STD</v>
          </cell>
          <cell r="L417">
            <v>99000</v>
          </cell>
          <cell r="M417">
            <v>4304.347826086957</v>
          </cell>
          <cell r="O417" t="str">
            <v>FLECHA DE RODILLO MEDIDOR</v>
          </cell>
        </row>
        <row r="418">
          <cell r="D418" t="str">
            <v>HTJA030030</v>
          </cell>
          <cell r="E418" t="str">
            <v>4302091005</v>
          </cell>
          <cell r="F418" t="str">
            <v>C-2000 PL-BODY</v>
          </cell>
          <cell r="G418">
            <v>100000</v>
          </cell>
          <cell r="H418" t="str">
            <v>Nacional</v>
          </cell>
          <cell r="I418">
            <v>10</v>
          </cell>
          <cell r="J418" t="str">
            <v>STD</v>
          </cell>
          <cell r="L418">
            <v>0</v>
          </cell>
          <cell r="M418">
            <v>0</v>
          </cell>
          <cell r="O418" t="str">
            <v>FLECHA DE RODILLO MEDIDOR</v>
          </cell>
        </row>
        <row r="419">
          <cell r="D419" t="str">
            <v>HTJA030030</v>
          </cell>
          <cell r="E419" t="str">
            <v>7324050215</v>
          </cell>
          <cell r="F419" t="str">
            <v>AC-2300i PT-44</v>
          </cell>
          <cell r="G419">
            <v>100000</v>
          </cell>
          <cell r="H419" t="str">
            <v>Nacional</v>
          </cell>
          <cell r="I419">
            <v>10</v>
          </cell>
          <cell r="J419" t="str">
            <v>STD</v>
          </cell>
          <cell r="L419">
            <v>58512.600000000006</v>
          </cell>
          <cell r="M419">
            <v>2544.0260869565218</v>
          </cell>
          <cell r="O419" t="str">
            <v>FLECHA DE RODILLO MEDIDOR</v>
          </cell>
        </row>
        <row r="420">
          <cell r="D420" t="str">
            <v>HTJA030030</v>
          </cell>
          <cell r="E420" t="str">
            <v>10226750</v>
          </cell>
          <cell r="F420" t="str">
            <v>AC-2300i DNA (Preforma)</v>
          </cell>
          <cell r="G420">
            <v>100000</v>
          </cell>
          <cell r="H420" t="str">
            <v>Nacional</v>
          </cell>
          <cell r="I420">
            <v>10</v>
          </cell>
          <cell r="J420" t="str">
            <v>STD</v>
          </cell>
          <cell r="L420">
            <v>52509.599999999999</v>
          </cell>
          <cell r="M420">
            <v>2283.0260869565218</v>
          </cell>
          <cell r="O420" t="str">
            <v>FLECHA DE RODILLO MEDIDOR</v>
          </cell>
        </row>
        <row r="421">
          <cell r="D421" t="str">
            <v>HTJA030030</v>
          </cell>
          <cell r="E421" t="str">
            <v>7553050217</v>
          </cell>
          <cell r="F421" t="str">
            <v>AC-2600i PT-Turbo</v>
          </cell>
          <cell r="G421">
            <v>100000</v>
          </cell>
          <cell r="H421" t="str">
            <v>Nacional</v>
          </cell>
          <cell r="I421">
            <v>10</v>
          </cell>
          <cell r="J421" t="str">
            <v>STD</v>
          </cell>
          <cell r="L421">
            <v>37981.199999999997</v>
          </cell>
          <cell r="M421">
            <v>1651.3565217391304</v>
          </cell>
          <cell r="O421" t="str">
            <v>FLECHA DE RODILLO MEDIDOR</v>
          </cell>
        </row>
        <row r="422">
          <cell r="D422" t="str">
            <v>HTJA030030</v>
          </cell>
          <cell r="E422" t="str">
            <v>10001024R</v>
          </cell>
          <cell r="F422" t="str">
            <v>AC-2600i Ford Escape</v>
          </cell>
          <cell r="G422">
            <v>100000</v>
          </cell>
          <cell r="H422" t="str">
            <v>Nacional</v>
          </cell>
          <cell r="I422">
            <v>10</v>
          </cell>
          <cell r="J422" t="str">
            <v>STD</v>
          </cell>
          <cell r="L422">
            <v>59203</v>
          </cell>
          <cell r="M422">
            <v>2574.0434782608695</v>
          </cell>
          <cell r="O422" t="str">
            <v>FLECHA DE RODILLO MEDIDOR</v>
          </cell>
        </row>
        <row r="423">
          <cell r="D423" t="str">
            <v>HTJA030030</v>
          </cell>
          <cell r="E423" t="str">
            <v>10226752</v>
          </cell>
          <cell r="F423" t="str">
            <v>AC-2600i DNA (Preforma)</v>
          </cell>
          <cell r="G423">
            <v>100000</v>
          </cell>
          <cell r="H423" t="str">
            <v>Nacional</v>
          </cell>
          <cell r="I423">
            <v>10</v>
          </cell>
          <cell r="J423" t="str">
            <v>STD</v>
          </cell>
          <cell r="L423">
            <v>31536</v>
          </cell>
          <cell r="M423">
            <v>1371.1304347826087</v>
          </cell>
          <cell r="O423" t="str">
            <v>FLECHA DE RODILLO MEDIDOR</v>
          </cell>
        </row>
        <row r="424">
          <cell r="D424" t="str">
            <v>HTJA030030</v>
          </cell>
          <cell r="E424" t="str">
            <v>10054551</v>
          </cell>
          <cell r="F424" t="str">
            <v>AC-2650 JC49 / GS PLT / DNA</v>
          </cell>
          <cell r="G424">
            <v>100000</v>
          </cell>
          <cell r="H424" t="str">
            <v>Nacional</v>
          </cell>
          <cell r="I424">
            <v>10</v>
          </cell>
          <cell r="J424" t="str">
            <v>STD</v>
          </cell>
          <cell r="L424">
            <v>11932</v>
          </cell>
          <cell r="M424">
            <v>518.78260869565213</v>
          </cell>
          <cell r="O424" t="str">
            <v>FLECHA DE RODILLO MEDIDOR</v>
          </cell>
        </row>
        <row r="425">
          <cell r="D425" t="str">
            <v>HTJA030030</v>
          </cell>
          <cell r="E425" t="str">
            <v>10226751</v>
          </cell>
          <cell r="F425" t="str">
            <v>AC-2650 DNA</v>
          </cell>
          <cell r="G425">
            <v>100000</v>
          </cell>
          <cell r="H425" t="str">
            <v>Nacional</v>
          </cell>
          <cell r="I425">
            <v>10</v>
          </cell>
          <cell r="J425" t="str">
            <v>STD</v>
          </cell>
          <cell r="L425">
            <v>24453</v>
          </cell>
          <cell r="M425">
            <v>1063.1739130434783</v>
          </cell>
          <cell r="O425" t="str">
            <v>FLECHA DE RODILLO MEDIDOR</v>
          </cell>
        </row>
        <row r="426">
          <cell r="D426" t="str">
            <v>HTJA030030</v>
          </cell>
          <cell r="E426" t="str">
            <v>8152050226</v>
          </cell>
          <cell r="F426" t="str">
            <v>UF-2600i PQ-35 VW</v>
          </cell>
          <cell r="G426">
            <v>100000</v>
          </cell>
          <cell r="H426" t="str">
            <v>Nacional</v>
          </cell>
          <cell r="I426">
            <v>10</v>
          </cell>
          <cell r="J426" t="str">
            <v>STD</v>
          </cell>
          <cell r="L426">
            <v>38227.399999999994</v>
          </cell>
          <cell r="M426">
            <v>1662.0608695652172</v>
          </cell>
          <cell r="O426" t="str">
            <v>FLECHA DE RODILLO MEDIDOR</v>
          </cell>
        </row>
        <row r="427">
          <cell r="D427" t="str">
            <v>HTJA030030</v>
          </cell>
          <cell r="E427" t="str">
            <v>10060762</v>
          </cell>
          <cell r="F427" t="str">
            <v>UF-2600i Ford Explorer</v>
          </cell>
          <cell r="G427">
            <v>100000</v>
          </cell>
          <cell r="H427" t="str">
            <v>Nacional</v>
          </cell>
          <cell r="I427">
            <v>10</v>
          </cell>
          <cell r="J427" t="str">
            <v>STD</v>
          </cell>
          <cell r="L427">
            <v>0</v>
          </cell>
          <cell r="M427">
            <v>0</v>
          </cell>
          <cell r="O427" t="str">
            <v>FLECHA DE RODILLO MEDIDOR</v>
          </cell>
        </row>
        <row r="428">
          <cell r="D428" t="str">
            <v>HTJA030030</v>
          </cell>
          <cell r="E428" t="str">
            <v>00806088</v>
          </cell>
          <cell r="F428" t="str">
            <v>UF-2600i Hyundai</v>
          </cell>
          <cell r="G428">
            <v>100000</v>
          </cell>
          <cell r="H428" t="str">
            <v>Nacional</v>
          </cell>
          <cell r="I428">
            <v>10</v>
          </cell>
          <cell r="J428" t="str">
            <v>STD</v>
          </cell>
          <cell r="L428">
            <v>0</v>
          </cell>
          <cell r="M428">
            <v>0</v>
          </cell>
          <cell r="O428" t="str">
            <v>FLECHA DE RODILLO MEDIDOR</v>
          </cell>
        </row>
        <row r="429">
          <cell r="D429" t="str">
            <v>HTJA030030</v>
          </cell>
          <cell r="E429" t="str">
            <v>10235857</v>
          </cell>
          <cell r="F429" t="str">
            <v>UF-2600i DNA (Preforma)</v>
          </cell>
          <cell r="G429">
            <v>100000</v>
          </cell>
          <cell r="H429" t="str">
            <v>Nacional</v>
          </cell>
          <cell r="I429">
            <v>10</v>
          </cell>
          <cell r="J429" t="str">
            <v>STD</v>
          </cell>
          <cell r="L429">
            <v>0</v>
          </cell>
          <cell r="M429">
            <v>0</v>
          </cell>
          <cell r="O429" t="str">
            <v>FLECHA DE RODILLO MEDIDOR</v>
          </cell>
        </row>
        <row r="430">
          <cell r="D430" t="str">
            <v>HTJA030030</v>
          </cell>
          <cell r="E430" t="str">
            <v>10018041</v>
          </cell>
          <cell r="F430" t="str">
            <v>UF-3300i W</v>
          </cell>
          <cell r="G430">
            <v>100000</v>
          </cell>
          <cell r="H430" t="str">
            <v>Nacional</v>
          </cell>
          <cell r="I430">
            <v>10</v>
          </cell>
          <cell r="J430" t="str">
            <v>STD</v>
          </cell>
          <cell r="L430">
            <v>13520.454678603319</v>
          </cell>
          <cell r="M430">
            <v>587.84585559144864</v>
          </cell>
          <cell r="O430" t="str">
            <v>FLECHA DE RODILLO MEDIDOR</v>
          </cell>
        </row>
        <row r="431">
          <cell r="D431" t="str">
            <v>HTJA030030</v>
          </cell>
          <cell r="E431" t="str">
            <v>10009621</v>
          </cell>
          <cell r="F431" t="str">
            <v>UF-4600i W</v>
          </cell>
          <cell r="G431">
            <v>100000</v>
          </cell>
          <cell r="H431" t="str">
            <v>Nacional</v>
          </cell>
          <cell r="I431">
            <v>10</v>
          </cell>
          <cell r="J431" t="str">
            <v>STD</v>
          </cell>
          <cell r="L431">
            <v>33932.483034337194</v>
          </cell>
          <cell r="M431">
            <v>1475.3253493190084</v>
          </cell>
          <cell r="O431" t="str">
            <v>FLECHA DE RODILLO MEDIDOR</v>
          </cell>
        </row>
        <row r="432">
          <cell r="D432" t="str">
            <v>HTJA030030</v>
          </cell>
          <cell r="E432" t="str">
            <v>7056050202</v>
          </cell>
          <cell r="F432" t="str">
            <v>A4 RF-91 Concept One</v>
          </cell>
          <cell r="G432">
            <v>100000</v>
          </cell>
          <cell r="H432" t="str">
            <v>Nacional</v>
          </cell>
          <cell r="I432">
            <v>10</v>
          </cell>
          <cell r="J432" t="str">
            <v>STD</v>
          </cell>
          <cell r="L432">
            <v>0</v>
          </cell>
          <cell r="M432">
            <v>0</v>
          </cell>
          <cell r="O432" t="str">
            <v>FLECHA DE RODILLO MEDIDOR</v>
          </cell>
        </row>
        <row r="433">
          <cell r="D433" t="str">
            <v>HTJA030030</v>
          </cell>
          <cell r="E433" t="str">
            <v>7174050203</v>
          </cell>
          <cell r="F433" t="str">
            <v>A4 RF-95</v>
          </cell>
          <cell r="G433">
            <v>100000</v>
          </cell>
          <cell r="H433" t="str">
            <v>Nacional</v>
          </cell>
          <cell r="I433">
            <v>10</v>
          </cell>
          <cell r="J433" t="str">
            <v>STD</v>
          </cell>
          <cell r="L433">
            <v>8133.6</v>
          </cell>
          <cell r="M433">
            <v>353.63478260869567</v>
          </cell>
          <cell r="O433" t="str">
            <v>FLECHA DE RODILLO MEDIDOR</v>
          </cell>
        </row>
        <row r="434">
          <cell r="D434" t="str">
            <v>HTJA030032</v>
          </cell>
          <cell r="E434" t="str">
            <v>8647050233</v>
          </cell>
          <cell r="F434" t="str">
            <v>AC-2000i Honda Acura</v>
          </cell>
          <cell r="G434">
            <v>500000</v>
          </cell>
          <cell r="H434" t="str">
            <v>Profirrol</v>
          </cell>
          <cell r="I434">
            <v>10</v>
          </cell>
          <cell r="J434" t="str">
            <v>STD</v>
          </cell>
          <cell r="L434">
            <v>74801.200000000012</v>
          </cell>
          <cell r="M434">
            <v>3252.2260869565221</v>
          </cell>
          <cell r="O434" t="str">
            <v>PLACA IZQUIERDA DE CANAL DE CARGA</v>
          </cell>
        </row>
        <row r="435">
          <cell r="D435" t="str">
            <v>HTJA030032</v>
          </cell>
          <cell r="E435" t="str">
            <v>10232841</v>
          </cell>
          <cell r="F435" t="str">
            <v>AC-2000i DNA (Preforma)</v>
          </cell>
          <cell r="G435">
            <v>500000</v>
          </cell>
          <cell r="H435" t="str">
            <v>Profirrol</v>
          </cell>
          <cell r="I435">
            <v>10</v>
          </cell>
          <cell r="J435" t="str">
            <v>STD</v>
          </cell>
          <cell r="L435">
            <v>101200</v>
          </cell>
          <cell r="M435">
            <v>4400</v>
          </cell>
          <cell r="O435" t="str">
            <v>PLACA IZQUIERDA DE CANAL DE CARGA</v>
          </cell>
        </row>
        <row r="436">
          <cell r="D436" t="str">
            <v>HTJA030032</v>
          </cell>
          <cell r="E436" t="str">
            <v>4302091005</v>
          </cell>
          <cell r="F436" t="str">
            <v>C-2000 PL-BODY</v>
          </cell>
          <cell r="G436">
            <v>500000</v>
          </cell>
          <cell r="H436" t="str">
            <v>Profirrol</v>
          </cell>
          <cell r="I436">
            <v>10</v>
          </cell>
          <cell r="J436" t="str">
            <v>STD</v>
          </cell>
          <cell r="L436">
            <v>1811</v>
          </cell>
          <cell r="M436">
            <v>78.739130434782609</v>
          </cell>
          <cell r="O436" t="str">
            <v>PLACA IZQUIERDA DE CANAL DE CARGA</v>
          </cell>
        </row>
        <row r="437">
          <cell r="D437" t="str">
            <v>HTJA030032</v>
          </cell>
          <cell r="E437" t="str">
            <v>7324050215</v>
          </cell>
          <cell r="F437" t="str">
            <v>AC-2300i PT-44</v>
          </cell>
          <cell r="G437">
            <v>500000</v>
          </cell>
          <cell r="H437" t="str">
            <v>Profirrol</v>
          </cell>
          <cell r="I437">
            <v>10</v>
          </cell>
          <cell r="J437" t="str">
            <v>STD</v>
          </cell>
          <cell r="L437">
            <v>44731.400000000009</v>
          </cell>
          <cell r="M437">
            <v>1944.8434782608699</v>
          </cell>
          <cell r="O437" t="str">
            <v>PLACA IZQUIERDA DE CANAL DE CARGA</v>
          </cell>
        </row>
        <row r="438">
          <cell r="D438" t="str">
            <v>HTJA030032</v>
          </cell>
          <cell r="E438" t="str">
            <v>10226750</v>
          </cell>
          <cell r="F438" t="str">
            <v>AC-2300i DNA (Preforma)</v>
          </cell>
          <cell r="G438">
            <v>500000</v>
          </cell>
          <cell r="H438" t="str">
            <v>Profirrol</v>
          </cell>
          <cell r="I438">
            <v>10</v>
          </cell>
          <cell r="J438" t="str">
            <v>STD</v>
          </cell>
          <cell r="L438">
            <v>49420.800000000003</v>
          </cell>
          <cell r="M438">
            <v>2148.7304347826089</v>
          </cell>
          <cell r="O438" t="str">
            <v>PLACA IZQUIERDA DE CANAL DE CARGA</v>
          </cell>
        </row>
        <row r="439">
          <cell r="D439" t="str">
            <v>HTJA030032</v>
          </cell>
          <cell r="E439" t="str">
            <v>7553050217</v>
          </cell>
          <cell r="F439" t="str">
            <v>AC-2600i PT-Turbo</v>
          </cell>
          <cell r="G439">
            <v>500000</v>
          </cell>
          <cell r="H439" t="str">
            <v>Profirrol</v>
          </cell>
          <cell r="I439">
            <v>10</v>
          </cell>
          <cell r="J439" t="str">
            <v>STD</v>
          </cell>
          <cell r="L439">
            <v>34957.999999999993</v>
          </cell>
          <cell r="M439">
            <v>1519.9130434782605</v>
          </cell>
          <cell r="O439" t="str">
            <v>PLACA IZQUIERDA DE CANAL DE CARGA</v>
          </cell>
        </row>
        <row r="440">
          <cell r="D440" t="str">
            <v>HTJA030032</v>
          </cell>
          <cell r="E440" t="str">
            <v>10001024R</v>
          </cell>
          <cell r="F440" t="str">
            <v>AC-2600i Ford Escape</v>
          </cell>
          <cell r="G440">
            <v>500000</v>
          </cell>
          <cell r="H440" t="str">
            <v>Profirrol</v>
          </cell>
          <cell r="I440">
            <v>10</v>
          </cell>
          <cell r="J440" t="str">
            <v>STD</v>
          </cell>
          <cell r="L440">
            <v>56501.200000000004</v>
          </cell>
          <cell r="M440">
            <v>2456.5739130434786</v>
          </cell>
          <cell r="O440" t="str">
            <v>PLACA IZQUIERDA DE CANAL DE CARGA</v>
          </cell>
        </row>
        <row r="441">
          <cell r="D441" t="str">
            <v>HTJA030032</v>
          </cell>
          <cell r="E441" t="str">
            <v>10226752</v>
          </cell>
          <cell r="F441" t="str">
            <v>AC-2600i DNA (Preforma)</v>
          </cell>
          <cell r="G441">
            <v>500000</v>
          </cell>
          <cell r="H441" t="str">
            <v>Profirrol</v>
          </cell>
          <cell r="I441">
            <v>10</v>
          </cell>
          <cell r="J441" t="str">
            <v>STD</v>
          </cell>
          <cell r="L441">
            <v>26784</v>
          </cell>
          <cell r="M441">
            <v>1164.5217391304348</v>
          </cell>
          <cell r="O441" t="str">
            <v>PLACA IZQUIERDA DE CANAL DE CARGA</v>
          </cell>
        </row>
        <row r="442">
          <cell r="D442" t="str">
            <v>HTJA030032</v>
          </cell>
          <cell r="E442" t="str">
            <v>10054551</v>
          </cell>
          <cell r="F442" t="str">
            <v>AC-2650 JC49 / GS PLT / DNA</v>
          </cell>
          <cell r="G442">
            <v>500000</v>
          </cell>
          <cell r="H442" t="str">
            <v>Profirrol</v>
          </cell>
          <cell r="I442">
            <v>10</v>
          </cell>
          <cell r="J442" t="str">
            <v>STD</v>
          </cell>
          <cell r="L442">
            <v>7516.4</v>
          </cell>
          <cell r="M442">
            <v>326.8</v>
          </cell>
          <cell r="O442" t="str">
            <v>PLACA IZQUIERDA DE CANAL DE CARGA</v>
          </cell>
        </row>
        <row r="443">
          <cell r="D443" t="str">
            <v>HTJA030032</v>
          </cell>
          <cell r="E443" t="str">
            <v>10226751</v>
          </cell>
          <cell r="F443" t="str">
            <v>AC-2650 DNA</v>
          </cell>
          <cell r="G443">
            <v>500000</v>
          </cell>
          <cell r="H443" t="str">
            <v>Profirrol</v>
          </cell>
          <cell r="I443">
            <v>10</v>
          </cell>
          <cell r="J443" t="str">
            <v>STD</v>
          </cell>
          <cell r="L443">
            <v>14227.2</v>
          </cell>
          <cell r="M443">
            <v>618.57391304347834</v>
          </cell>
          <cell r="O443" t="str">
            <v>PLACA IZQUIERDA DE CANAL DE CARGA</v>
          </cell>
        </row>
        <row r="444">
          <cell r="D444" t="str">
            <v>HTJA030032</v>
          </cell>
          <cell r="E444" t="str">
            <v>8152050226</v>
          </cell>
          <cell r="F444" t="str">
            <v>UF-2600i PQ-35 VW</v>
          </cell>
          <cell r="G444">
            <v>500000</v>
          </cell>
          <cell r="H444" t="str">
            <v>Profirrol</v>
          </cell>
          <cell r="I444">
            <v>10</v>
          </cell>
          <cell r="J444" t="str">
            <v>STD</v>
          </cell>
          <cell r="L444">
            <v>67111.400000000023</v>
          </cell>
          <cell r="M444">
            <v>2917.8869565217401</v>
          </cell>
          <cell r="O444" t="str">
            <v>PLACA IZQUIERDA DE CANAL DE CARGA</v>
          </cell>
        </row>
        <row r="445">
          <cell r="D445" t="str">
            <v>HTJA030032</v>
          </cell>
          <cell r="E445" t="str">
            <v>10060762</v>
          </cell>
          <cell r="F445" t="str">
            <v>UF-2600i Ford Explorer</v>
          </cell>
          <cell r="G445">
            <v>500000</v>
          </cell>
          <cell r="H445" t="str">
            <v>Profirrol</v>
          </cell>
          <cell r="I445">
            <v>10</v>
          </cell>
          <cell r="J445" t="str">
            <v>STD</v>
          </cell>
          <cell r="L445">
            <v>0</v>
          </cell>
          <cell r="M445">
            <v>0</v>
          </cell>
          <cell r="O445" t="str">
            <v>PLACA IZQUIERDA DE CANAL DE CARGA</v>
          </cell>
        </row>
        <row r="446">
          <cell r="D446" t="str">
            <v>HTJA030032</v>
          </cell>
          <cell r="E446" t="str">
            <v>00806088</v>
          </cell>
          <cell r="F446" t="str">
            <v>UF-2600i Hyundai</v>
          </cell>
          <cell r="G446">
            <v>500000</v>
          </cell>
          <cell r="H446" t="str">
            <v>Profirrol</v>
          </cell>
          <cell r="I446">
            <v>10</v>
          </cell>
          <cell r="J446" t="str">
            <v>STD</v>
          </cell>
          <cell r="L446">
            <v>0</v>
          </cell>
          <cell r="M446">
            <v>0</v>
          </cell>
          <cell r="O446" t="str">
            <v>PLACA IZQUIERDA DE CANAL DE CARGA</v>
          </cell>
        </row>
        <row r="447">
          <cell r="D447" t="str">
            <v>HTJA030032</v>
          </cell>
          <cell r="E447" t="str">
            <v>10235857</v>
          </cell>
          <cell r="F447" t="str">
            <v>UF-2600i DNA (Preforma)</v>
          </cell>
          <cell r="G447">
            <v>500000</v>
          </cell>
          <cell r="H447" t="str">
            <v>Profirrol</v>
          </cell>
          <cell r="I447">
            <v>10</v>
          </cell>
          <cell r="J447" t="str">
            <v>STD</v>
          </cell>
          <cell r="L447">
            <v>0</v>
          </cell>
          <cell r="M447">
            <v>0</v>
          </cell>
          <cell r="O447" t="str">
            <v>PLACA IZQUIERDA DE CANAL DE CARGA</v>
          </cell>
        </row>
        <row r="448">
          <cell r="D448" t="str">
            <v>HTJA030032</v>
          </cell>
          <cell r="E448" t="str">
            <v>10018041</v>
          </cell>
          <cell r="F448" t="str">
            <v>UF-3300i W</v>
          </cell>
          <cell r="G448">
            <v>500000</v>
          </cell>
          <cell r="H448" t="str">
            <v>Profirrol</v>
          </cell>
          <cell r="I448">
            <v>10</v>
          </cell>
          <cell r="J448" t="str">
            <v>STD</v>
          </cell>
          <cell r="L448">
            <v>14212.800000000001</v>
          </cell>
          <cell r="M448">
            <v>617.94782608695652</v>
          </cell>
          <cell r="O448" t="str">
            <v>PLACA IZQUIERDA DE CANAL DE CARGA</v>
          </cell>
        </row>
        <row r="449">
          <cell r="D449" t="str">
            <v>HTJA030032</v>
          </cell>
          <cell r="E449" t="str">
            <v>10009621</v>
          </cell>
          <cell r="F449" t="str">
            <v>UF-4600i W</v>
          </cell>
          <cell r="G449">
            <v>500000</v>
          </cell>
          <cell r="H449" t="str">
            <v>Profirrol</v>
          </cell>
          <cell r="I449">
            <v>10</v>
          </cell>
          <cell r="J449" t="str">
            <v>STD</v>
          </cell>
          <cell r="L449">
            <v>30182.199999999997</v>
          </cell>
          <cell r="M449">
            <v>1312.2695652173911</v>
          </cell>
          <cell r="O449" t="str">
            <v>PLACA IZQUIERDA DE CANAL DE CARGA</v>
          </cell>
        </row>
        <row r="450">
          <cell r="D450" t="str">
            <v>HTJA030032</v>
          </cell>
          <cell r="E450" t="str">
            <v>7056050202</v>
          </cell>
          <cell r="F450" t="str">
            <v>A4 RF-91 Concept One</v>
          </cell>
          <cell r="G450">
            <v>500000</v>
          </cell>
          <cell r="H450" t="str">
            <v>Profirrol</v>
          </cell>
          <cell r="I450">
            <v>10</v>
          </cell>
          <cell r="J450" t="str">
            <v>STD</v>
          </cell>
          <cell r="L450">
            <v>0</v>
          </cell>
          <cell r="M450">
            <v>0</v>
          </cell>
          <cell r="O450" t="str">
            <v>PLACA IZQUIERDA DE CANAL DE CARGA</v>
          </cell>
        </row>
        <row r="451">
          <cell r="D451" t="str">
            <v>HTJA030032</v>
          </cell>
          <cell r="E451" t="str">
            <v>7174050203</v>
          </cell>
          <cell r="F451" t="str">
            <v>A4 RF-95</v>
          </cell>
          <cell r="G451">
            <v>500000</v>
          </cell>
          <cell r="H451" t="str">
            <v>Profirrol</v>
          </cell>
          <cell r="I451">
            <v>10</v>
          </cell>
          <cell r="J451" t="str">
            <v>STD</v>
          </cell>
          <cell r="L451">
            <v>6412.2000000000007</v>
          </cell>
          <cell r="M451">
            <v>278.7913043478261</v>
          </cell>
          <cell r="O451" t="str">
            <v>PLACA IZQUIERDA DE CANAL DE CARGA</v>
          </cell>
        </row>
        <row r="452">
          <cell r="D452" t="str">
            <v>HTJA030033</v>
          </cell>
          <cell r="E452" t="str">
            <v>8647050233</v>
          </cell>
          <cell r="F452" t="str">
            <v>AC-2000i Honda Acura</v>
          </cell>
          <cell r="G452">
            <v>500000</v>
          </cell>
          <cell r="H452" t="str">
            <v>Profirrol</v>
          </cell>
          <cell r="I452">
            <v>10</v>
          </cell>
          <cell r="J452" t="str">
            <v>STD</v>
          </cell>
          <cell r="L452">
            <v>74801.200000000012</v>
          </cell>
          <cell r="M452">
            <v>3252.2260869565221</v>
          </cell>
          <cell r="O452" t="str">
            <v>PLACA DERECHA DE CANAL DE CARGA</v>
          </cell>
        </row>
        <row r="453">
          <cell r="D453" t="str">
            <v>HTJA030033</v>
          </cell>
          <cell r="E453" t="str">
            <v>10232841</v>
          </cell>
          <cell r="F453" t="str">
            <v>AC-2000i DNA (Preforma)</v>
          </cell>
          <cell r="G453">
            <v>500000</v>
          </cell>
          <cell r="H453" t="str">
            <v>Profirrol</v>
          </cell>
          <cell r="I453">
            <v>10</v>
          </cell>
          <cell r="J453" t="str">
            <v>STD</v>
          </cell>
          <cell r="L453">
            <v>101200</v>
          </cell>
          <cell r="M453">
            <v>4400</v>
          </cell>
          <cell r="O453" t="str">
            <v>PLACA DERECHA DE CANAL DE CARGA</v>
          </cell>
        </row>
        <row r="454">
          <cell r="D454" t="str">
            <v>HTJA030033</v>
          </cell>
          <cell r="E454" t="str">
            <v>4302091005</v>
          </cell>
          <cell r="F454" t="str">
            <v>C-2000 PL-BODY</v>
          </cell>
          <cell r="G454">
            <v>500000</v>
          </cell>
          <cell r="H454" t="str">
            <v>Profirrol</v>
          </cell>
          <cell r="I454">
            <v>10</v>
          </cell>
          <cell r="J454" t="str">
            <v>STD</v>
          </cell>
          <cell r="L454">
            <v>1811</v>
          </cell>
          <cell r="M454">
            <v>78.739130434782609</v>
          </cell>
          <cell r="O454" t="str">
            <v>PLACA DERECHA DE CANAL DE CARGA</v>
          </cell>
        </row>
        <row r="455">
          <cell r="D455" t="str">
            <v>HTJA030033</v>
          </cell>
          <cell r="E455" t="str">
            <v>7324050215</v>
          </cell>
          <cell r="F455" t="str">
            <v>AC-2300i PT-44</v>
          </cell>
          <cell r="G455">
            <v>500000</v>
          </cell>
          <cell r="H455" t="str">
            <v>Profirrol</v>
          </cell>
          <cell r="I455">
            <v>10</v>
          </cell>
          <cell r="J455" t="str">
            <v>STD</v>
          </cell>
          <cell r="L455">
            <v>44731.400000000009</v>
          </cell>
          <cell r="M455">
            <v>1944.8434782608699</v>
          </cell>
          <cell r="O455" t="str">
            <v>PLACA DERECHA DE CANAL DE CARGA</v>
          </cell>
        </row>
        <row r="456">
          <cell r="D456" t="str">
            <v>HTJA030033</v>
          </cell>
          <cell r="E456" t="str">
            <v>10226750</v>
          </cell>
          <cell r="F456" t="str">
            <v>AC-2300i DNA (Preforma)</v>
          </cell>
          <cell r="G456">
            <v>500000</v>
          </cell>
          <cell r="H456" t="str">
            <v>Profirrol</v>
          </cell>
          <cell r="I456">
            <v>10</v>
          </cell>
          <cell r="J456" t="str">
            <v>STD</v>
          </cell>
          <cell r="L456">
            <v>49420.800000000003</v>
          </cell>
          <cell r="M456">
            <v>2148.7304347826089</v>
          </cell>
          <cell r="O456" t="str">
            <v>PLACA DERECHA DE CANAL DE CARGA</v>
          </cell>
        </row>
        <row r="457">
          <cell r="D457" t="str">
            <v>HTJA030033</v>
          </cell>
          <cell r="E457" t="str">
            <v>7553050217</v>
          </cell>
          <cell r="F457" t="str">
            <v>AC-2600i PT-Turbo</v>
          </cell>
          <cell r="G457">
            <v>500000</v>
          </cell>
          <cell r="H457" t="str">
            <v>Profirrol</v>
          </cell>
          <cell r="I457">
            <v>10</v>
          </cell>
          <cell r="J457" t="str">
            <v>STD</v>
          </cell>
          <cell r="L457">
            <v>34957.999999999993</v>
          </cell>
          <cell r="M457">
            <v>1519.9130434782605</v>
          </cell>
          <cell r="O457" t="str">
            <v>PLACA DERECHA DE CANAL DE CARGA</v>
          </cell>
        </row>
        <row r="458">
          <cell r="D458" t="str">
            <v>HTJA030033</v>
          </cell>
          <cell r="E458" t="str">
            <v>10001024R</v>
          </cell>
          <cell r="F458" t="str">
            <v>AC-2600i Ford Escape</v>
          </cell>
          <cell r="G458">
            <v>500000</v>
          </cell>
          <cell r="H458" t="str">
            <v>Profirrol</v>
          </cell>
          <cell r="I458">
            <v>10</v>
          </cell>
          <cell r="J458" t="str">
            <v>STD</v>
          </cell>
          <cell r="L458">
            <v>56501.200000000004</v>
          </cell>
          <cell r="M458">
            <v>2456.5739130434786</v>
          </cell>
          <cell r="O458" t="str">
            <v>PLACA DERECHA DE CANAL DE CARGA</v>
          </cell>
        </row>
        <row r="459">
          <cell r="D459" t="str">
            <v>HTJA030033</v>
          </cell>
          <cell r="E459" t="str">
            <v>10226752</v>
          </cell>
          <cell r="F459" t="str">
            <v>AC-2600i DNA (Preforma)</v>
          </cell>
          <cell r="G459">
            <v>500000</v>
          </cell>
          <cell r="H459" t="str">
            <v>Profirrol</v>
          </cell>
          <cell r="I459">
            <v>10</v>
          </cell>
          <cell r="J459" t="str">
            <v>STD</v>
          </cell>
          <cell r="L459">
            <v>26784</v>
          </cell>
          <cell r="M459">
            <v>1164.5217391304348</v>
          </cell>
          <cell r="O459" t="str">
            <v>PLACA DERECHA DE CANAL DE CARGA</v>
          </cell>
        </row>
        <row r="460">
          <cell r="D460" t="str">
            <v>HTJA030033</v>
          </cell>
          <cell r="E460" t="str">
            <v>10054551</v>
          </cell>
          <cell r="F460" t="str">
            <v>AC-2650 JC49 / GS PLT / DNA</v>
          </cell>
          <cell r="G460">
            <v>500000</v>
          </cell>
          <cell r="H460" t="str">
            <v>Profirrol</v>
          </cell>
          <cell r="I460">
            <v>10</v>
          </cell>
          <cell r="J460" t="str">
            <v>STD</v>
          </cell>
          <cell r="L460">
            <v>7516.4</v>
          </cell>
          <cell r="M460">
            <v>326.8</v>
          </cell>
          <cell r="O460" t="str">
            <v>PLACA DERECHA DE CANAL DE CARGA</v>
          </cell>
        </row>
        <row r="461">
          <cell r="D461" t="str">
            <v>HTJA030033</v>
          </cell>
          <cell r="E461" t="str">
            <v>10226751</v>
          </cell>
          <cell r="F461" t="str">
            <v>AC-2650 DNA</v>
          </cell>
          <cell r="G461">
            <v>500000</v>
          </cell>
          <cell r="H461" t="str">
            <v>Profirrol</v>
          </cell>
          <cell r="I461">
            <v>10</v>
          </cell>
          <cell r="J461" t="str">
            <v>STD</v>
          </cell>
          <cell r="L461">
            <v>14227.2</v>
          </cell>
          <cell r="M461">
            <v>618.57391304347834</v>
          </cell>
          <cell r="O461" t="str">
            <v>PLACA DERECHA DE CANAL DE CARGA</v>
          </cell>
        </row>
        <row r="462">
          <cell r="D462" t="str">
            <v>HTJA030033</v>
          </cell>
          <cell r="E462" t="str">
            <v>8152050226</v>
          </cell>
          <cell r="F462" t="str">
            <v>UF-2600i PQ-35 VW</v>
          </cell>
          <cell r="G462">
            <v>500000</v>
          </cell>
          <cell r="H462" t="str">
            <v>Profirrol</v>
          </cell>
          <cell r="I462">
            <v>10</v>
          </cell>
          <cell r="J462" t="str">
            <v>STD</v>
          </cell>
          <cell r="L462">
            <v>67111.400000000023</v>
          </cell>
          <cell r="M462">
            <v>2917.8869565217401</v>
          </cell>
          <cell r="O462" t="str">
            <v>PLACA DERECHA DE CANAL DE CARGA</v>
          </cell>
        </row>
        <row r="463">
          <cell r="D463" t="str">
            <v>HTJA030033</v>
          </cell>
          <cell r="E463" t="str">
            <v>10060762</v>
          </cell>
          <cell r="F463" t="str">
            <v>UF-2600i Ford Explorer</v>
          </cell>
          <cell r="G463">
            <v>500000</v>
          </cell>
          <cell r="H463" t="str">
            <v>Profirrol</v>
          </cell>
          <cell r="I463">
            <v>10</v>
          </cell>
          <cell r="J463" t="str">
            <v>STD</v>
          </cell>
          <cell r="L463">
            <v>0</v>
          </cell>
          <cell r="M463">
            <v>0</v>
          </cell>
          <cell r="O463" t="str">
            <v>PLACA DERECHA DE CANAL DE CARGA</v>
          </cell>
        </row>
        <row r="464">
          <cell r="D464" t="str">
            <v>HTJA030033</v>
          </cell>
          <cell r="E464" t="str">
            <v>00806088</v>
          </cell>
          <cell r="F464" t="str">
            <v>UF-2600i Hyundai</v>
          </cell>
          <cell r="G464">
            <v>500000</v>
          </cell>
          <cell r="H464" t="str">
            <v>Profirrol</v>
          </cell>
          <cell r="I464">
            <v>10</v>
          </cell>
          <cell r="J464" t="str">
            <v>STD</v>
          </cell>
          <cell r="L464">
            <v>0</v>
          </cell>
          <cell r="M464">
            <v>0</v>
          </cell>
          <cell r="O464" t="str">
            <v>PLACA DERECHA DE CANAL DE CARGA</v>
          </cell>
        </row>
        <row r="465">
          <cell r="D465" t="str">
            <v>HTJA030033</v>
          </cell>
          <cell r="E465" t="str">
            <v>10235857</v>
          </cell>
          <cell r="F465" t="str">
            <v>UF-2600i DNA (Preforma)</v>
          </cell>
          <cell r="G465">
            <v>500000</v>
          </cell>
          <cell r="H465" t="str">
            <v>Profirrol</v>
          </cell>
          <cell r="I465">
            <v>10</v>
          </cell>
          <cell r="J465" t="str">
            <v>STD</v>
          </cell>
          <cell r="L465">
            <v>0</v>
          </cell>
          <cell r="M465">
            <v>0</v>
          </cell>
          <cell r="O465" t="str">
            <v>PLACA DERECHA DE CANAL DE CARGA</v>
          </cell>
        </row>
        <row r="466">
          <cell r="D466" t="str">
            <v>HTJA030033</v>
          </cell>
          <cell r="E466" t="str">
            <v>10018041</v>
          </cell>
          <cell r="F466" t="str">
            <v>UF-3300i W</v>
          </cell>
          <cell r="G466">
            <v>500000</v>
          </cell>
          <cell r="H466" t="str">
            <v>Profirrol</v>
          </cell>
          <cell r="I466">
            <v>10</v>
          </cell>
          <cell r="J466" t="str">
            <v>STD</v>
          </cell>
          <cell r="L466">
            <v>14212.800000000001</v>
          </cell>
          <cell r="M466">
            <v>617.94782608695652</v>
          </cell>
          <cell r="O466" t="str">
            <v>PLACA DERECHA DE CANAL DE CARGA</v>
          </cell>
        </row>
        <row r="467">
          <cell r="D467" t="str">
            <v>HTJA030033</v>
          </cell>
          <cell r="E467" t="str">
            <v>10009621</v>
          </cell>
          <cell r="F467" t="str">
            <v>UF-4600i W</v>
          </cell>
          <cell r="G467">
            <v>500000</v>
          </cell>
          <cell r="H467" t="str">
            <v>Profirrol</v>
          </cell>
          <cell r="I467">
            <v>10</v>
          </cell>
          <cell r="J467" t="str">
            <v>STD</v>
          </cell>
          <cell r="L467">
            <v>30182.199999999997</v>
          </cell>
          <cell r="M467">
            <v>1312.2695652173911</v>
          </cell>
          <cell r="O467" t="str">
            <v>PLACA DERECHA DE CANAL DE CARGA</v>
          </cell>
        </row>
        <row r="468">
          <cell r="D468" t="str">
            <v>HTJA030033</v>
          </cell>
          <cell r="E468" t="str">
            <v>7056050202</v>
          </cell>
          <cell r="F468" t="str">
            <v>A4 RF-91 Concept One</v>
          </cell>
          <cell r="G468">
            <v>500000</v>
          </cell>
          <cell r="H468" t="str">
            <v>Profirrol</v>
          </cell>
          <cell r="I468">
            <v>10</v>
          </cell>
          <cell r="J468" t="str">
            <v>STD</v>
          </cell>
          <cell r="L468">
            <v>0</v>
          </cell>
          <cell r="M468">
            <v>0</v>
          </cell>
          <cell r="O468" t="str">
            <v>PLACA DERECHA DE CANAL DE CARGA</v>
          </cell>
        </row>
        <row r="469">
          <cell r="D469" t="str">
            <v>HTJA030033</v>
          </cell>
          <cell r="E469" t="str">
            <v>7174050203</v>
          </cell>
          <cell r="F469" t="str">
            <v>A4 RF-95</v>
          </cell>
          <cell r="G469">
            <v>500000</v>
          </cell>
          <cell r="H469" t="str">
            <v>Profirrol</v>
          </cell>
          <cell r="I469">
            <v>10</v>
          </cell>
          <cell r="J469" t="str">
            <v>STD</v>
          </cell>
          <cell r="L469">
            <v>6412.2000000000007</v>
          </cell>
          <cell r="M469">
            <v>278.7913043478261</v>
          </cell>
          <cell r="O469" t="str">
            <v>PLACA DERECHA DE CANAL DE CARGA</v>
          </cell>
        </row>
        <row r="470">
          <cell r="D470" t="str">
            <v>HTJA030047</v>
          </cell>
          <cell r="E470" t="str">
            <v>8647050233</v>
          </cell>
          <cell r="F470" t="str">
            <v>AC-2000i Honda Acura</v>
          </cell>
          <cell r="G470">
            <v>500000</v>
          </cell>
          <cell r="H470" t="str">
            <v>Profirrol</v>
          </cell>
          <cell r="I470">
            <v>30</v>
          </cell>
          <cell r="J470" t="str">
            <v>STD</v>
          </cell>
          <cell r="L470">
            <v>74729.200000000012</v>
          </cell>
          <cell r="M470">
            <v>3249.0956521739135</v>
          </cell>
          <cell r="O470" t="str">
            <v>TUERCA DERECHA RODILLO INFERIOR</v>
          </cell>
        </row>
        <row r="471">
          <cell r="D471" t="str">
            <v>HTJA030047</v>
          </cell>
          <cell r="E471" t="str">
            <v>10232841</v>
          </cell>
          <cell r="F471" t="str">
            <v>AC-2000i DNA (Preforma)</v>
          </cell>
          <cell r="G471">
            <v>500000</v>
          </cell>
          <cell r="H471" t="str">
            <v>Profirrol</v>
          </cell>
          <cell r="I471">
            <v>30</v>
          </cell>
          <cell r="J471" t="str">
            <v>STD</v>
          </cell>
          <cell r="L471">
            <v>99000</v>
          </cell>
          <cell r="M471">
            <v>4304.347826086957</v>
          </cell>
          <cell r="O471" t="str">
            <v>TUERCA DERECHA RODILLO INFERIOR</v>
          </cell>
        </row>
        <row r="472">
          <cell r="D472" t="str">
            <v>HTJA030047</v>
          </cell>
          <cell r="E472" t="str">
            <v>4302091005</v>
          </cell>
          <cell r="F472" t="str">
            <v>C-2000 PL-BODY</v>
          </cell>
          <cell r="G472">
            <v>500000</v>
          </cell>
          <cell r="H472" t="str">
            <v>Profirrol</v>
          </cell>
          <cell r="I472">
            <v>30</v>
          </cell>
          <cell r="J472" t="str">
            <v>STD</v>
          </cell>
          <cell r="L472">
            <v>0</v>
          </cell>
          <cell r="M472">
            <v>0</v>
          </cell>
          <cell r="O472" t="str">
            <v>TUERCA DERECHA RODILLO INFERIOR</v>
          </cell>
        </row>
        <row r="473">
          <cell r="D473" t="str">
            <v>HTJA030047</v>
          </cell>
          <cell r="E473" t="str">
            <v>7324050215</v>
          </cell>
          <cell r="F473" t="str">
            <v>AC-2300i PT-44</v>
          </cell>
          <cell r="G473">
            <v>500000</v>
          </cell>
          <cell r="H473" t="str">
            <v>Profirrol</v>
          </cell>
          <cell r="I473">
            <v>30</v>
          </cell>
          <cell r="J473" t="str">
            <v>STD</v>
          </cell>
          <cell r="L473">
            <v>58512.600000000006</v>
          </cell>
          <cell r="M473">
            <v>2544.0260869565218</v>
          </cell>
          <cell r="O473" t="str">
            <v>TUERCA DERECHA RODILLO INFERIOR</v>
          </cell>
        </row>
        <row r="474">
          <cell r="D474" t="str">
            <v>HTJA030047</v>
          </cell>
          <cell r="E474" t="str">
            <v>10226750</v>
          </cell>
          <cell r="F474" t="str">
            <v>AC-2300i DNA (Preforma)</v>
          </cell>
          <cell r="G474">
            <v>500000</v>
          </cell>
          <cell r="H474" t="str">
            <v>Profirrol</v>
          </cell>
          <cell r="I474">
            <v>30</v>
          </cell>
          <cell r="J474" t="str">
            <v>STD</v>
          </cell>
          <cell r="L474">
            <v>52509.599999999999</v>
          </cell>
          <cell r="M474">
            <v>2283.0260869565218</v>
          </cell>
          <cell r="O474" t="str">
            <v>TUERCA DERECHA RODILLO INFERIOR</v>
          </cell>
        </row>
        <row r="475">
          <cell r="D475" t="str">
            <v>HTJA030047</v>
          </cell>
          <cell r="E475" t="str">
            <v>7553050217</v>
          </cell>
          <cell r="F475" t="str">
            <v>AC-2600i PT-Turbo</v>
          </cell>
          <cell r="G475">
            <v>500000</v>
          </cell>
          <cell r="H475" t="str">
            <v>Profirrol</v>
          </cell>
          <cell r="I475">
            <v>30</v>
          </cell>
          <cell r="J475" t="str">
            <v>STD</v>
          </cell>
          <cell r="L475">
            <v>37981.199999999997</v>
          </cell>
          <cell r="M475">
            <v>1651.3565217391304</v>
          </cell>
          <cell r="O475" t="str">
            <v>TUERCA DERECHA RODILLO INFERIOR</v>
          </cell>
        </row>
        <row r="476">
          <cell r="D476" t="str">
            <v>HTJA030047</v>
          </cell>
          <cell r="E476" t="str">
            <v>10001024R</v>
          </cell>
          <cell r="F476" t="str">
            <v>AC-2600i Ford Escape</v>
          </cell>
          <cell r="G476">
            <v>500000</v>
          </cell>
          <cell r="H476" t="str">
            <v>Profirrol</v>
          </cell>
          <cell r="I476">
            <v>30</v>
          </cell>
          <cell r="J476" t="str">
            <v>STD</v>
          </cell>
          <cell r="L476">
            <v>59203</v>
          </cell>
          <cell r="M476">
            <v>2574.0434782608695</v>
          </cell>
          <cell r="O476" t="str">
            <v>TUERCA DERECHA RODILLO INFERIOR</v>
          </cell>
        </row>
        <row r="477">
          <cell r="D477" t="str">
            <v>HTJA030047</v>
          </cell>
          <cell r="E477" t="str">
            <v>10226752</v>
          </cell>
          <cell r="F477" t="str">
            <v>AC-2600i DNA (Preforma)</v>
          </cell>
          <cell r="G477">
            <v>500000</v>
          </cell>
          <cell r="H477" t="str">
            <v>Profirrol</v>
          </cell>
          <cell r="I477">
            <v>30</v>
          </cell>
          <cell r="J477" t="str">
            <v>STD</v>
          </cell>
          <cell r="L477">
            <v>31536</v>
          </cell>
          <cell r="M477">
            <v>1371.1304347826087</v>
          </cell>
          <cell r="O477" t="str">
            <v>TUERCA DERECHA RODILLO INFERIOR</v>
          </cell>
        </row>
        <row r="478">
          <cell r="D478" t="str">
            <v>HTJA030047</v>
          </cell>
          <cell r="E478" t="str">
            <v>10054551</v>
          </cell>
          <cell r="F478" t="str">
            <v>AC-2650 JC49 / GS PLT / DNA</v>
          </cell>
          <cell r="G478">
            <v>500000</v>
          </cell>
          <cell r="H478" t="str">
            <v>Profirrol</v>
          </cell>
          <cell r="I478">
            <v>30</v>
          </cell>
          <cell r="J478" t="str">
            <v>STD</v>
          </cell>
          <cell r="L478">
            <v>11932</v>
          </cell>
          <cell r="M478">
            <v>518.78260869565213</v>
          </cell>
          <cell r="O478" t="str">
            <v>TUERCA DERECHA RODILLO INFERIOR</v>
          </cell>
        </row>
        <row r="479">
          <cell r="D479" t="str">
            <v>HTJA030047</v>
          </cell>
          <cell r="E479" t="str">
            <v>10226751</v>
          </cell>
          <cell r="F479" t="str">
            <v>AC-2650 DNA</v>
          </cell>
          <cell r="G479">
            <v>500000</v>
          </cell>
          <cell r="H479" t="str">
            <v>Profirrol</v>
          </cell>
          <cell r="I479">
            <v>30</v>
          </cell>
          <cell r="J479" t="str">
            <v>STD</v>
          </cell>
          <cell r="L479">
            <v>24453</v>
          </cell>
          <cell r="M479">
            <v>1063.1739130434783</v>
          </cell>
          <cell r="O479" t="str">
            <v>TUERCA DERECHA RODILLO INFERIOR</v>
          </cell>
        </row>
        <row r="480">
          <cell r="D480" t="str">
            <v>HTJA030047</v>
          </cell>
          <cell r="E480" t="str">
            <v>8152050226</v>
          </cell>
          <cell r="F480" t="str">
            <v>UF-2600i PQ-35 VW</v>
          </cell>
          <cell r="G480">
            <v>500000</v>
          </cell>
          <cell r="H480" t="str">
            <v>Profirrol</v>
          </cell>
          <cell r="I480">
            <v>30</v>
          </cell>
          <cell r="J480" t="str">
            <v>STD</v>
          </cell>
          <cell r="L480">
            <v>38227.399999999994</v>
          </cell>
          <cell r="M480">
            <v>1662.0608695652172</v>
          </cell>
          <cell r="O480" t="str">
            <v>TUERCA DERECHA RODILLO INFERIOR</v>
          </cell>
        </row>
        <row r="481">
          <cell r="D481" t="str">
            <v>HTJA030047</v>
          </cell>
          <cell r="E481" t="str">
            <v>10060762</v>
          </cell>
          <cell r="F481" t="str">
            <v>UF-2600i Ford Explorer</v>
          </cell>
          <cell r="G481">
            <v>500000</v>
          </cell>
          <cell r="H481" t="str">
            <v>Profirrol</v>
          </cell>
          <cell r="I481">
            <v>30</v>
          </cell>
          <cell r="J481" t="str">
            <v>STD</v>
          </cell>
          <cell r="L481">
            <v>0</v>
          </cell>
          <cell r="M481">
            <v>0</v>
          </cell>
          <cell r="O481" t="str">
            <v>TUERCA DERECHA RODILLO INFERIOR</v>
          </cell>
        </row>
        <row r="482">
          <cell r="D482" t="str">
            <v>HTJA030047</v>
          </cell>
          <cell r="E482" t="str">
            <v>00806088</v>
          </cell>
          <cell r="F482" t="str">
            <v>UF-2600i Hyundai</v>
          </cell>
          <cell r="G482">
            <v>500000</v>
          </cell>
          <cell r="H482" t="str">
            <v>Profirrol</v>
          </cell>
          <cell r="I482">
            <v>30</v>
          </cell>
          <cell r="J482" t="str">
            <v>STD</v>
          </cell>
          <cell r="L482">
            <v>0</v>
          </cell>
          <cell r="M482">
            <v>0</v>
          </cell>
          <cell r="O482" t="str">
            <v>TUERCA DERECHA RODILLO INFERIOR</v>
          </cell>
        </row>
        <row r="483">
          <cell r="D483" t="str">
            <v>HTJA030047</v>
          </cell>
          <cell r="E483" t="str">
            <v>10235857</v>
          </cell>
          <cell r="F483" t="str">
            <v>UF-2600i DNA (Preforma)</v>
          </cell>
          <cell r="G483">
            <v>500000</v>
          </cell>
          <cell r="H483" t="str">
            <v>Profirrol</v>
          </cell>
          <cell r="I483">
            <v>30</v>
          </cell>
          <cell r="J483" t="str">
            <v>STD</v>
          </cell>
          <cell r="L483">
            <v>0</v>
          </cell>
          <cell r="M483">
            <v>0</v>
          </cell>
          <cell r="O483" t="str">
            <v>TUERCA DERECHA RODILLO INFERIOR</v>
          </cell>
        </row>
        <row r="484">
          <cell r="D484" t="str">
            <v>HTJA030047</v>
          </cell>
          <cell r="E484" t="str">
            <v>10018041</v>
          </cell>
          <cell r="F484" t="str">
            <v>UF-3300i W</v>
          </cell>
          <cell r="G484">
            <v>500000</v>
          </cell>
          <cell r="H484" t="str">
            <v>Profirrol</v>
          </cell>
          <cell r="I484">
            <v>30</v>
          </cell>
          <cell r="J484" t="str">
            <v>STD</v>
          </cell>
          <cell r="L484">
            <v>13520.454678603319</v>
          </cell>
          <cell r="M484">
            <v>587.84585559144864</v>
          </cell>
          <cell r="O484" t="str">
            <v>TUERCA DERECHA RODILLO INFERIOR</v>
          </cell>
        </row>
        <row r="485">
          <cell r="D485" t="str">
            <v>HTJA030047</v>
          </cell>
          <cell r="E485" t="str">
            <v>10009621</v>
          </cell>
          <cell r="F485" t="str">
            <v>UF-4600i W</v>
          </cell>
          <cell r="G485">
            <v>500000</v>
          </cell>
          <cell r="H485" t="str">
            <v>Profirrol</v>
          </cell>
          <cell r="I485">
            <v>30</v>
          </cell>
          <cell r="J485" t="str">
            <v>STD</v>
          </cell>
          <cell r="L485">
            <v>33932.483034337194</v>
          </cell>
          <cell r="M485">
            <v>1475.3253493190084</v>
          </cell>
          <cell r="O485" t="str">
            <v>TUERCA DERECHA RODILLO INFERIOR</v>
          </cell>
        </row>
        <row r="486">
          <cell r="D486" t="str">
            <v>HTJA030047</v>
          </cell>
          <cell r="E486" t="str">
            <v>7056050202</v>
          </cell>
          <cell r="F486" t="str">
            <v>A4 RF-91 Concept One</v>
          </cell>
          <cell r="G486">
            <v>500000</v>
          </cell>
          <cell r="H486" t="str">
            <v>Profirrol</v>
          </cell>
          <cell r="I486">
            <v>30</v>
          </cell>
          <cell r="J486" t="str">
            <v>STD</v>
          </cell>
          <cell r="L486">
            <v>0</v>
          </cell>
          <cell r="M486">
            <v>0</v>
          </cell>
          <cell r="O486" t="str">
            <v>TUERCA DERECHA RODILLO INFERIOR</v>
          </cell>
        </row>
        <row r="487">
          <cell r="D487" t="str">
            <v>HTJA030047</v>
          </cell>
          <cell r="E487" t="str">
            <v>7174050203</v>
          </cell>
          <cell r="F487" t="str">
            <v>A4 RF-95</v>
          </cell>
          <cell r="G487">
            <v>500000</v>
          </cell>
          <cell r="H487" t="str">
            <v>Profirrol</v>
          </cell>
          <cell r="I487">
            <v>30</v>
          </cell>
          <cell r="J487" t="str">
            <v>STD</v>
          </cell>
          <cell r="L487">
            <v>8133.6</v>
          </cell>
          <cell r="M487">
            <v>353.63478260869567</v>
          </cell>
          <cell r="O487" t="str">
            <v>TUERCA DERECHA RODILLO INFERIOR</v>
          </cell>
        </row>
        <row r="488">
          <cell r="D488" t="str">
            <v>HTJA030048</v>
          </cell>
          <cell r="E488" t="str">
            <v>8647050233</v>
          </cell>
          <cell r="F488" t="str">
            <v>AC-2000i Honda Acura</v>
          </cell>
          <cell r="G488">
            <v>500000</v>
          </cell>
          <cell r="H488" t="str">
            <v>Profirrol</v>
          </cell>
          <cell r="I488">
            <v>30</v>
          </cell>
          <cell r="J488" t="str">
            <v>STD</v>
          </cell>
          <cell r="L488">
            <v>74729.200000000012</v>
          </cell>
          <cell r="M488">
            <v>3249.0956521739135</v>
          </cell>
          <cell r="O488" t="str">
            <v>TUERCA IZQUIERDA RODILLO INFERIOR</v>
          </cell>
        </row>
        <row r="489">
          <cell r="D489" t="str">
            <v>HTJA030048</v>
          </cell>
          <cell r="E489" t="str">
            <v>10232841</v>
          </cell>
          <cell r="F489" t="str">
            <v>AC-2000i DNA (Preforma)</v>
          </cell>
          <cell r="G489">
            <v>500000</v>
          </cell>
          <cell r="H489" t="str">
            <v>Profirrol</v>
          </cell>
          <cell r="I489">
            <v>30</v>
          </cell>
          <cell r="J489" t="str">
            <v>STD</v>
          </cell>
          <cell r="L489">
            <v>99000</v>
          </cell>
          <cell r="M489">
            <v>4304.347826086957</v>
          </cell>
          <cell r="O489" t="str">
            <v>TUERCA IZQUIERDA RODILLO INFERIOR</v>
          </cell>
        </row>
        <row r="490">
          <cell r="D490" t="str">
            <v>HTJA030048</v>
          </cell>
          <cell r="E490" t="str">
            <v>4302091005</v>
          </cell>
          <cell r="F490" t="str">
            <v>C-2000 PL-BODY</v>
          </cell>
          <cell r="G490">
            <v>500000</v>
          </cell>
          <cell r="H490" t="str">
            <v>Profirrol</v>
          </cell>
          <cell r="I490">
            <v>30</v>
          </cell>
          <cell r="J490" t="str">
            <v>STD</v>
          </cell>
          <cell r="L490">
            <v>0</v>
          </cell>
          <cell r="M490">
            <v>0</v>
          </cell>
          <cell r="O490" t="str">
            <v>TUERCA IZQUIERDA RODILLO INFERIOR</v>
          </cell>
        </row>
        <row r="491">
          <cell r="D491" t="str">
            <v>HTJA030048</v>
          </cell>
          <cell r="E491" t="str">
            <v>7324050215</v>
          </cell>
          <cell r="F491" t="str">
            <v>AC-2300i PT-44</v>
          </cell>
          <cell r="G491">
            <v>500000</v>
          </cell>
          <cell r="H491" t="str">
            <v>Profirrol</v>
          </cell>
          <cell r="I491">
            <v>30</v>
          </cell>
          <cell r="J491" t="str">
            <v>STD</v>
          </cell>
          <cell r="L491">
            <v>58512.600000000006</v>
          </cell>
          <cell r="M491">
            <v>2544.0260869565218</v>
          </cell>
          <cell r="O491" t="str">
            <v>TUERCA IZQUIERDA RODILLO INFERIOR</v>
          </cell>
        </row>
        <row r="492">
          <cell r="D492" t="str">
            <v>HTJA030048</v>
          </cell>
          <cell r="E492" t="str">
            <v>10226750</v>
          </cell>
          <cell r="F492" t="str">
            <v>AC-2300i DNA (Preforma)</v>
          </cell>
          <cell r="G492">
            <v>500000</v>
          </cell>
          <cell r="H492" t="str">
            <v>Profirrol</v>
          </cell>
          <cell r="I492">
            <v>30</v>
          </cell>
          <cell r="J492" t="str">
            <v>STD</v>
          </cell>
          <cell r="L492">
            <v>52509.599999999999</v>
          </cell>
          <cell r="M492">
            <v>2283.0260869565218</v>
          </cell>
          <cell r="O492" t="str">
            <v>TUERCA IZQUIERDA RODILLO INFERIOR</v>
          </cell>
        </row>
        <row r="493">
          <cell r="D493" t="str">
            <v>HTJA030048</v>
          </cell>
          <cell r="E493" t="str">
            <v>7553050217</v>
          </cell>
          <cell r="F493" t="str">
            <v>AC-2600i PT-Turbo</v>
          </cell>
          <cell r="G493">
            <v>500000</v>
          </cell>
          <cell r="H493" t="str">
            <v>Profirrol</v>
          </cell>
          <cell r="I493">
            <v>30</v>
          </cell>
          <cell r="J493" t="str">
            <v>STD</v>
          </cell>
          <cell r="L493">
            <v>37981.199999999997</v>
          </cell>
          <cell r="M493">
            <v>1651.3565217391304</v>
          </cell>
          <cell r="O493" t="str">
            <v>TUERCA IZQUIERDA RODILLO INFERIOR</v>
          </cell>
        </row>
        <row r="494">
          <cell r="D494" t="str">
            <v>HTJA030048</v>
          </cell>
          <cell r="E494" t="str">
            <v>10001024R</v>
          </cell>
          <cell r="F494" t="str">
            <v>AC-2600i Ford Escape</v>
          </cell>
          <cell r="G494">
            <v>500000</v>
          </cell>
          <cell r="H494" t="str">
            <v>Profirrol</v>
          </cell>
          <cell r="I494">
            <v>30</v>
          </cell>
          <cell r="J494" t="str">
            <v>STD</v>
          </cell>
          <cell r="L494">
            <v>59203</v>
          </cell>
          <cell r="M494">
            <v>2574.0434782608695</v>
          </cell>
          <cell r="O494" t="str">
            <v>TUERCA IZQUIERDA RODILLO INFERIOR</v>
          </cell>
        </row>
        <row r="495">
          <cell r="D495" t="str">
            <v>HTJA030048</v>
          </cell>
          <cell r="E495" t="str">
            <v>10226752</v>
          </cell>
          <cell r="F495" t="str">
            <v>AC-2600i DNA (Preforma)</v>
          </cell>
          <cell r="G495">
            <v>500000</v>
          </cell>
          <cell r="H495" t="str">
            <v>Profirrol</v>
          </cell>
          <cell r="I495">
            <v>30</v>
          </cell>
          <cell r="J495" t="str">
            <v>STD</v>
          </cell>
          <cell r="L495">
            <v>31536</v>
          </cell>
          <cell r="M495">
            <v>1371.1304347826087</v>
          </cell>
          <cell r="O495" t="str">
            <v>TUERCA IZQUIERDA RODILLO INFERIOR</v>
          </cell>
        </row>
        <row r="496">
          <cell r="D496" t="str">
            <v>HTJA030048</v>
          </cell>
          <cell r="E496" t="str">
            <v>10054551</v>
          </cell>
          <cell r="F496" t="str">
            <v>AC-2650 JC49 / GS PLT / DNA</v>
          </cell>
          <cell r="G496">
            <v>500000</v>
          </cell>
          <cell r="H496" t="str">
            <v>Profirrol</v>
          </cell>
          <cell r="I496">
            <v>30</v>
          </cell>
          <cell r="J496" t="str">
            <v>STD</v>
          </cell>
          <cell r="L496">
            <v>11932</v>
          </cell>
          <cell r="M496">
            <v>518.78260869565213</v>
          </cell>
          <cell r="O496" t="str">
            <v>TUERCA IZQUIERDA RODILLO INFERIOR</v>
          </cell>
        </row>
        <row r="497">
          <cell r="D497" t="str">
            <v>HTJA030048</v>
          </cell>
          <cell r="E497" t="str">
            <v>10226751</v>
          </cell>
          <cell r="F497" t="str">
            <v>AC-2650 DNA</v>
          </cell>
          <cell r="G497">
            <v>500000</v>
          </cell>
          <cell r="H497" t="str">
            <v>Profirrol</v>
          </cell>
          <cell r="I497">
            <v>30</v>
          </cell>
          <cell r="J497" t="str">
            <v>STD</v>
          </cell>
          <cell r="L497">
            <v>24453</v>
          </cell>
          <cell r="M497">
            <v>1063.1739130434783</v>
          </cell>
          <cell r="O497" t="str">
            <v>TUERCA IZQUIERDA RODILLO INFERIOR</v>
          </cell>
        </row>
        <row r="498">
          <cell r="D498" t="str">
            <v>HTJA030048</v>
          </cell>
          <cell r="E498" t="str">
            <v>8152050226</v>
          </cell>
          <cell r="F498" t="str">
            <v>UF-2600i PQ-35 VW</v>
          </cell>
          <cell r="G498">
            <v>500000</v>
          </cell>
          <cell r="H498" t="str">
            <v>Profirrol</v>
          </cell>
          <cell r="I498">
            <v>30</v>
          </cell>
          <cell r="J498" t="str">
            <v>STD</v>
          </cell>
          <cell r="L498">
            <v>38227.399999999994</v>
          </cell>
          <cell r="M498">
            <v>1662.0608695652172</v>
          </cell>
          <cell r="O498" t="str">
            <v>TUERCA IZQUIERDA RODILLO INFERIOR</v>
          </cell>
        </row>
        <row r="499">
          <cell r="D499" t="str">
            <v>HTJA030048</v>
          </cell>
          <cell r="E499" t="str">
            <v>10060762</v>
          </cell>
          <cell r="F499" t="str">
            <v>UF-2600i Ford Explorer</v>
          </cell>
          <cell r="G499">
            <v>500000</v>
          </cell>
          <cell r="H499" t="str">
            <v>Profirrol</v>
          </cell>
          <cell r="I499">
            <v>30</v>
          </cell>
          <cell r="J499" t="str">
            <v>STD</v>
          </cell>
          <cell r="L499">
            <v>0</v>
          </cell>
          <cell r="M499">
            <v>0</v>
          </cell>
          <cell r="O499" t="str">
            <v>TUERCA IZQUIERDA RODILLO INFERIOR</v>
          </cell>
        </row>
        <row r="500">
          <cell r="D500" t="str">
            <v>HTJA030048</v>
          </cell>
          <cell r="E500" t="str">
            <v>00806088</v>
          </cell>
          <cell r="F500" t="str">
            <v>UF-2600i Hyundai</v>
          </cell>
          <cell r="G500">
            <v>500000</v>
          </cell>
          <cell r="H500" t="str">
            <v>Profirrol</v>
          </cell>
          <cell r="I500">
            <v>30</v>
          </cell>
          <cell r="J500" t="str">
            <v>STD</v>
          </cell>
          <cell r="L500">
            <v>0</v>
          </cell>
          <cell r="M500">
            <v>0</v>
          </cell>
          <cell r="O500" t="str">
            <v>TUERCA IZQUIERDA RODILLO INFERIOR</v>
          </cell>
        </row>
        <row r="501">
          <cell r="D501" t="str">
            <v>HTJA030048</v>
          </cell>
          <cell r="E501" t="str">
            <v>10235857</v>
          </cell>
          <cell r="F501" t="str">
            <v>UF-2600i DNA (Preforma)</v>
          </cell>
          <cell r="G501">
            <v>500000</v>
          </cell>
          <cell r="H501" t="str">
            <v>Profirrol</v>
          </cell>
          <cell r="I501">
            <v>30</v>
          </cell>
          <cell r="J501" t="str">
            <v>STD</v>
          </cell>
          <cell r="L501">
            <v>0</v>
          </cell>
          <cell r="M501">
            <v>0</v>
          </cell>
          <cell r="O501" t="str">
            <v>TUERCA IZQUIERDA RODILLO INFERIOR</v>
          </cell>
        </row>
        <row r="502">
          <cell r="D502" t="str">
            <v>HTJA030048</v>
          </cell>
          <cell r="E502" t="str">
            <v>10018041</v>
          </cell>
          <cell r="F502" t="str">
            <v>UF-3300i W</v>
          </cell>
          <cell r="G502">
            <v>500000</v>
          </cell>
          <cell r="H502" t="str">
            <v>Profirrol</v>
          </cell>
          <cell r="I502">
            <v>30</v>
          </cell>
          <cell r="J502" t="str">
            <v>STD</v>
          </cell>
          <cell r="L502">
            <v>13520.454678603319</v>
          </cell>
          <cell r="M502">
            <v>587.84585559144864</v>
          </cell>
          <cell r="O502" t="str">
            <v>TUERCA IZQUIERDA RODILLO INFERIOR</v>
          </cell>
        </row>
        <row r="503">
          <cell r="D503" t="str">
            <v>HTJA030048</v>
          </cell>
          <cell r="E503" t="str">
            <v>10009621</v>
          </cell>
          <cell r="F503" t="str">
            <v>UF-4600i W</v>
          </cell>
          <cell r="G503">
            <v>500000</v>
          </cell>
          <cell r="H503" t="str">
            <v>Profirrol</v>
          </cell>
          <cell r="I503">
            <v>30</v>
          </cell>
          <cell r="J503" t="str">
            <v>STD</v>
          </cell>
          <cell r="L503">
            <v>33932.483034337194</v>
          </cell>
          <cell r="M503">
            <v>1475.3253493190084</v>
          </cell>
          <cell r="O503" t="str">
            <v>TUERCA IZQUIERDA RODILLO INFERIOR</v>
          </cell>
        </row>
        <row r="504">
          <cell r="D504" t="str">
            <v>HTJA030048</v>
          </cell>
          <cell r="E504" t="str">
            <v>7056050202</v>
          </cell>
          <cell r="F504" t="str">
            <v>A4 RF-91 Concept One</v>
          </cell>
          <cell r="G504">
            <v>500000</v>
          </cell>
          <cell r="H504" t="str">
            <v>Profirrol</v>
          </cell>
          <cell r="I504">
            <v>30</v>
          </cell>
          <cell r="J504" t="str">
            <v>STD</v>
          </cell>
          <cell r="L504">
            <v>0</v>
          </cell>
          <cell r="M504">
            <v>0</v>
          </cell>
          <cell r="O504" t="str">
            <v>TUERCA IZQUIERDA RODILLO INFERIOR</v>
          </cell>
        </row>
        <row r="505">
          <cell r="D505" t="str">
            <v>HTJA030048</v>
          </cell>
          <cell r="E505" t="str">
            <v>7174050203</v>
          </cell>
          <cell r="F505" t="str">
            <v>A4 RF-95</v>
          </cell>
          <cell r="G505">
            <v>500000</v>
          </cell>
          <cell r="H505" t="str">
            <v>Profirrol</v>
          </cell>
          <cell r="I505">
            <v>30</v>
          </cell>
          <cell r="J505" t="str">
            <v>STD</v>
          </cell>
          <cell r="L505">
            <v>8133.6</v>
          </cell>
          <cell r="M505">
            <v>353.63478260869567</v>
          </cell>
          <cell r="O505" t="str">
            <v>TUERCA IZQUIERDA RODILLO INFERIOR</v>
          </cell>
        </row>
        <row r="506">
          <cell r="D506" t="str">
            <v>HTJA030051</v>
          </cell>
          <cell r="E506" t="str">
            <v>8647050233</v>
          </cell>
          <cell r="F506" t="str">
            <v>AC-2000i Honda Acura</v>
          </cell>
          <cell r="G506">
            <v>5000</v>
          </cell>
          <cell r="H506" t="str">
            <v>Nacional</v>
          </cell>
          <cell r="I506">
            <v>8</v>
          </cell>
          <cell r="J506" t="str">
            <v>STD</v>
          </cell>
          <cell r="L506">
            <v>74801.200000000012</v>
          </cell>
          <cell r="M506">
            <v>3252.2260869565221</v>
          </cell>
          <cell r="O506" t="str">
            <v>PERNO PARA PLACA DE CANAL DE CARGA</v>
          </cell>
        </row>
        <row r="507">
          <cell r="D507" t="str">
            <v>HTJA030051</v>
          </cell>
          <cell r="E507" t="str">
            <v>10232841</v>
          </cell>
          <cell r="F507" t="str">
            <v>AC-2000i DNA (Preforma)</v>
          </cell>
          <cell r="G507">
            <v>5000</v>
          </cell>
          <cell r="H507" t="str">
            <v>Nacional</v>
          </cell>
          <cell r="I507">
            <v>8</v>
          </cell>
          <cell r="J507" t="str">
            <v>STD</v>
          </cell>
          <cell r="L507">
            <v>101200</v>
          </cell>
          <cell r="M507">
            <v>4400</v>
          </cell>
          <cell r="O507" t="str">
            <v>PERNO PARA PLACA DE CANAL DE CARGA</v>
          </cell>
        </row>
        <row r="508">
          <cell r="D508" t="str">
            <v>HTJA030051</v>
          </cell>
          <cell r="E508" t="str">
            <v>4302091005</v>
          </cell>
          <cell r="F508" t="str">
            <v>C-2000 PL-BODY</v>
          </cell>
          <cell r="G508">
            <v>5000</v>
          </cell>
          <cell r="H508" t="str">
            <v>Nacional</v>
          </cell>
          <cell r="I508">
            <v>8</v>
          </cell>
          <cell r="J508" t="str">
            <v>STD</v>
          </cell>
          <cell r="L508">
            <v>1811</v>
          </cell>
          <cell r="M508">
            <v>78.739130434782609</v>
          </cell>
          <cell r="O508" t="str">
            <v>PERNO PARA PLACA DE CANAL DE CARGA</v>
          </cell>
        </row>
        <row r="509">
          <cell r="D509" t="str">
            <v>HTJA030051</v>
          </cell>
          <cell r="E509" t="str">
            <v>7324050215</v>
          </cell>
          <cell r="F509" t="str">
            <v>AC-2300i PT-44</v>
          </cell>
          <cell r="G509">
            <v>5000</v>
          </cell>
          <cell r="H509" t="str">
            <v>Nacional</v>
          </cell>
          <cell r="I509">
            <v>8</v>
          </cell>
          <cell r="J509" t="str">
            <v>STD</v>
          </cell>
          <cell r="L509">
            <v>44731.400000000009</v>
          </cell>
          <cell r="M509">
            <v>1944.8434782608699</v>
          </cell>
          <cell r="O509" t="str">
            <v>PERNO PARA PLACA DE CANAL DE CARGA</v>
          </cell>
        </row>
        <row r="510">
          <cell r="D510" t="str">
            <v>HTJA030051</v>
          </cell>
          <cell r="E510" t="str">
            <v>10226750</v>
          </cell>
          <cell r="F510" t="str">
            <v>AC-2300i DNA (Preforma)</v>
          </cell>
          <cell r="G510">
            <v>5000</v>
          </cell>
          <cell r="H510" t="str">
            <v>Nacional</v>
          </cell>
          <cell r="I510">
            <v>8</v>
          </cell>
          <cell r="J510" t="str">
            <v>STD</v>
          </cell>
          <cell r="L510">
            <v>49420.800000000003</v>
          </cell>
          <cell r="M510">
            <v>2148.7304347826089</v>
          </cell>
          <cell r="O510" t="str">
            <v>PERNO PARA PLACA DE CANAL DE CARGA</v>
          </cell>
        </row>
        <row r="511">
          <cell r="D511" t="str">
            <v>HTJA030051</v>
          </cell>
          <cell r="E511" t="str">
            <v>7553050217</v>
          </cell>
          <cell r="F511" t="str">
            <v>AC-2600i PT-Turbo</v>
          </cell>
          <cell r="G511">
            <v>5000</v>
          </cell>
          <cell r="H511" t="str">
            <v>Nacional</v>
          </cell>
          <cell r="I511">
            <v>8</v>
          </cell>
          <cell r="J511" t="str">
            <v>STD</v>
          </cell>
          <cell r="L511">
            <v>34957.999999999993</v>
          </cell>
          <cell r="M511">
            <v>1519.9130434782605</v>
          </cell>
          <cell r="O511" t="str">
            <v>PERNO PARA PLACA DE CANAL DE CARGA</v>
          </cell>
        </row>
        <row r="512">
          <cell r="D512" t="str">
            <v>HTJA030051</v>
          </cell>
          <cell r="E512" t="str">
            <v>10001024R</v>
          </cell>
          <cell r="F512" t="str">
            <v>AC-2600i Ford Escape</v>
          </cell>
          <cell r="G512">
            <v>5000</v>
          </cell>
          <cell r="H512" t="str">
            <v>Nacional</v>
          </cell>
          <cell r="I512">
            <v>8</v>
          </cell>
          <cell r="J512" t="str">
            <v>STD</v>
          </cell>
          <cell r="L512">
            <v>56501.200000000004</v>
          </cell>
          <cell r="M512">
            <v>2456.5739130434786</v>
          </cell>
          <cell r="O512" t="str">
            <v>PERNO PARA PLACA DE CANAL DE CARGA</v>
          </cell>
        </row>
        <row r="513">
          <cell r="D513" t="str">
            <v>HTJA030051</v>
          </cell>
          <cell r="E513" t="str">
            <v>10226752</v>
          </cell>
          <cell r="F513" t="str">
            <v>AC-2600i DNA (Preforma)</v>
          </cell>
          <cell r="G513">
            <v>5000</v>
          </cell>
          <cell r="H513" t="str">
            <v>Nacional</v>
          </cell>
          <cell r="I513">
            <v>8</v>
          </cell>
          <cell r="J513" t="str">
            <v>STD</v>
          </cell>
          <cell r="L513">
            <v>26784</v>
          </cell>
          <cell r="M513">
            <v>1164.5217391304348</v>
          </cell>
          <cell r="O513" t="str">
            <v>PERNO PARA PLACA DE CANAL DE CARGA</v>
          </cell>
        </row>
        <row r="514">
          <cell r="D514" t="str">
            <v>HTJA030051</v>
          </cell>
          <cell r="E514" t="str">
            <v>10054551</v>
          </cell>
          <cell r="F514" t="str">
            <v>AC-2650 JC49 / GS PLT / DNA</v>
          </cell>
          <cell r="G514">
            <v>5000</v>
          </cell>
          <cell r="H514" t="str">
            <v>Nacional</v>
          </cell>
          <cell r="I514">
            <v>8</v>
          </cell>
          <cell r="J514" t="str">
            <v>STD</v>
          </cell>
          <cell r="L514">
            <v>7516.4</v>
          </cell>
          <cell r="M514">
            <v>326.8</v>
          </cell>
          <cell r="O514" t="str">
            <v>PERNO PARA PLACA DE CANAL DE CARGA</v>
          </cell>
        </row>
        <row r="515">
          <cell r="D515" t="str">
            <v>HTJA030051</v>
          </cell>
          <cell r="E515" t="str">
            <v>10226751</v>
          </cell>
          <cell r="F515" t="str">
            <v>AC-2650 DNA</v>
          </cell>
          <cell r="G515">
            <v>5000</v>
          </cell>
          <cell r="H515" t="str">
            <v>Nacional</v>
          </cell>
          <cell r="I515">
            <v>8</v>
          </cell>
          <cell r="J515" t="str">
            <v>STD</v>
          </cell>
          <cell r="L515">
            <v>14227.2</v>
          </cell>
          <cell r="M515">
            <v>618.57391304347834</v>
          </cell>
          <cell r="O515" t="str">
            <v>PERNO PARA PLACA DE CANAL DE CARGA</v>
          </cell>
        </row>
        <row r="516">
          <cell r="D516" t="str">
            <v>HTJA030051</v>
          </cell>
          <cell r="E516" t="str">
            <v>8152050226</v>
          </cell>
          <cell r="F516" t="str">
            <v>UF-2600i PQ-35 VW</v>
          </cell>
          <cell r="G516">
            <v>5000</v>
          </cell>
          <cell r="H516" t="str">
            <v>Nacional</v>
          </cell>
          <cell r="I516">
            <v>8</v>
          </cell>
          <cell r="J516" t="str">
            <v>STD</v>
          </cell>
          <cell r="L516">
            <v>67111.400000000023</v>
          </cell>
          <cell r="M516">
            <v>2917.8869565217401</v>
          </cell>
          <cell r="O516" t="str">
            <v>PERNO PARA PLACA DE CANAL DE CARGA</v>
          </cell>
        </row>
        <row r="517">
          <cell r="D517" t="str">
            <v>HTJA030051</v>
          </cell>
          <cell r="E517" t="str">
            <v>10060762</v>
          </cell>
          <cell r="F517" t="str">
            <v>UF-2600i Ford Explorer</v>
          </cell>
          <cell r="G517">
            <v>5000</v>
          </cell>
          <cell r="H517" t="str">
            <v>Nacional</v>
          </cell>
          <cell r="I517">
            <v>8</v>
          </cell>
          <cell r="J517" t="str">
            <v>STD</v>
          </cell>
          <cell r="L517">
            <v>0</v>
          </cell>
          <cell r="M517">
            <v>0</v>
          </cell>
          <cell r="O517" t="str">
            <v>PERNO PARA PLACA DE CANAL DE CARGA</v>
          </cell>
        </row>
        <row r="518">
          <cell r="D518" t="str">
            <v>HTJA030051</v>
          </cell>
          <cell r="E518" t="str">
            <v>00806088</v>
          </cell>
          <cell r="F518" t="str">
            <v>UF-2600i Hyundai</v>
          </cell>
          <cell r="G518">
            <v>5000</v>
          </cell>
          <cell r="H518" t="str">
            <v>Nacional</v>
          </cell>
          <cell r="I518">
            <v>8</v>
          </cell>
          <cell r="J518" t="str">
            <v>STD</v>
          </cell>
          <cell r="L518">
            <v>0</v>
          </cell>
          <cell r="M518">
            <v>0</v>
          </cell>
          <cell r="O518" t="str">
            <v>PERNO PARA PLACA DE CANAL DE CARGA</v>
          </cell>
        </row>
        <row r="519">
          <cell r="D519" t="str">
            <v>HTJA030051</v>
          </cell>
          <cell r="E519" t="str">
            <v>10235857</v>
          </cell>
          <cell r="F519" t="str">
            <v>UF-2600i DNA (Preforma)</v>
          </cell>
          <cell r="G519">
            <v>5000</v>
          </cell>
          <cell r="H519" t="str">
            <v>Nacional</v>
          </cell>
          <cell r="I519">
            <v>8</v>
          </cell>
          <cell r="J519" t="str">
            <v>STD</v>
          </cell>
          <cell r="L519">
            <v>0</v>
          </cell>
          <cell r="M519">
            <v>0</v>
          </cell>
          <cell r="O519" t="str">
            <v>PERNO PARA PLACA DE CANAL DE CARGA</v>
          </cell>
        </row>
        <row r="520">
          <cell r="D520" t="str">
            <v>HTJA030051</v>
          </cell>
          <cell r="E520" t="str">
            <v>10018041</v>
          </cell>
          <cell r="F520" t="str">
            <v>UF-3300i W</v>
          </cell>
          <cell r="G520">
            <v>5000</v>
          </cell>
          <cell r="H520" t="str">
            <v>Nacional</v>
          </cell>
          <cell r="I520">
            <v>8</v>
          </cell>
          <cell r="J520" t="str">
            <v>STD</v>
          </cell>
          <cell r="L520">
            <v>14212.800000000001</v>
          </cell>
          <cell r="M520">
            <v>617.94782608695652</v>
          </cell>
          <cell r="O520" t="str">
            <v>PERNO PARA PLACA DE CANAL DE CARGA</v>
          </cell>
        </row>
        <row r="521">
          <cell r="D521" t="str">
            <v>HTJA030051</v>
          </cell>
          <cell r="E521" t="str">
            <v>10009621</v>
          </cell>
          <cell r="F521" t="str">
            <v>UF-4600i W</v>
          </cell>
          <cell r="G521">
            <v>5000</v>
          </cell>
          <cell r="H521" t="str">
            <v>Nacional</v>
          </cell>
          <cell r="I521">
            <v>8</v>
          </cell>
          <cell r="J521" t="str">
            <v>STD</v>
          </cell>
          <cell r="L521">
            <v>30182.199999999997</v>
          </cell>
          <cell r="M521">
            <v>1312.2695652173911</v>
          </cell>
          <cell r="O521" t="str">
            <v>PERNO PARA PLACA DE CANAL DE CARGA</v>
          </cell>
        </row>
        <row r="522">
          <cell r="D522" t="str">
            <v>HTJA030051</v>
          </cell>
          <cell r="E522" t="str">
            <v>7056050202</v>
          </cell>
          <cell r="F522" t="str">
            <v>A4 RF-91 Concept One</v>
          </cell>
          <cell r="G522">
            <v>5000</v>
          </cell>
          <cell r="H522" t="str">
            <v>Nacional</v>
          </cell>
          <cell r="I522">
            <v>8</v>
          </cell>
          <cell r="J522" t="str">
            <v>STD</v>
          </cell>
          <cell r="L522">
            <v>0</v>
          </cell>
          <cell r="M522">
            <v>0</v>
          </cell>
          <cell r="O522" t="str">
            <v>PERNO PARA PLACA DE CANAL DE CARGA</v>
          </cell>
        </row>
        <row r="523">
          <cell r="D523" t="str">
            <v>HTJA030051</v>
          </cell>
          <cell r="E523" t="str">
            <v>7174050203</v>
          </cell>
          <cell r="F523" t="str">
            <v>A4 RF-95</v>
          </cell>
          <cell r="G523">
            <v>5000</v>
          </cell>
          <cell r="H523" t="str">
            <v>Nacional</v>
          </cell>
          <cell r="I523">
            <v>8</v>
          </cell>
          <cell r="J523" t="str">
            <v>STD</v>
          </cell>
          <cell r="L523">
            <v>6412.2000000000007</v>
          </cell>
          <cell r="M523">
            <v>278.7913043478261</v>
          </cell>
          <cell r="O523" t="str">
            <v>PERNO PARA PLACA DE CANAL DE CARGA</v>
          </cell>
        </row>
        <row r="524">
          <cell r="D524" t="str">
            <v>HTJA030054</v>
          </cell>
          <cell r="E524" t="str">
            <v>8647050233</v>
          </cell>
          <cell r="F524" t="str">
            <v>AC-2000i Honda Acura</v>
          </cell>
          <cell r="G524">
            <v>500000</v>
          </cell>
          <cell r="H524" t="str">
            <v>Profirrol</v>
          </cell>
          <cell r="I524">
            <v>10</v>
          </cell>
          <cell r="J524" t="str">
            <v>STD</v>
          </cell>
          <cell r="L524">
            <v>74801.200000000012</v>
          </cell>
          <cell r="M524">
            <v>3252.2260869565221</v>
          </cell>
          <cell r="O524" t="str">
            <v>PLACA DOSIFICADOR DE CANAL</v>
          </cell>
        </row>
        <row r="525">
          <cell r="D525" t="str">
            <v>HTJA030054</v>
          </cell>
          <cell r="E525" t="str">
            <v>10232841</v>
          </cell>
          <cell r="F525" t="str">
            <v>AC-2000i DNA (Preforma)</v>
          </cell>
          <cell r="G525">
            <v>500000</v>
          </cell>
          <cell r="H525" t="str">
            <v>Profirrol</v>
          </cell>
          <cell r="I525">
            <v>10</v>
          </cell>
          <cell r="J525" t="str">
            <v>STD</v>
          </cell>
          <cell r="L525">
            <v>101200</v>
          </cell>
          <cell r="M525">
            <v>4400</v>
          </cell>
          <cell r="O525" t="str">
            <v>PLACA DOSIFICADOR DE CANAL</v>
          </cell>
        </row>
        <row r="526">
          <cell r="D526" t="str">
            <v>HTJA030054</v>
          </cell>
          <cell r="E526" t="str">
            <v>4302091005</v>
          </cell>
          <cell r="F526" t="str">
            <v>C-2000 PL-BODY</v>
          </cell>
          <cell r="G526">
            <v>500000</v>
          </cell>
          <cell r="H526" t="str">
            <v>Profirrol</v>
          </cell>
          <cell r="I526">
            <v>10</v>
          </cell>
          <cell r="J526" t="str">
            <v>STD</v>
          </cell>
          <cell r="L526">
            <v>1811</v>
          </cell>
          <cell r="M526">
            <v>78.739130434782609</v>
          </cell>
          <cell r="O526" t="str">
            <v>PLACA DOSIFICADOR DE CANAL</v>
          </cell>
        </row>
        <row r="527">
          <cell r="D527" t="str">
            <v>HTJA030054</v>
          </cell>
          <cell r="E527" t="str">
            <v>7324050215</v>
          </cell>
          <cell r="F527" t="str">
            <v>AC-2300i PT-44</v>
          </cell>
          <cell r="G527">
            <v>500000</v>
          </cell>
          <cell r="H527" t="str">
            <v>Profirrol</v>
          </cell>
          <cell r="I527">
            <v>10</v>
          </cell>
          <cell r="J527" t="str">
            <v>STD</v>
          </cell>
          <cell r="L527">
            <v>44731.400000000009</v>
          </cell>
          <cell r="M527">
            <v>1944.8434782608699</v>
          </cell>
          <cell r="O527" t="str">
            <v>PLACA DOSIFICADOR DE CANAL</v>
          </cell>
        </row>
        <row r="528">
          <cell r="D528" t="str">
            <v>HTJA030054</v>
          </cell>
          <cell r="E528" t="str">
            <v>10226750</v>
          </cell>
          <cell r="F528" t="str">
            <v>AC-2300i DNA (Preforma)</v>
          </cell>
          <cell r="G528">
            <v>500000</v>
          </cell>
          <cell r="H528" t="str">
            <v>Profirrol</v>
          </cell>
          <cell r="I528">
            <v>10</v>
          </cell>
          <cell r="J528" t="str">
            <v>STD</v>
          </cell>
          <cell r="L528">
            <v>49420.800000000003</v>
          </cell>
          <cell r="M528">
            <v>2148.7304347826089</v>
          </cell>
          <cell r="O528" t="str">
            <v>PLACA DOSIFICADOR DE CANAL</v>
          </cell>
        </row>
        <row r="529">
          <cell r="D529" t="str">
            <v>HTJA030054</v>
          </cell>
          <cell r="E529" t="str">
            <v>7553050217</v>
          </cell>
          <cell r="F529" t="str">
            <v>AC-2600i PT-Turbo</v>
          </cell>
          <cell r="G529">
            <v>500000</v>
          </cell>
          <cell r="H529" t="str">
            <v>Profirrol</v>
          </cell>
          <cell r="I529">
            <v>10</v>
          </cell>
          <cell r="J529" t="str">
            <v>STD</v>
          </cell>
          <cell r="L529">
            <v>34957.999999999993</v>
          </cell>
          <cell r="M529">
            <v>1519.9130434782605</v>
          </cell>
          <cell r="O529" t="str">
            <v>PLACA DOSIFICADOR DE CANAL</v>
          </cell>
        </row>
        <row r="530">
          <cell r="D530" t="str">
            <v>HTJA030054</v>
          </cell>
          <cell r="E530" t="str">
            <v>10001024R</v>
          </cell>
          <cell r="F530" t="str">
            <v>AC-2600i Ford Escape</v>
          </cell>
          <cell r="G530">
            <v>500000</v>
          </cell>
          <cell r="H530" t="str">
            <v>Profirrol</v>
          </cell>
          <cell r="I530">
            <v>10</v>
          </cell>
          <cell r="J530" t="str">
            <v>STD</v>
          </cell>
          <cell r="L530">
            <v>56501.200000000004</v>
          </cell>
          <cell r="M530">
            <v>2456.5739130434786</v>
          </cell>
          <cell r="O530" t="str">
            <v>PLACA DOSIFICADOR DE CANAL</v>
          </cell>
        </row>
        <row r="531">
          <cell r="D531" t="str">
            <v>HTJA030054</v>
          </cell>
          <cell r="E531" t="str">
            <v>10226752</v>
          </cell>
          <cell r="F531" t="str">
            <v>AC-2600i DNA (Preforma)</v>
          </cell>
          <cell r="G531">
            <v>500000</v>
          </cell>
          <cell r="H531" t="str">
            <v>Profirrol</v>
          </cell>
          <cell r="I531">
            <v>10</v>
          </cell>
          <cell r="J531" t="str">
            <v>STD</v>
          </cell>
          <cell r="L531">
            <v>26784</v>
          </cell>
          <cell r="M531">
            <v>1164.5217391304348</v>
          </cell>
          <cell r="O531" t="str">
            <v>PLACA DOSIFICADOR DE CANAL</v>
          </cell>
        </row>
        <row r="532">
          <cell r="D532" t="str">
            <v>HTJA030054</v>
          </cell>
          <cell r="E532" t="str">
            <v>10054551</v>
          </cell>
          <cell r="F532" t="str">
            <v>AC-2650 JC49 / GS PLT / DNA</v>
          </cell>
          <cell r="G532">
            <v>500000</v>
          </cell>
          <cell r="H532" t="str">
            <v>Profirrol</v>
          </cell>
          <cell r="I532">
            <v>10</v>
          </cell>
          <cell r="J532" t="str">
            <v>STD</v>
          </cell>
          <cell r="L532">
            <v>7516.4</v>
          </cell>
          <cell r="M532">
            <v>326.8</v>
          </cell>
          <cell r="O532" t="str">
            <v>PLACA DOSIFICADOR DE CANAL</v>
          </cell>
        </row>
        <row r="533">
          <cell r="D533" t="str">
            <v>HTJA030054</v>
          </cell>
          <cell r="E533" t="str">
            <v>10226751</v>
          </cell>
          <cell r="F533" t="str">
            <v>AC-2650 DNA</v>
          </cell>
          <cell r="G533">
            <v>500000</v>
          </cell>
          <cell r="H533" t="str">
            <v>Profirrol</v>
          </cell>
          <cell r="I533">
            <v>10</v>
          </cell>
          <cell r="J533" t="str">
            <v>STD</v>
          </cell>
          <cell r="L533">
            <v>14227.2</v>
          </cell>
          <cell r="M533">
            <v>618.57391304347834</v>
          </cell>
          <cell r="O533" t="str">
            <v>PLACA DOSIFICADOR DE CANAL</v>
          </cell>
        </row>
        <row r="534">
          <cell r="D534" t="str">
            <v>HTJA030054</v>
          </cell>
          <cell r="E534" t="str">
            <v>8152050226</v>
          </cell>
          <cell r="F534" t="str">
            <v>UF-2600i PQ-35 VW</v>
          </cell>
          <cell r="G534">
            <v>500000</v>
          </cell>
          <cell r="H534" t="str">
            <v>Profirrol</v>
          </cell>
          <cell r="I534">
            <v>10</v>
          </cell>
          <cell r="J534" t="str">
            <v>STD</v>
          </cell>
          <cell r="L534">
            <v>67111.400000000023</v>
          </cell>
          <cell r="M534">
            <v>2917.8869565217401</v>
          </cell>
          <cell r="O534" t="str">
            <v>PLACA DOSIFICADOR DE CANAL</v>
          </cell>
        </row>
        <row r="535">
          <cell r="D535" t="str">
            <v>HTJA030054</v>
          </cell>
          <cell r="E535" t="str">
            <v>10060762</v>
          </cell>
          <cell r="F535" t="str">
            <v>UF-2600i Ford Explorer</v>
          </cell>
          <cell r="G535">
            <v>500000</v>
          </cell>
          <cell r="H535" t="str">
            <v>Profirrol</v>
          </cell>
          <cell r="I535">
            <v>10</v>
          </cell>
          <cell r="J535" t="str">
            <v>STD</v>
          </cell>
          <cell r="L535">
            <v>0</v>
          </cell>
          <cell r="M535">
            <v>0</v>
          </cell>
          <cell r="O535" t="str">
            <v>PLACA DOSIFICADOR DE CANAL</v>
          </cell>
        </row>
        <row r="536">
          <cell r="D536" t="str">
            <v>HTJA030054</v>
          </cell>
          <cell r="E536" t="str">
            <v>00806088</v>
          </cell>
          <cell r="F536" t="str">
            <v>UF-2600i Hyundai</v>
          </cell>
          <cell r="G536">
            <v>500000</v>
          </cell>
          <cell r="H536" t="str">
            <v>Profirrol</v>
          </cell>
          <cell r="I536">
            <v>10</v>
          </cell>
          <cell r="J536" t="str">
            <v>STD</v>
          </cell>
          <cell r="L536">
            <v>0</v>
          </cell>
          <cell r="M536">
            <v>0</v>
          </cell>
          <cell r="O536" t="str">
            <v>PLACA DOSIFICADOR DE CANAL</v>
          </cell>
        </row>
        <row r="537">
          <cell r="D537" t="str">
            <v>HTJA030054</v>
          </cell>
          <cell r="E537" t="str">
            <v>10235857</v>
          </cell>
          <cell r="F537" t="str">
            <v>UF-2600i DNA (Preforma)</v>
          </cell>
          <cell r="G537">
            <v>500000</v>
          </cell>
          <cell r="H537" t="str">
            <v>Profirrol</v>
          </cell>
          <cell r="I537">
            <v>10</v>
          </cell>
          <cell r="J537" t="str">
            <v>STD</v>
          </cell>
          <cell r="L537">
            <v>0</v>
          </cell>
          <cell r="M537">
            <v>0</v>
          </cell>
          <cell r="O537" t="str">
            <v>PLACA DOSIFICADOR DE CANAL</v>
          </cell>
        </row>
        <row r="538">
          <cell r="D538" t="str">
            <v>HTJA030054</v>
          </cell>
          <cell r="E538" t="str">
            <v>10018041</v>
          </cell>
          <cell r="F538" t="str">
            <v>UF-3300i W</v>
          </cell>
          <cell r="G538">
            <v>500000</v>
          </cell>
          <cell r="H538" t="str">
            <v>Profirrol</v>
          </cell>
          <cell r="I538">
            <v>10</v>
          </cell>
          <cell r="J538" t="str">
            <v>STD</v>
          </cell>
          <cell r="L538">
            <v>14212.800000000001</v>
          </cell>
          <cell r="M538">
            <v>617.94782608695652</v>
          </cell>
          <cell r="O538" t="str">
            <v>PLACA DOSIFICADOR DE CANAL</v>
          </cell>
        </row>
        <row r="539">
          <cell r="D539" t="str">
            <v>HTJA030054</v>
          </cell>
          <cell r="E539" t="str">
            <v>10009621</v>
          </cell>
          <cell r="F539" t="str">
            <v>UF-4600i W</v>
          </cell>
          <cell r="G539">
            <v>500000</v>
          </cell>
          <cell r="H539" t="str">
            <v>Profirrol</v>
          </cell>
          <cell r="I539">
            <v>10</v>
          </cell>
          <cell r="J539" t="str">
            <v>STD</v>
          </cell>
          <cell r="L539">
            <v>30182.199999999997</v>
          </cell>
          <cell r="M539">
            <v>1312.2695652173911</v>
          </cell>
          <cell r="O539" t="str">
            <v>PLACA DOSIFICADOR DE CANAL</v>
          </cell>
        </row>
        <row r="540">
          <cell r="D540" t="str">
            <v>HTJA030054</v>
          </cell>
          <cell r="E540" t="str">
            <v>7056050202</v>
          </cell>
          <cell r="F540" t="str">
            <v>A4 RF-91 Concept One</v>
          </cell>
          <cell r="G540">
            <v>500000</v>
          </cell>
          <cell r="H540" t="str">
            <v>Profirrol</v>
          </cell>
          <cell r="I540">
            <v>10</v>
          </cell>
          <cell r="J540" t="str">
            <v>STD</v>
          </cell>
          <cell r="L540">
            <v>0</v>
          </cell>
          <cell r="M540">
            <v>0</v>
          </cell>
          <cell r="O540" t="str">
            <v>PLACA DOSIFICADOR DE CANAL</v>
          </cell>
        </row>
        <row r="541">
          <cell r="D541" t="str">
            <v>HTJA030054</v>
          </cell>
          <cell r="E541" t="str">
            <v>7174050203</v>
          </cell>
          <cell r="F541" t="str">
            <v>A4 RF-95</v>
          </cell>
          <cell r="G541">
            <v>500000</v>
          </cell>
          <cell r="H541" t="str">
            <v>Profirrol</v>
          </cell>
          <cell r="I541">
            <v>10</v>
          </cell>
          <cell r="J541" t="str">
            <v>STD</v>
          </cell>
          <cell r="L541">
            <v>6412.2000000000007</v>
          </cell>
          <cell r="M541">
            <v>278.7913043478261</v>
          </cell>
          <cell r="O541" t="str">
            <v>PLACA DOSIFICADOR DE CANAL</v>
          </cell>
        </row>
        <row r="542">
          <cell r="D542" t="str">
            <v>HTJA030055</v>
          </cell>
          <cell r="E542" t="str">
            <v>8647050233</v>
          </cell>
          <cell r="F542" t="str">
            <v>AC-2000i Honda Acura</v>
          </cell>
          <cell r="G542">
            <v>500000</v>
          </cell>
          <cell r="H542" t="str">
            <v>Profirrol</v>
          </cell>
          <cell r="I542">
            <v>10</v>
          </cell>
          <cell r="J542" t="str">
            <v>STD</v>
          </cell>
          <cell r="L542">
            <v>74801.200000000012</v>
          </cell>
          <cell r="M542">
            <v>3252.2260869565221</v>
          </cell>
          <cell r="O542" t="str">
            <v>PLACA BASE DOSIFICADOR</v>
          </cell>
        </row>
        <row r="543">
          <cell r="D543" t="str">
            <v>HTJA030055</v>
          </cell>
          <cell r="E543" t="str">
            <v>10232841</v>
          </cell>
          <cell r="F543" t="str">
            <v>AC-2000i DNA (Preforma)</v>
          </cell>
          <cell r="G543">
            <v>500000</v>
          </cell>
          <cell r="H543" t="str">
            <v>Profirrol</v>
          </cell>
          <cell r="I543">
            <v>10</v>
          </cell>
          <cell r="J543" t="str">
            <v>STD</v>
          </cell>
          <cell r="L543">
            <v>101200</v>
          </cell>
          <cell r="M543">
            <v>4400</v>
          </cell>
          <cell r="O543" t="str">
            <v>PLACA BASE DOSIFICADOR</v>
          </cell>
        </row>
        <row r="544">
          <cell r="D544" t="str">
            <v>HTJA030055</v>
          </cell>
          <cell r="E544" t="str">
            <v>4302091005</v>
          </cell>
          <cell r="F544" t="str">
            <v>C-2000 PL-BODY</v>
          </cell>
          <cell r="G544">
            <v>500000</v>
          </cell>
          <cell r="H544" t="str">
            <v>Profirrol</v>
          </cell>
          <cell r="I544">
            <v>10</v>
          </cell>
          <cell r="J544" t="str">
            <v>STD</v>
          </cell>
          <cell r="L544">
            <v>1811</v>
          </cell>
          <cell r="M544">
            <v>78.739130434782609</v>
          </cell>
          <cell r="O544" t="str">
            <v>PLACA BASE DOSIFICADOR</v>
          </cell>
        </row>
        <row r="545">
          <cell r="D545" t="str">
            <v>HTJA030055</v>
          </cell>
          <cell r="E545" t="str">
            <v>7324050215</v>
          </cell>
          <cell r="F545" t="str">
            <v>AC-2300i PT-44</v>
          </cell>
          <cell r="G545">
            <v>500000</v>
          </cell>
          <cell r="H545" t="str">
            <v>Profirrol</v>
          </cell>
          <cell r="I545">
            <v>10</v>
          </cell>
          <cell r="J545" t="str">
            <v>STD</v>
          </cell>
          <cell r="L545">
            <v>44731.400000000009</v>
          </cell>
          <cell r="M545">
            <v>1944.8434782608699</v>
          </cell>
          <cell r="O545" t="str">
            <v>PLACA BASE DOSIFICADOR</v>
          </cell>
        </row>
        <row r="546">
          <cell r="D546" t="str">
            <v>HTJA030055</v>
          </cell>
          <cell r="E546" t="str">
            <v>10226750</v>
          </cell>
          <cell r="F546" t="str">
            <v>AC-2300i DNA (Preforma)</v>
          </cell>
          <cell r="G546">
            <v>500000</v>
          </cell>
          <cell r="H546" t="str">
            <v>Profirrol</v>
          </cell>
          <cell r="I546">
            <v>10</v>
          </cell>
          <cell r="J546" t="str">
            <v>STD</v>
          </cell>
          <cell r="L546">
            <v>49420.800000000003</v>
          </cell>
          <cell r="M546">
            <v>2148.7304347826089</v>
          </cell>
          <cell r="O546" t="str">
            <v>PLACA BASE DOSIFICADOR</v>
          </cell>
        </row>
        <row r="547">
          <cell r="D547" t="str">
            <v>HTJA030055</v>
          </cell>
          <cell r="E547" t="str">
            <v>7553050217</v>
          </cell>
          <cell r="F547" t="str">
            <v>AC-2600i PT-Turbo</v>
          </cell>
          <cell r="G547">
            <v>500000</v>
          </cell>
          <cell r="H547" t="str">
            <v>Profirrol</v>
          </cell>
          <cell r="I547">
            <v>10</v>
          </cell>
          <cell r="J547" t="str">
            <v>STD</v>
          </cell>
          <cell r="L547">
            <v>34957.999999999993</v>
          </cell>
          <cell r="M547">
            <v>1519.9130434782605</v>
          </cell>
          <cell r="O547" t="str">
            <v>PLACA BASE DOSIFICADOR</v>
          </cell>
        </row>
        <row r="548">
          <cell r="D548" t="str">
            <v>HTJA030055</v>
          </cell>
          <cell r="E548" t="str">
            <v>10001024R</v>
          </cell>
          <cell r="F548" t="str">
            <v>AC-2600i Ford Escape</v>
          </cell>
          <cell r="G548">
            <v>500000</v>
          </cell>
          <cell r="H548" t="str">
            <v>Profirrol</v>
          </cell>
          <cell r="I548">
            <v>10</v>
          </cell>
          <cell r="J548" t="str">
            <v>STD</v>
          </cell>
          <cell r="L548">
            <v>56501.200000000004</v>
          </cell>
          <cell r="M548">
            <v>2456.5739130434786</v>
          </cell>
          <cell r="O548" t="str">
            <v>PLACA BASE DOSIFICADOR</v>
          </cell>
        </row>
        <row r="549">
          <cell r="D549" t="str">
            <v>HTJA030055</v>
          </cell>
          <cell r="E549" t="str">
            <v>10226752</v>
          </cell>
          <cell r="F549" t="str">
            <v>AC-2600i DNA (Preforma)</v>
          </cell>
          <cell r="G549">
            <v>500000</v>
          </cell>
          <cell r="H549" t="str">
            <v>Profirrol</v>
          </cell>
          <cell r="I549">
            <v>10</v>
          </cell>
          <cell r="J549" t="str">
            <v>STD</v>
          </cell>
          <cell r="L549">
            <v>26784</v>
          </cell>
          <cell r="M549">
            <v>1164.5217391304348</v>
          </cell>
          <cell r="O549" t="str">
            <v>PLACA BASE DOSIFICADOR</v>
          </cell>
        </row>
        <row r="550">
          <cell r="D550" t="str">
            <v>HTJA030055</v>
          </cell>
          <cell r="E550" t="str">
            <v>10054551</v>
          </cell>
          <cell r="F550" t="str">
            <v>AC-2650 JC49 / GS PLT / DNA</v>
          </cell>
          <cell r="G550">
            <v>500000</v>
          </cell>
          <cell r="H550" t="str">
            <v>Profirrol</v>
          </cell>
          <cell r="I550">
            <v>10</v>
          </cell>
          <cell r="J550" t="str">
            <v>STD</v>
          </cell>
          <cell r="L550">
            <v>7516.4</v>
          </cell>
          <cell r="M550">
            <v>326.8</v>
          </cell>
          <cell r="O550" t="str">
            <v>PLACA BASE DOSIFICADOR</v>
          </cell>
        </row>
        <row r="551">
          <cell r="D551" t="str">
            <v>HTJA030055</v>
          </cell>
          <cell r="E551" t="str">
            <v>10226751</v>
          </cell>
          <cell r="F551" t="str">
            <v>AC-2650 DNA</v>
          </cell>
          <cell r="G551">
            <v>500000</v>
          </cell>
          <cell r="H551" t="str">
            <v>Profirrol</v>
          </cell>
          <cell r="I551">
            <v>10</v>
          </cell>
          <cell r="J551" t="str">
            <v>STD</v>
          </cell>
          <cell r="L551">
            <v>14227.2</v>
          </cell>
          <cell r="M551">
            <v>618.57391304347834</v>
          </cell>
          <cell r="O551" t="str">
            <v>PLACA BASE DOSIFICADOR</v>
          </cell>
        </row>
        <row r="552">
          <cell r="D552" t="str">
            <v>HTJA030055</v>
          </cell>
          <cell r="E552" t="str">
            <v>8152050226</v>
          </cell>
          <cell r="F552" t="str">
            <v>UF-2600i PQ-35 VW</v>
          </cell>
          <cell r="G552">
            <v>500000</v>
          </cell>
          <cell r="H552" t="str">
            <v>Profirrol</v>
          </cell>
          <cell r="I552">
            <v>10</v>
          </cell>
          <cell r="J552" t="str">
            <v>STD</v>
          </cell>
          <cell r="L552">
            <v>67111.400000000023</v>
          </cell>
          <cell r="M552">
            <v>2917.8869565217401</v>
          </cell>
          <cell r="O552" t="str">
            <v>PLACA BASE DOSIFICADOR</v>
          </cell>
        </row>
        <row r="553">
          <cell r="D553" t="str">
            <v>HTJA030055</v>
          </cell>
          <cell r="E553" t="str">
            <v>10060762</v>
          </cell>
          <cell r="F553" t="str">
            <v>UF-2600i Ford Explorer</v>
          </cell>
          <cell r="G553">
            <v>500000</v>
          </cell>
          <cell r="H553" t="str">
            <v>Profirrol</v>
          </cell>
          <cell r="I553">
            <v>10</v>
          </cell>
          <cell r="J553" t="str">
            <v>STD</v>
          </cell>
          <cell r="L553">
            <v>0</v>
          </cell>
          <cell r="M553">
            <v>0</v>
          </cell>
          <cell r="O553" t="str">
            <v>PLACA BASE DOSIFICADOR</v>
          </cell>
        </row>
        <row r="554">
          <cell r="D554" t="str">
            <v>HTJA030055</v>
          </cell>
          <cell r="E554" t="str">
            <v>00806088</v>
          </cell>
          <cell r="F554" t="str">
            <v>UF-2600i Hyundai</v>
          </cell>
          <cell r="G554">
            <v>500000</v>
          </cell>
          <cell r="H554" t="str">
            <v>Profirrol</v>
          </cell>
          <cell r="I554">
            <v>10</v>
          </cell>
          <cell r="J554" t="str">
            <v>STD</v>
          </cell>
          <cell r="L554">
            <v>0</v>
          </cell>
          <cell r="M554">
            <v>0</v>
          </cell>
          <cell r="O554" t="str">
            <v>PLACA BASE DOSIFICADOR</v>
          </cell>
        </row>
        <row r="555">
          <cell r="D555" t="str">
            <v>HTJA030055</v>
          </cell>
          <cell r="E555" t="str">
            <v>10235857</v>
          </cell>
          <cell r="F555" t="str">
            <v>UF-2600i DNA (Preforma)</v>
          </cell>
          <cell r="G555">
            <v>500000</v>
          </cell>
          <cell r="H555" t="str">
            <v>Profirrol</v>
          </cell>
          <cell r="I555">
            <v>10</v>
          </cell>
          <cell r="J555" t="str">
            <v>STD</v>
          </cell>
          <cell r="L555">
            <v>0</v>
          </cell>
          <cell r="M555">
            <v>0</v>
          </cell>
          <cell r="O555" t="str">
            <v>PLACA BASE DOSIFICADOR</v>
          </cell>
        </row>
        <row r="556">
          <cell r="D556" t="str">
            <v>HTJA030055</v>
          </cell>
          <cell r="E556" t="str">
            <v>10018041</v>
          </cell>
          <cell r="F556" t="str">
            <v>UF-3300i W</v>
          </cell>
          <cell r="G556">
            <v>500000</v>
          </cell>
          <cell r="H556" t="str">
            <v>Profirrol</v>
          </cell>
          <cell r="I556">
            <v>10</v>
          </cell>
          <cell r="J556" t="str">
            <v>STD</v>
          </cell>
          <cell r="L556">
            <v>14212.800000000001</v>
          </cell>
          <cell r="M556">
            <v>617.94782608695652</v>
          </cell>
          <cell r="O556" t="str">
            <v>PLACA BASE DOSIFICADOR</v>
          </cell>
        </row>
        <row r="557">
          <cell r="D557" t="str">
            <v>HTJA030055</v>
          </cell>
          <cell r="E557" t="str">
            <v>10009621</v>
          </cell>
          <cell r="F557" t="str">
            <v>UF-4600i W</v>
          </cell>
          <cell r="G557">
            <v>500000</v>
          </cell>
          <cell r="H557" t="str">
            <v>Profirrol</v>
          </cell>
          <cell r="I557">
            <v>10</v>
          </cell>
          <cell r="J557" t="str">
            <v>STD</v>
          </cell>
          <cell r="L557">
            <v>30182.199999999997</v>
          </cell>
          <cell r="M557">
            <v>1312.2695652173911</v>
          </cell>
          <cell r="O557" t="str">
            <v>PLACA BASE DOSIFICADOR</v>
          </cell>
        </row>
        <row r="558">
          <cell r="D558" t="str">
            <v>HTJA030055</v>
          </cell>
          <cell r="E558" t="str">
            <v>7056050202</v>
          </cell>
          <cell r="F558" t="str">
            <v>A4 RF-91 Concept One</v>
          </cell>
          <cell r="G558">
            <v>500000</v>
          </cell>
          <cell r="H558" t="str">
            <v>Profirrol</v>
          </cell>
          <cell r="I558">
            <v>10</v>
          </cell>
          <cell r="J558" t="str">
            <v>STD</v>
          </cell>
          <cell r="L558">
            <v>0</v>
          </cell>
          <cell r="M558">
            <v>0</v>
          </cell>
          <cell r="O558" t="str">
            <v>PLACA BASE DOSIFICADOR</v>
          </cell>
        </row>
        <row r="559">
          <cell r="D559" t="str">
            <v>HTJA030055</v>
          </cell>
          <cell r="E559" t="str">
            <v>7174050203</v>
          </cell>
          <cell r="F559" t="str">
            <v>A4 RF-95</v>
          </cell>
          <cell r="G559">
            <v>500000</v>
          </cell>
          <cell r="H559" t="str">
            <v>Profirrol</v>
          </cell>
          <cell r="I559">
            <v>10</v>
          </cell>
          <cell r="J559" t="str">
            <v>STD</v>
          </cell>
          <cell r="L559">
            <v>6412.2000000000007</v>
          </cell>
          <cell r="M559">
            <v>278.7913043478261</v>
          </cell>
          <cell r="O559" t="str">
            <v>PLACA BASE DOSIFICADOR</v>
          </cell>
        </row>
        <row r="560">
          <cell r="D560" t="str">
            <v>HTJA030064</v>
          </cell>
          <cell r="E560" t="str">
            <v>8647050233</v>
          </cell>
          <cell r="F560" t="str">
            <v>AC-2000i Honda Acura</v>
          </cell>
          <cell r="G560">
            <v>50000</v>
          </cell>
          <cell r="H560" t="str">
            <v>Profirrol</v>
          </cell>
          <cell r="I560">
            <v>30</v>
          </cell>
          <cell r="J560" t="str">
            <v>STD</v>
          </cell>
          <cell r="L560">
            <v>74729.200000000012</v>
          </cell>
          <cell r="M560">
            <v>3249.0956521739135</v>
          </cell>
          <cell r="O560" t="str">
            <v>TORNILLO DE CANAL</v>
          </cell>
        </row>
        <row r="561">
          <cell r="D561" t="str">
            <v>HTJA030064</v>
          </cell>
          <cell r="E561" t="str">
            <v>10232841</v>
          </cell>
          <cell r="F561" t="str">
            <v>AC-2000i DNA (Preforma)</v>
          </cell>
          <cell r="G561">
            <v>50000</v>
          </cell>
          <cell r="H561" t="str">
            <v>Profirrol</v>
          </cell>
          <cell r="I561">
            <v>30</v>
          </cell>
          <cell r="J561" t="str">
            <v>STD</v>
          </cell>
          <cell r="L561">
            <v>99000</v>
          </cell>
          <cell r="M561">
            <v>4304.347826086957</v>
          </cell>
          <cell r="O561" t="str">
            <v>TORNILLO DE CANAL</v>
          </cell>
        </row>
        <row r="562">
          <cell r="D562" t="str">
            <v>HTJA030064</v>
          </cell>
          <cell r="E562" t="str">
            <v>4302091005</v>
          </cell>
          <cell r="F562" t="str">
            <v>C-2000 PL-BODY</v>
          </cell>
          <cell r="G562">
            <v>50000</v>
          </cell>
          <cell r="H562" t="str">
            <v>Profirrol</v>
          </cell>
          <cell r="I562">
            <v>30</v>
          </cell>
          <cell r="J562" t="str">
            <v>STD</v>
          </cell>
          <cell r="L562">
            <v>0</v>
          </cell>
          <cell r="M562">
            <v>0</v>
          </cell>
          <cell r="O562" t="str">
            <v>TORNILLO DE CANAL</v>
          </cell>
        </row>
        <row r="563">
          <cell r="D563" t="str">
            <v>HTJA030064</v>
          </cell>
          <cell r="E563" t="str">
            <v>7324050215</v>
          </cell>
          <cell r="F563" t="str">
            <v>AC-2300i PT-44</v>
          </cell>
          <cell r="G563">
            <v>50000</v>
          </cell>
          <cell r="H563" t="str">
            <v>Profirrol</v>
          </cell>
          <cell r="I563">
            <v>30</v>
          </cell>
          <cell r="J563" t="str">
            <v>STD</v>
          </cell>
          <cell r="L563">
            <v>58512.600000000006</v>
          </cell>
          <cell r="M563">
            <v>2544.0260869565218</v>
          </cell>
          <cell r="O563" t="str">
            <v>TORNILLO DE CANAL</v>
          </cell>
        </row>
        <row r="564">
          <cell r="D564" t="str">
            <v>HTJA030064</v>
          </cell>
          <cell r="E564" t="str">
            <v>10226750</v>
          </cell>
          <cell r="F564" t="str">
            <v>AC-2300i DNA (Preforma)</v>
          </cell>
          <cell r="G564">
            <v>50000</v>
          </cell>
          <cell r="H564" t="str">
            <v>Profirrol</v>
          </cell>
          <cell r="I564">
            <v>30</v>
          </cell>
          <cell r="J564" t="str">
            <v>STD</v>
          </cell>
          <cell r="L564">
            <v>52509.599999999999</v>
          </cell>
          <cell r="M564">
            <v>2283.0260869565218</v>
          </cell>
          <cell r="O564" t="str">
            <v>TORNILLO DE CANAL</v>
          </cell>
        </row>
        <row r="565">
          <cell r="D565" t="str">
            <v>HTJA030064</v>
          </cell>
          <cell r="E565" t="str">
            <v>7553050217</v>
          </cell>
          <cell r="F565" t="str">
            <v>AC-2600i PT-Turbo</v>
          </cell>
          <cell r="G565">
            <v>50000</v>
          </cell>
          <cell r="H565" t="str">
            <v>Profirrol</v>
          </cell>
          <cell r="I565">
            <v>30</v>
          </cell>
          <cell r="J565" t="str">
            <v>STD</v>
          </cell>
          <cell r="L565">
            <v>37981.199999999997</v>
          </cell>
          <cell r="M565">
            <v>1651.3565217391304</v>
          </cell>
          <cell r="O565" t="str">
            <v>TORNILLO DE CANAL</v>
          </cell>
        </row>
        <row r="566">
          <cell r="D566" t="str">
            <v>HTJA030064</v>
          </cell>
          <cell r="E566" t="str">
            <v>10001024R</v>
          </cell>
          <cell r="F566" t="str">
            <v>AC-2600i Ford Escape</v>
          </cell>
          <cell r="G566">
            <v>50000</v>
          </cell>
          <cell r="H566" t="str">
            <v>Profirrol</v>
          </cell>
          <cell r="I566">
            <v>30</v>
          </cell>
          <cell r="J566" t="str">
            <v>STD</v>
          </cell>
          <cell r="L566">
            <v>59203</v>
          </cell>
          <cell r="M566">
            <v>2574.0434782608695</v>
          </cell>
          <cell r="O566" t="str">
            <v>TORNILLO DE CANAL</v>
          </cell>
        </row>
        <row r="567">
          <cell r="D567" t="str">
            <v>HTJA030064</v>
          </cell>
          <cell r="E567" t="str">
            <v>10226752</v>
          </cell>
          <cell r="F567" t="str">
            <v>AC-2600i DNA (Preforma)</v>
          </cell>
          <cell r="G567">
            <v>50000</v>
          </cell>
          <cell r="H567" t="str">
            <v>Profirrol</v>
          </cell>
          <cell r="I567">
            <v>30</v>
          </cell>
          <cell r="J567" t="str">
            <v>STD</v>
          </cell>
          <cell r="L567">
            <v>31536</v>
          </cell>
          <cell r="M567">
            <v>1371.1304347826087</v>
          </cell>
          <cell r="O567" t="str">
            <v>TORNILLO DE CANAL</v>
          </cell>
        </row>
        <row r="568">
          <cell r="D568" t="str">
            <v>HTJA030064</v>
          </cell>
          <cell r="E568" t="str">
            <v>10054551</v>
          </cell>
          <cell r="F568" t="str">
            <v>AC-2650 JC49 / GS PLT / DNA</v>
          </cell>
          <cell r="G568">
            <v>50000</v>
          </cell>
          <cell r="H568" t="str">
            <v>Profirrol</v>
          </cell>
          <cell r="I568">
            <v>30</v>
          </cell>
          <cell r="J568" t="str">
            <v>STD</v>
          </cell>
          <cell r="L568">
            <v>11932</v>
          </cell>
          <cell r="M568">
            <v>518.78260869565213</v>
          </cell>
          <cell r="O568" t="str">
            <v>TORNILLO DE CANAL</v>
          </cell>
        </row>
        <row r="569">
          <cell r="D569" t="str">
            <v>HTJA030064</v>
          </cell>
          <cell r="E569" t="str">
            <v>10226751</v>
          </cell>
          <cell r="F569" t="str">
            <v>AC-2650 DNA</v>
          </cell>
          <cell r="G569">
            <v>50000</v>
          </cell>
          <cell r="H569" t="str">
            <v>Profirrol</v>
          </cell>
          <cell r="I569">
            <v>30</v>
          </cell>
          <cell r="J569" t="str">
            <v>STD</v>
          </cell>
          <cell r="L569">
            <v>24453</v>
          </cell>
          <cell r="M569">
            <v>1063.1739130434783</v>
          </cell>
          <cell r="O569" t="str">
            <v>TORNILLO DE CANAL</v>
          </cell>
        </row>
        <row r="570">
          <cell r="D570" t="str">
            <v>HTJA030064</v>
          </cell>
          <cell r="E570" t="str">
            <v>8152050226</v>
          </cell>
          <cell r="F570" t="str">
            <v>UF-2600i PQ-35 VW</v>
          </cell>
          <cell r="G570">
            <v>50000</v>
          </cell>
          <cell r="H570" t="str">
            <v>Profirrol</v>
          </cell>
          <cell r="I570">
            <v>30</v>
          </cell>
          <cell r="J570" t="str">
            <v>STD</v>
          </cell>
          <cell r="L570">
            <v>38227.399999999994</v>
          </cell>
          <cell r="M570">
            <v>1662.0608695652172</v>
          </cell>
          <cell r="O570" t="str">
            <v>TORNILLO DE CANAL</v>
          </cell>
        </row>
        <row r="571">
          <cell r="D571" t="str">
            <v>HTJA030064</v>
          </cell>
          <cell r="E571" t="str">
            <v>10060762</v>
          </cell>
          <cell r="F571" t="str">
            <v>UF-2600i Ford Explorer</v>
          </cell>
          <cell r="G571">
            <v>50000</v>
          </cell>
          <cell r="H571" t="str">
            <v>Profirrol</v>
          </cell>
          <cell r="I571">
            <v>30</v>
          </cell>
          <cell r="J571" t="str">
            <v>STD</v>
          </cell>
          <cell r="L571">
            <v>0</v>
          </cell>
          <cell r="M571">
            <v>0</v>
          </cell>
          <cell r="O571" t="str">
            <v>TORNILLO DE CANAL</v>
          </cell>
        </row>
        <row r="572">
          <cell r="D572" t="str">
            <v>HTJA030064</v>
          </cell>
          <cell r="E572" t="str">
            <v>00806088</v>
          </cell>
          <cell r="F572" t="str">
            <v>UF-2600i Hyundai</v>
          </cell>
          <cell r="G572">
            <v>50000</v>
          </cell>
          <cell r="H572" t="str">
            <v>Profirrol</v>
          </cell>
          <cell r="I572">
            <v>30</v>
          </cell>
          <cell r="J572" t="str">
            <v>STD</v>
          </cell>
          <cell r="L572">
            <v>0</v>
          </cell>
          <cell r="M572">
            <v>0</v>
          </cell>
          <cell r="O572" t="str">
            <v>TORNILLO DE CANAL</v>
          </cell>
        </row>
        <row r="573">
          <cell r="D573" t="str">
            <v>HTJA030064</v>
          </cell>
          <cell r="E573" t="str">
            <v>10235857</v>
          </cell>
          <cell r="F573" t="str">
            <v>UF-2600i DNA (Preforma)</v>
          </cell>
          <cell r="G573">
            <v>50000</v>
          </cell>
          <cell r="H573" t="str">
            <v>Profirrol</v>
          </cell>
          <cell r="I573">
            <v>30</v>
          </cell>
          <cell r="J573" t="str">
            <v>STD</v>
          </cell>
          <cell r="L573">
            <v>0</v>
          </cell>
          <cell r="M573">
            <v>0</v>
          </cell>
          <cell r="O573" t="str">
            <v>TORNILLO DE CANAL</v>
          </cell>
        </row>
        <row r="574">
          <cell r="D574" t="str">
            <v>HTJA030064</v>
          </cell>
          <cell r="E574" t="str">
            <v>10018041</v>
          </cell>
          <cell r="F574" t="str">
            <v>UF-3300i W</v>
          </cell>
          <cell r="G574">
            <v>50000</v>
          </cell>
          <cell r="H574" t="str">
            <v>Profirrol</v>
          </cell>
          <cell r="I574">
            <v>30</v>
          </cell>
          <cell r="J574" t="str">
            <v>STD</v>
          </cell>
          <cell r="L574">
            <v>13520.454678603319</v>
          </cell>
          <cell r="M574">
            <v>587.84585559144864</v>
          </cell>
          <cell r="O574" t="str">
            <v>TORNILLO DE CANAL</v>
          </cell>
        </row>
        <row r="575">
          <cell r="D575" t="str">
            <v>HTJA030064</v>
          </cell>
          <cell r="E575" t="str">
            <v>10009621</v>
          </cell>
          <cell r="F575" t="str">
            <v>UF-4600i W</v>
          </cell>
          <cell r="G575">
            <v>50000</v>
          </cell>
          <cell r="H575" t="str">
            <v>Profirrol</v>
          </cell>
          <cell r="I575">
            <v>30</v>
          </cell>
          <cell r="J575" t="str">
            <v>STD</v>
          </cell>
          <cell r="L575">
            <v>33932.483034337194</v>
          </cell>
          <cell r="M575">
            <v>1475.3253493190084</v>
          </cell>
          <cell r="O575" t="str">
            <v>TORNILLO DE CANAL</v>
          </cell>
        </row>
        <row r="576">
          <cell r="D576" t="str">
            <v>HTJA030064</v>
          </cell>
          <cell r="E576" t="str">
            <v>7056050202</v>
          </cell>
          <cell r="F576" t="str">
            <v>A4 RF-91 Concept One</v>
          </cell>
          <cell r="G576">
            <v>50000</v>
          </cell>
          <cell r="H576" t="str">
            <v>Profirrol</v>
          </cell>
          <cell r="I576">
            <v>30</v>
          </cell>
          <cell r="J576" t="str">
            <v>STD</v>
          </cell>
          <cell r="L576">
            <v>0</v>
          </cell>
          <cell r="M576">
            <v>0</v>
          </cell>
          <cell r="O576" t="str">
            <v>TORNILLO DE CANAL</v>
          </cell>
        </row>
        <row r="577">
          <cell r="D577" t="str">
            <v>HTJA030064</v>
          </cell>
          <cell r="E577" t="str">
            <v>7174050203</v>
          </cell>
          <cell r="F577" t="str">
            <v>A4 RF-95</v>
          </cell>
          <cell r="G577">
            <v>50000</v>
          </cell>
          <cell r="H577" t="str">
            <v>Profirrol</v>
          </cell>
          <cell r="I577">
            <v>30</v>
          </cell>
          <cell r="J577" t="str">
            <v>STD</v>
          </cell>
          <cell r="L577">
            <v>8133.6</v>
          </cell>
          <cell r="M577">
            <v>353.63478260869567</v>
          </cell>
          <cell r="O577" t="str">
            <v>TORNILLO DE CANAL</v>
          </cell>
        </row>
        <row r="578">
          <cell r="D578" t="str">
            <v>HTJA030067</v>
          </cell>
          <cell r="E578" t="str">
            <v>8647050233</v>
          </cell>
          <cell r="F578" t="str">
            <v>AC-2000i Honda Acura</v>
          </cell>
          <cell r="G578">
            <v>300000</v>
          </cell>
          <cell r="H578" t="str">
            <v>Profirrol</v>
          </cell>
          <cell r="I578">
            <v>30</v>
          </cell>
          <cell r="J578" t="str">
            <v>STD</v>
          </cell>
          <cell r="L578">
            <v>74729.200000000012</v>
          </cell>
          <cell r="M578">
            <v>3249.0956521739135</v>
          </cell>
          <cell r="O578" t="str">
            <v>BLOCK SOPORTE DE MANDRIL</v>
          </cell>
        </row>
        <row r="579">
          <cell r="D579" t="str">
            <v>HTJA030067</v>
          </cell>
          <cell r="E579" t="str">
            <v>10232841</v>
          </cell>
          <cell r="F579" t="str">
            <v>AC-2000i DNA (Preforma)</v>
          </cell>
          <cell r="G579">
            <v>300000</v>
          </cell>
          <cell r="H579" t="str">
            <v>Profirrol</v>
          </cell>
          <cell r="I579">
            <v>30</v>
          </cell>
          <cell r="J579" t="str">
            <v>STD</v>
          </cell>
          <cell r="L579">
            <v>99000</v>
          </cell>
          <cell r="M579">
            <v>4304.347826086957</v>
          </cell>
          <cell r="O579" t="str">
            <v>BLOCK SOPORTE DE MANDRIL</v>
          </cell>
        </row>
        <row r="580">
          <cell r="D580" t="str">
            <v>HTJA030067</v>
          </cell>
          <cell r="E580" t="str">
            <v>4302091005</v>
          </cell>
          <cell r="F580" t="str">
            <v>C-2000 PL-BODY</v>
          </cell>
          <cell r="G580">
            <v>300000</v>
          </cell>
          <cell r="H580" t="str">
            <v>Profirrol</v>
          </cell>
          <cell r="I580">
            <v>30</v>
          </cell>
          <cell r="J580" t="str">
            <v>STD</v>
          </cell>
          <cell r="L580">
            <v>0</v>
          </cell>
          <cell r="M580">
            <v>0</v>
          </cell>
          <cell r="O580" t="str">
            <v>BLOCK SOPORTE DE MANDRIL</v>
          </cell>
        </row>
        <row r="581">
          <cell r="D581" t="str">
            <v>HTJA030067</v>
          </cell>
          <cell r="E581" t="str">
            <v>7324050215</v>
          </cell>
          <cell r="F581" t="str">
            <v>AC-2300i PT-44</v>
          </cell>
          <cell r="G581">
            <v>300000</v>
          </cell>
          <cell r="H581" t="str">
            <v>Profirrol</v>
          </cell>
          <cell r="I581">
            <v>30</v>
          </cell>
          <cell r="J581" t="str">
            <v>STD</v>
          </cell>
          <cell r="L581">
            <v>58512.600000000006</v>
          </cell>
          <cell r="M581">
            <v>2544.0260869565218</v>
          </cell>
          <cell r="O581" t="str">
            <v>BLOCK SOPORTE DE MANDRIL</v>
          </cell>
        </row>
        <row r="582">
          <cell r="D582" t="str">
            <v>HTJA030067</v>
          </cell>
          <cell r="E582" t="str">
            <v>10226750</v>
          </cell>
          <cell r="F582" t="str">
            <v>AC-2300i DNA (Preforma)</v>
          </cell>
          <cell r="G582">
            <v>300000</v>
          </cell>
          <cell r="H582" t="str">
            <v>Profirrol</v>
          </cell>
          <cell r="I582">
            <v>30</v>
          </cell>
          <cell r="J582" t="str">
            <v>STD</v>
          </cell>
          <cell r="L582">
            <v>52509.599999999999</v>
          </cell>
          <cell r="M582">
            <v>2283.0260869565218</v>
          </cell>
          <cell r="O582" t="str">
            <v>BLOCK SOPORTE DE MANDRIL</v>
          </cell>
        </row>
        <row r="583">
          <cell r="D583" t="str">
            <v>HTJA030067</v>
          </cell>
          <cell r="E583" t="str">
            <v>7553050217</v>
          </cell>
          <cell r="F583" t="str">
            <v>AC-2600i PT-Turbo</v>
          </cell>
          <cell r="G583">
            <v>300000</v>
          </cell>
          <cell r="H583" t="str">
            <v>Profirrol</v>
          </cell>
          <cell r="I583">
            <v>30</v>
          </cell>
          <cell r="J583" t="str">
            <v>STD</v>
          </cell>
          <cell r="L583">
            <v>37981.199999999997</v>
          </cell>
          <cell r="M583">
            <v>1651.3565217391304</v>
          </cell>
          <cell r="O583" t="str">
            <v>BLOCK SOPORTE DE MANDRIL</v>
          </cell>
        </row>
        <row r="584">
          <cell r="D584" t="str">
            <v>HTJA030067</v>
          </cell>
          <cell r="E584" t="str">
            <v>10001024R</v>
          </cell>
          <cell r="F584" t="str">
            <v>AC-2600i Ford Escape</v>
          </cell>
          <cell r="G584">
            <v>300000</v>
          </cell>
          <cell r="H584" t="str">
            <v>Profirrol</v>
          </cell>
          <cell r="I584">
            <v>30</v>
          </cell>
          <cell r="J584" t="str">
            <v>STD</v>
          </cell>
          <cell r="L584">
            <v>59203</v>
          </cell>
          <cell r="M584">
            <v>2574.0434782608695</v>
          </cell>
          <cell r="O584" t="str">
            <v>BLOCK SOPORTE DE MANDRIL</v>
          </cell>
        </row>
        <row r="585">
          <cell r="D585" t="str">
            <v>HTJA030067</v>
          </cell>
          <cell r="E585" t="str">
            <v>10226752</v>
          </cell>
          <cell r="F585" t="str">
            <v>AC-2600i DNA (Preforma)</v>
          </cell>
          <cell r="G585">
            <v>300000</v>
          </cell>
          <cell r="H585" t="str">
            <v>Profirrol</v>
          </cell>
          <cell r="I585">
            <v>30</v>
          </cell>
          <cell r="J585" t="str">
            <v>STD</v>
          </cell>
          <cell r="L585">
            <v>31536</v>
          </cell>
          <cell r="M585">
            <v>1371.1304347826087</v>
          </cell>
          <cell r="O585" t="str">
            <v>BLOCK SOPORTE DE MANDRIL</v>
          </cell>
        </row>
        <row r="586">
          <cell r="D586" t="str">
            <v>HTJA030067</v>
          </cell>
          <cell r="E586" t="str">
            <v>10054551</v>
          </cell>
          <cell r="F586" t="str">
            <v>AC-2650 JC49 / GS PLT / DNA</v>
          </cell>
          <cell r="G586">
            <v>300000</v>
          </cell>
          <cell r="H586" t="str">
            <v>Profirrol</v>
          </cell>
          <cell r="I586">
            <v>30</v>
          </cell>
          <cell r="J586" t="str">
            <v>STD</v>
          </cell>
          <cell r="L586">
            <v>11932</v>
          </cell>
          <cell r="M586">
            <v>518.78260869565213</v>
          </cell>
          <cell r="O586" t="str">
            <v>BLOCK SOPORTE DE MANDRIL</v>
          </cell>
        </row>
        <row r="587">
          <cell r="D587" t="str">
            <v>HTJA030067</v>
          </cell>
          <cell r="E587" t="str">
            <v>10226751</v>
          </cell>
          <cell r="F587" t="str">
            <v>AC-2650 DNA</v>
          </cell>
          <cell r="G587">
            <v>300000</v>
          </cell>
          <cell r="H587" t="str">
            <v>Profirrol</v>
          </cell>
          <cell r="I587">
            <v>30</v>
          </cell>
          <cell r="J587" t="str">
            <v>STD</v>
          </cell>
          <cell r="L587">
            <v>24453</v>
          </cell>
          <cell r="M587">
            <v>1063.1739130434783</v>
          </cell>
          <cell r="O587" t="str">
            <v>BLOCK SOPORTE DE MANDRIL</v>
          </cell>
        </row>
        <row r="588">
          <cell r="D588" t="str">
            <v>HTJA030067</v>
          </cell>
          <cell r="E588" t="str">
            <v>8152050226</v>
          </cell>
          <cell r="F588" t="str">
            <v>UF-2600i PQ-35 VW</v>
          </cell>
          <cell r="G588">
            <v>300000</v>
          </cell>
          <cell r="H588" t="str">
            <v>Profirrol</v>
          </cell>
          <cell r="I588">
            <v>30</v>
          </cell>
          <cell r="J588" t="str">
            <v>STD</v>
          </cell>
          <cell r="L588">
            <v>38227.399999999994</v>
          </cell>
          <cell r="M588">
            <v>1662.0608695652172</v>
          </cell>
          <cell r="O588" t="str">
            <v>BLOCK SOPORTE DE MANDRIL</v>
          </cell>
        </row>
        <row r="589">
          <cell r="D589" t="str">
            <v>HTJA030067</v>
          </cell>
          <cell r="E589" t="str">
            <v>10060762</v>
          </cell>
          <cell r="F589" t="str">
            <v>UF-2600i Ford Explorer</v>
          </cell>
          <cell r="G589">
            <v>300000</v>
          </cell>
          <cell r="H589" t="str">
            <v>Profirrol</v>
          </cell>
          <cell r="I589">
            <v>30</v>
          </cell>
          <cell r="J589" t="str">
            <v>STD</v>
          </cell>
          <cell r="L589">
            <v>0</v>
          </cell>
          <cell r="M589">
            <v>0</v>
          </cell>
          <cell r="O589" t="str">
            <v>BLOCK SOPORTE DE MANDRIL</v>
          </cell>
        </row>
        <row r="590">
          <cell r="D590" t="str">
            <v>HTJA030067</v>
          </cell>
          <cell r="E590" t="str">
            <v>00806088</v>
          </cell>
          <cell r="F590" t="str">
            <v>UF-2600i Hyundai</v>
          </cell>
          <cell r="G590">
            <v>300000</v>
          </cell>
          <cell r="H590" t="str">
            <v>Profirrol</v>
          </cell>
          <cell r="I590">
            <v>30</v>
          </cell>
          <cell r="J590" t="str">
            <v>STD</v>
          </cell>
          <cell r="L590">
            <v>0</v>
          </cell>
          <cell r="M590">
            <v>0</v>
          </cell>
          <cell r="O590" t="str">
            <v>BLOCK SOPORTE DE MANDRIL</v>
          </cell>
        </row>
        <row r="591">
          <cell r="D591" t="str">
            <v>HTJA030067</v>
          </cell>
          <cell r="E591" t="str">
            <v>10235857</v>
          </cell>
          <cell r="F591" t="str">
            <v>UF-2600i DNA (Preforma)</v>
          </cell>
          <cell r="G591">
            <v>300000</v>
          </cell>
          <cell r="H591" t="str">
            <v>Profirrol</v>
          </cell>
          <cell r="I591">
            <v>30</v>
          </cell>
          <cell r="J591" t="str">
            <v>STD</v>
          </cell>
          <cell r="L591">
            <v>0</v>
          </cell>
          <cell r="M591">
            <v>0</v>
          </cell>
          <cell r="O591" t="str">
            <v>BLOCK SOPORTE DE MANDRIL</v>
          </cell>
        </row>
        <row r="592">
          <cell r="D592" t="str">
            <v>HTJA030067</v>
          </cell>
          <cell r="E592" t="str">
            <v>10018041</v>
          </cell>
          <cell r="F592" t="str">
            <v>UF-3300i W</v>
          </cell>
          <cell r="G592">
            <v>300000</v>
          </cell>
          <cell r="H592" t="str">
            <v>Profirrol</v>
          </cell>
          <cell r="I592">
            <v>30</v>
          </cell>
          <cell r="J592" t="str">
            <v>STD</v>
          </cell>
          <cell r="L592">
            <v>13520.454678603319</v>
          </cell>
          <cell r="M592">
            <v>587.84585559144864</v>
          </cell>
          <cell r="O592" t="str">
            <v>BLOCK SOPORTE DE MANDRIL</v>
          </cell>
        </row>
        <row r="593">
          <cell r="D593" t="str">
            <v>HTJA030067</v>
          </cell>
          <cell r="E593" t="str">
            <v>10009621</v>
          </cell>
          <cell r="F593" t="str">
            <v>UF-4600i W</v>
          </cell>
          <cell r="G593">
            <v>300000</v>
          </cell>
          <cell r="H593" t="str">
            <v>Profirrol</v>
          </cell>
          <cell r="I593">
            <v>30</v>
          </cell>
          <cell r="J593" t="str">
            <v>STD</v>
          </cell>
          <cell r="L593">
            <v>33932.483034337194</v>
          </cell>
          <cell r="M593">
            <v>1475.3253493190084</v>
          </cell>
          <cell r="O593" t="str">
            <v>BLOCK SOPORTE DE MANDRIL</v>
          </cell>
        </row>
        <row r="594">
          <cell r="D594" t="str">
            <v>HTJA030067</v>
          </cell>
          <cell r="E594" t="str">
            <v>7056050202</v>
          </cell>
          <cell r="F594" t="str">
            <v>A4 RF-91 Concept One</v>
          </cell>
          <cell r="G594">
            <v>300000</v>
          </cell>
          <cell r="H594" t="str">
            <v>Profirrol</v>
          </cell>
          <cell r="I594">
            <v>30</v>
          </cell>
          <cell r="J594" t="str">
            <v>STD</v>
          </cell>
          <cell r="L594">
            <v>0</v>
          </cell>
          <cell r="M594">
            <v>0</v>
          </cell>
          <cell r="O594" t="str">
            <v>BLOCK SOPORTE DE MANDRIL</v>
          </cell>
        </row>
        <row r="595">
          <cell r="D595" t="str">
            <v>HTJA030067</v>
          </cell>
          <cell r="E595" t="str">
            <v>7174050203</v>
          </cell>
          <cell r="F595" t="str">
            <v>A4 RF-95</v>
          </cell>
          <cell r="G595">
            <v>300000</v>
          </cell>
          <cell r="H595" t="str">
            <v>Profirrol</v>
          </cell>
          <cell r="I595">
            <v>30</v>
          </cell>
          <cell r="J595" t="str">
            <v>STD</v>
          </cell>
          <cell r="L595">
            <v>8133.6</v>
          </cell>
          <cell r="M595">
            <v>353.63478260869567</v>
          </cell>
          <cell r="O595" t="str">
            <v>BLOCK SOPORTE DE MANDRIL</v>
          </cell>
        </row>
        <row r="596">
          <cell r="D596" t="str">
            <v>HTJA030068</v>
          </cell>
          <cell r="E596" t="str">
            <v>8647050233</v>
          </cell>
          <cell r="F596" t="str">
            <v>AC-2000i Honda Acura</v>
          </cell>
          <cell r="G596">
            <v>300000</v>
          </cell>
          <cell r="H596" t="str">
            <v>Profirrol</v>
          </cell>
          <cell r="I596">
            <v>30</v>
          </cell>
          <cell r="J596" t="str">
            <v>STD</v>
          </cell>
          <cell r="L596">
            <v>74729.200000000012</v>
          </cell>
          <cell r="M596">
            <v>3249.0956521739135</v>
          </cell>
          <cell r="O596" t="str">
            <v>BLOCK BASE DE MANDRIL</v>
          </cell>
        </row>
        <row r="597">
          <cell r="D597" t="str">
            <v>HTJA030068</v>
          </cell>
          <cell r="E597" t="str">
            <v>10232841</v>
          </cell>
          <cell r="F597" t="str">
            <v>AC-2000i DNA (Preforma)</v>
          </cell>
          <cell r="G597">
            <v>300000</v>
          </cell>
          <cell r="H597" t="str">
            <v>Profirrol</v>
          </cell>
          <cell r="I597">
            <v>30</v>
          </cell>
          <cell r="J597" t="str">
            <v>STD</v>
          </cell>
          <cell r="L597">
            <v>99000</v>
          </cell>
          <cell r="M597">
            <v>4304.347826086957</v>
          </cell>
          <cell r="O597" t="str">
            <v>BLOCK BASE DE MANDRIL</v>
          </cell>
        </row>
        <row r="598">
          <cell r="D598" t="str">
            <v>HTJA030068</v>
          </cell>
          <cell r="E598" t="str">
            <v>4302091005</v>
          </cell>
          <cell r="F598" t="str">
            <v>C-2000 PL-BODY</v>
          </cell>
          <cell r="G598">
            <v>300000</v>
          </cell>
          <cell r="H598" t="str">
            <v>Profirrol</v>
          </cell>
          <cell r="I598">
            <v>30</v>
          </cell>
          <cell r="J598" t="str">
            <v>STD</v>
          </cell>
          <cell r="L598">
            <v>0</v>
          </cell>
          <cell r="M598">
            <v>0</v>
          </cell>
          <cell r="O598" t="str">
            <v>BLOCK BASE DE MANDRIL</v>
          </cell>
        </row>
        <row r="599">
          <cell r="D599" t="str">
            <v>HTJA030068</v>
          </cell>
          <cell r="E599" t="str">
            <v>7324050215</v>
          </cell>
          <cell r="F599" t="str">
            <v>AC-2300i PT-44</v>
          </cell>
          <cell r="G599">
            <v>300000</v>
          </cell>
          <cell r="H599" t="str">
            <v>Profirrol</v>
          </cell>
          <cell r="I599">
            <v>30</v>
          </cell>
          <cell r="J599" t="str">
            <v>STD</v>
          </cell>
          <cell r="L599">
            <v>58512.600000000006</v>
          </cell>
          <cell r="M599">
            <v>2544.0260869565218</v>
          </cell>
          <cell r="O599" t="str">
            <v>BLOCK BASE DE MANDRIL</v>
          </cell>
        </row>
        <row r="600">
          <cell r="D600" t="str">
            <v>HTJA030068</v>
          </cell>
          <cell r="E600" t="str">
            <v>10226750</v>
          </cell>
          <cell r="F600" t="str">
            <v>AC-2300i DNA (Preforma)</v>
          </cell>
          <cell r="G600">
            <v>300000</v>
          </cell>
          <cell r="H600" t="str">
            <v>Profirrol</v>
          </cell>
          <cell r="I600">
            <v>30</v>
          </cell>
          <cell r="J600" t="str">
            <v>STD</v>
          </cell>
          <cell r="L600">
            <v>52509.599999999999</v>
          </cell>
          <cell r="M600">
            <v>2283.0260869565218</v>
          </cell>
          <cell r="O600" t="str">
            <v>BLOCK BASE DE MANDRIL</v>
          </cell>
        </row>
        <row r="601">
          <cell r="D601" t="str">
            <v>HTJA030068</v>
          </cell>
          <cell r="E601" t="str">
            <v>7553050217</v>
          </cell>
          <cell r="F601" t="str">
            <v>AC-2600i PT-Turbo</v>
          </cell>
          <cell r="G601">
            <v>300000</v>
          </cell>
          <cell r="H601" t="str">
            <v>Profirrol</v>
          </cell>
          <cell r="I601">
            <v>30</v>
          </cell>
          <cell r="J601" t="str">
            <v>STD</v>
          </cell>
          <cell r="L601">
            <v>37981.199999999997</v>
          </cell>
          <cell r="M601">
            <v>1651.3565217391304</v>
          </cell>
          <cell r="O601" t="str">
            <v>BLOCK BASE DE MANDRIL</v>
          </cell>
        </row>
        <row r="602">
          <cell r="D602" t="str">
            <v>HTJA030068</v>
          </cell>
          <cell r="E602" t="str">
            <v>10001024R</v>
          </cell>
          <cell r="F602" t="str">
            <v>AC-2600i Ford Escape</v>
          </cell>
          <cell r="G602">
            <v>300000</v>
          </cell>
          <cell r="H602" t="str">
            <v>Profirrol</v>
          </cell>
          <cell r="I602">
            <v>30</v>
          </cell>
          <cell r="J602" t="str">
            <v>STD</v>
          </cell>
          <cell r="L602">
            <v>59203</v>
          </cell>
          <cell r="M602">
            <v>2574.0434782608695</v>
          </cell>
          <cell r="O602" t="str">
            <v>BLOCK BASE DE MANDRIL</v>
          </cell>
        </row>
        <row r="603">
          <cell r="D603" t="str">
            <v>HTJA030068</v>
          </cell>
          <cell r="E603" t="str">
            <v>10226752</v>
          </cell>
          <cell r="F603" t="str">
            <v>AC-2600i DNA (Preforma)</v>
          </cell>
          <cell r="G603">
            <v>300000</v>
          </cell>
          <cell r="H603" t="str">
            <v>Profirrol</v>
          </cell>
          <cell r="I603">
            <v>30</v>
          </cell>
          <cell r="J603" t="str">
            <v>STD</v>
          </cell>
          <cell r="L603">
            <v>31536</v>
          </cell>
          <cell r="M603">
            <v>1371.1304347826087</v>
          </cell>
          <cell r="O603" t="str">
            <v>BLOCK BASE DE MANDRIL</v>
          </cell>
        </row>
        <row r="604">
          <cell r="D604" t="str">
            <v>HTJA030068</v>
          </cell>
          <cell r="E604" t="str">
            <v>10054551</v>
          </cell>
          <cell r="F604" t="str">
            <v>AC-2650 JC49 / GS PLT / DNA</v>
          </cell>
          <cell r="G604">
            <v>300000</v>
          </cell>
          <cell r="H604" t="str">
            <v>Profirrol</v>
          </cell>
          <cell r="I604">
            <v>30</v>
          </cell>
          <cell r="J604" t="str">
            <v>STD</v>
          </cell>
          <cell r="L604">
            <v>11932</v>
          </cell>
          <cell r="M604">
            <v>518.78260869565213</v>
          </cell>
          <cell r="O604" t="str">
            <v>BLOCK BASE DE MANDRIL</v>
          </cell>
        </row>
        <row r="605">
          <cell r="D605" t="str">
            <v>HTJA030068</v>
          </cell>
          <cell r="E605" t="str">
            <v>10226751</v>
          </cell>
          <cell r="F605" t="str">
            <v>AC-2650 DNA</v>
          </cell>
          <cell r="G605">
            <v>300000</v>
          </cell>
          <cell r="H605" t="str">
            <v>Profirrol</v>
          </cell>
          <cell r="I605">
            <v>30</v>
          </cell>
          <cell r="J605" t="str">
            <v>STD</v>
          </cell>
          <cell r="L605">
            <v>24453</v>
          </cell>
          <cell r="M605">
            <v>1063.1739130434783</v>
          </cell>
          <cell r="O605" t="str">
            <v>BLOCK BASE DE MANDRIL</v>
          </cell>
        </row>
        <row r="606">
          <cell r="D606" t="str">
            <v>HTJA030068</v>
          </cell>
          <cell r="E606" t="str">
            <v>8152050226</v>
          </cell>
          <cell r="F606" t="str">
            <v>UF-2600i PQ-35 VW</v>
          </cell>
          <cell r="G606">
            <v>300000</v>
          </cell>
          <cell r="H606" t="str">
            <v>Profirrol</v>
          </cell>
          <cell r="I606">
            <v>30</v>
          </cell>
          <cell r="J606" t="str">
            <v>STD</v>
          </cell>
          <cell r="L606">
            <v>38227.399999999994</v>
          </cell>
          <cell r="M606">
            <v>1662.0608695652172</v>
          </cell>
          <cell r="O606" t="str">
            <v>BLOCK BASE DE MANDRIL</v>
          </cell>
        </row>
        <row r="607">
          <cell r="D607" t="str">
            <v>HTJA030068</v>
          </cell>
          <cell r="E607" t="str">
            <v>10060762</v>
          </cell>
          <cell r="F607" t="str">
            <v>UF-2600i Ford Explorer</v>
          </cell>
          <cell r="G607">
            <v>300000</v>
          </cell>
          <cell r="H607" t="str">
            <v>Profirrol</v>
          </cell>
          <cell r="I607">
            <v>30</v>
          </cell>
          <cell r="J607" t="str">
            <v>STD</v>
          </cell>
          <cell r="L607">
            <v>0</v>
          </cell>
          <cell r="M607">
            <v>0</v>
          </cell>
          <cell r="O607" t="str">
            <v>BLOCK BASE DE MANDRIL</v>
          </cell>
        </row>
        <row r="608">
          <cell r="D608" t="str">
            <v>HTJA030068</v>
          </cell>
          <cell r="E608" t="str">
            <v>00806088</v>
          </cell>
          <cell r="F608" t="str">
            <v>UF-2600i Hyundai</v>
          </cell>
          <cell r="G608">
            <v>300000</v>
          </cell>
          <cell r="H608" t="str">
            <v>Profirrol</v>
          </cell>
          <cell r="I608">
            <v>30</v>
          </cell>
          <cell r="J608" t="str">
            <v>STD</v>
          </cell>
          <cell r="L608">
            <v>0</v>
          </cell>
          <cell r="M608">
            <v>0</v>
          </cell>
          <cell r="O608" t="str">
            <v>BLOCK BASE DE MANDRIL</v>
          </cell>
        </row>
        <row r="609">
          <cell r="D609" t="str">
            <v>HTJA030068</v>
          </cell>
          <cell r="E609" t="str">
            <v>10235857</v>
          </cell>
          <cell r="F609" t="str">
            <v>UF-2600i DNA (Preforma)</v>
          </cell>
          <cell r="G609">
            <v>300000</v>
          </cell>
          <cell r="H609" t="str">
            <v>Profirrol</v>
          </cell>
          <cell r="I609">
            <v>30</v>
          </cell>
          <cell r="J609" t="str">
            <v>STD</v>
          </cell>
          <cell r="L609">
            <v>0</v>
          </cell>
          <cell r="M609">
            <v>0</v>
          </cell>
          <cell r="O609" t="str">
            <v>BLOCK BASE DE MANDRIL</v>
          </cell>
        </row>
        <row r="610">
          <cell r="D610" t="str">
            <v>HTJA030068</v>
          </cell>
          <cell r="E610" t="str">
            <v>10018041</v>
          </cell>
          <cell r="F610" t="str">
            <v>UF-3300i W</v>
          </cell>
          <cell r="G610">
            <v>300000</v>
          </cell>
          <cell r="H610" t="str">
            <v>Profirrol</v>
          </cell>
          <cell r="I610">
            <v>30</v>
          </cell>
          <cell r="J610" t="str">
            <v>STD</v>
          </cell>
          <cell r="L610">
            <v>13520.454678603319</v>
          </cell>
          <cell r="M610">
            <v>587.84585559144864</v>
          </cell>
          <cell r="O610" t="str">
            <v>BLOCK BASE DE MANDRIL</v>
          </cell>
        </row>
        <row r="611">
          <cell r="D611" t="str">
            <v>HTJA030068</v>
          </cell>
          <cell r="E611" t="str">
            <v>10009621</v>
          </cell>
          <cell r="F611" t="str">
            <v>UF-4600i W</v>
          </cell>
          <cell r="G611">
            <v>300000</v>
          </cell>
          <cell r="H611" t="str">
            <v>Profirrol</v>
          </cell>
          <cell r="I611">
            <v>30</v>
          </cell>
          <cell r="J611" t="str">
            <v>STD</v>
          </cell>
          <cell r="L611">
            <v>33932.483034337194</v>
          </cell>
          <cell r="M611">
            <v>1475.3253493190084</v>
          </cell>
          <cell r="O611" t="str">
            <v>BLOCK BASE DE MANDRIL</v>
          </cell>
        </row>
        <row r="612">
          <cell r="D612" t="str">
            <v>HTJA030068</v>
          </cell>
          <cell r="E612" t="str">
            <v>7056050202</v>
          </cell>
          <cell r="F612" t="str">
            <v>A4 RF-91 Concept One</v>
          </cell>
          <cell r="G612">
            <v>300000</v>
          </cell>
          <cell r="H612" t="str">
            <v>Profirrol</v>
          </cell>
          <cell r="I612">
            <v>30</v>
          </cell>
          <cell r="J612" t="str">
            <v>STD</v>
          </cell>
          <cell r="L612">
            <v>0</v>
          </cell>
          <cell r="M612">
            <v>0</v>
          </cell>
          <cell r="O612" t="str">
            <v>BLOCK BASE DE MANDRIL</v>
          </cell>
        </row>
        <row r="613">
          <cell r="D613" t="str">
            <v>HTJA030068</v>
          </cell>
          <cell r="E613" t="str">
            <v>7174050203</v>
          </cell>
          <cell r="F613" t="str">
            <v>A4 RF-95</v>
          </cell>
          <cell r="G613">
            <v>300000</v>
          </cell>
          <cell r="H613" t="str">
            <v>Profirrol</v>
          </cell>
          <cell r="I613">
            <v>30</v>
          </cell>
          <cell r="J613" t="str">
            <v>STD</v>
          </cell>
          <cell r="L613">
            <v>8133.6</v>
          </cell>
          <cell r="M613">
            <v>353.63478260869567</v>
          </cell>
          <cell r="O613" t="str">
            <v>BLOCK BASE DE MANDRIL</v>
          </cell>
        </row>
        <row r="614">
          <cell r="D614" t="str">
            <v>HTJA030069</v>
          </cell>
          <cell r="E614" t="str">
            <v>8647050233</v>
          </cell>
          <cell r="F614" t="str">
            <v>AC-2000i Honda Acura</v>
          </cell>
          <cell r="G614">
            <v>100000</v>
          </cell>
          <cell r="H614" t="str">
            <v>Profirrol</v>
          </cell>
          <cell r="I614">
            <v>30</v>
          </cell>
          <cell r="J614" t="str">
            <v>STD</v>
          </cell>
          <cell r="L614">
            <v>74729.200000000012</v>
          </cell>
          <cell r="M614">
            <v>3249.0956521739135</v>
          </cell>
          <cell r="O614" t="str">
            <v>TORNILLO DE BLOCK</v>
          </cell>
        </row>
        <row r="615">
          <cell r="D615" t="str">
            <v>HTJA030069</v>
          </cell>
          <cell r="E615" t="str">
            <v>10232841</v>
          </cell>
          <cell r="F615" t="str">
            <v>AC-2000i DNA (Preforma)</v>
          </cell>
          <cell r="G615">
            <v>100000</v>
          </cell>
          <cell r="H615" t="str">
            <v>Profirrol</v>
          </cell>
          <cell r="I615">
            <v>30</v>
          </cell>
          <cell r="J615" t="str">
            <v>STD</v>
          </cell>
          <cell r="L615">
            <v>99000</v>
          </cell>
          <cell r="M615">
            <v>4304.347826086957</v>
          </cell>
          <cell r="O615" t="str">
            <v>TORNILLO DE BLOCK</v>
          </cell>
        </row>
        <row r="616">
          <cell r="D616" t="str">
            <v>HTJA030069</v>
          </cell>
          <cell r="E616" t="str">
            <v>4302091005</v>
          </cell>
          <cell r="F616" t="str">
            <v>C-2000 PL-BODY</v>
          </cell>
          <cell r="G616">
            <v>100000</v>
          </cell>
          <cell r="H616" t="str">
            <v>Profirrol</v>
          </cell>
          <cell r="I616">
            <v>30</v>
          </cell>
          <cell r="J616" t="str">
            <v>STD</v>
          </cell>
          <cell r="L616">
            <v>0</v>
          </cell>
          <cell r="M616">
            <v>0</v>
          </cell>
          <cell r="O616" t="str">
            <v>TORNILLO DE BLOCK</v>
          </cell>
        </row>
        <row r="617">
          <cell r="D617" t="str">
            <v>HTJA030069</v>
          </cell>
          <cell r="E617" t="str">
            <v>7324050215</v>
          </cell>
          <cell r="F617" t="str">
            <v>AC-2300i PT-44</v>
          </cell>
          <cell r="G617">
            <v>100000</v>
          </cell>
          <cell r="H617" t="str">
            <v>Profirrol</v>
          </cell>
          <cell r="I617">
            <v>30</v>
          </cell>
          <cell r="J617" t="str">
            <v>STD</v>
          </cell>
          <cell r="L617">
            <v>58512.600000000006</v>
          </cell>
          <cell r="M617">
            <v>2544.0260869565218</v>
          </cell>
          <cell r="O617" t="str">
            <v>TORNILLO DE BLOCK</v>
          </cell>
        </row>
        <row r="618">
          <cell r="D618" t="str">
            <v>HTJA030069</v>
          </cell>
          <cell r="E618" t="str">
            <v>10226750</v>
          </cell>
          <cell r="F618" t="str">
            <v>AC-2300i DNA (Preforma)</v>
          </cell>
          <cell r="G618">
            <v>100000</v>
          </cell>
          <cell r="H618" t="str">
            <v>Profirrol</v>
          </cell>
          <cell r="I618">
            <v>30</v>
          </cell>
          <cell r="J618" t="str">
            <v>STD</v>
          </cell>
          <cell r="L618">
            <v>52509.599999999999</v>
          </cell>
          <cell r="M618">
            <v>2283.0260869565218</v>
          </cell>
          <cell r="O618" t="str">
            <v>TORNILLO DE BLOCK</v>
          </cell>
        </row>
        <row r="619">
          <cell r="D619" t="str">
            <v>HTJA030069</v>
          </cell>
          <cell r="E619" t="str">
            <v>7553050217</v>
          </cell>
          <cell r="F619" t="str">
            <v>AC-2600i PT-Turbo</v>
          </cell>
          <cell r="G619">
            <v>100000</v>
          </cell>
          <cell r="H619" t="str">
            <v>Profirrol</v>
          </cell>
          <cell r="I619">
            <v>30</v>
          </cell>
          <cell r="J619" t="str">
            <v>STD</v>
          </cell>
          <cell r="L619">
            <v>37981.199999999997</v>
          </cell>
          <cell r="M619">
            <v>1651.3565217391304</v>
          </cell>
          <cell r="O619" t="str">
            <v>TORNILLO DE BLOCK</v>
          </cell>
        </row>
        <row r="620">
          <cell r="D620" t="str">
            <v>HTJA030069</v>
          </cell>
          <cell r="E620" t="str">
            <v>10001024R</v>
          </cell>
          <cell r="F620" t="str">
            <v>AC-2600i Ford Escape</v>
          </cell>
          <cell r="G620">
            <v>100000</v>
          </cell>
          <cell r="H620" t="str">
            <v>Profirrol</v>
          </cell>
          <cell r="I620">
            <v>30</v>
          </cell>
          <cell r="J620" t="str">
            <v>STD</v>
          </cell>
          <cell r="L620">
            <v>59203</v>
          </cell>
          <cell r="M620">
            <v>2574.0434782608695</v>
          </cell>
          <cell r="O620" t="str">
            <v>TORNILLO DE BLOCK</v>
          </cell>
        </row>
        <row r="621">
          <cell r="D621" t="str">
            <v>HTJA030069</v>
          </cell>
          <cell r="E621" t="str">
            <v>10226752</v>
          </cell>
          <cell r="F621" t="str">
            <v>AC-2600i DNA (Preforma)</v>
          </cell>
          <cell r="G621">
            <v>100000</v>
          </cell>
          <cell r="H621" t="str">
            <v>Profirrol</v>
          </cell>
          <cell r="I621">
            <v>30</v>
          </cell>
          <cell r="J621" t="str">
            <v>STD</v>
          </cell>
          <cell r="L621">
            <v>31536</v>
          </cell>
          <cell r="M621">
            <v>1371.1304347826087</v>
          </cell>
          <cell r="O621" t="str">
            <v>TORNILLO DE BLOCK</v>
          </cell>
        </row>
        <row r="622">
          <cell r="D622" t="str">
            <v>HTJA030069</v>
          </cell>
          <cell r="E622" t="str">
            <v>10054551</v>
          </cell>
          <cell r="F622" t="str">
            <v>AC-2650 JC49 / GS PLT / DNA</v>
          </cell>
          <cell r="G622">
            <v>100000</v>
          </cell>
          <cell r="H622" t="str">
            <v>Profirrol</v>
          </cell>
          <cell r="I622">
            <v>30</v>
          </cell>
          <cell r="J622" t="str">
            <v>STD</v>
          </cell>
          <cell r="L622">
            <v>11932</v>
          </cell>
          <cell r="M622">
            <v>518.78260869565213</v>
          </cell>
          <cell r="O622" t="str">
            <v>TORNILLO DE BLOCK</v>
          </cell>
        </row>
        <row r="623">
          <cell r="D623" t="str">
            <v>HTJA030069</v>
          </cell>
          <cell r="E623" t="str">
            <v>10226751</v>
          </cell>
          <cell r="F623" t="str">
            <v>AC-2650 DNA</v>
          </cell>
          <cell r="G623">
            <v>100000</v>
          </cell>
          <cell r="H623" t="str">
            <v>Profirrol</v>
          </cell>
          <cell r="I623">
            <v>30</v>
          </cell>
          <cell r="J623" t="str">
            <v>STD</v>
          </cell>
          <cell r="L623">
            <v>24453</v>
          </cell>
          <cell r="M623">
            <v>1063.1739130434783</v>
          </cell>
          <cell r="O623" t="str">
            <v>TORNILLO DE BLOCK</v>
          </cell>
        </row>
        <row r="624">
          <cell r="D624" t="str">
            <v>HTJA030069</v>
          </cell>
          <cell r="E624" t="str">
            <v>8152050226</v>
          </cell>
          <cell r="F624" t="str">
            <v>UF-2600i PQ-35 VW</v>
          </cell>
          <cell r="G624">
            <v>100000</v>
          </cell>
          <cell r="H624" t="str">
            <v>Profirrol</v>
          </cell>
          <cell r="I624">
            <v>30</v>
          </cell>
          <cell r="J624" t="str">
            <v>STD</v>
          </cell>
          <cell r="L624">
            <v>38227.399999999994</v>
          </cell>
          <cell r="M624">
            <v>1662.0608695652172</v>
          </cell>
          <cell r="O624" t="str">
            <v>TORNILLO DE BLOCK</v>
          </cell>
        </row>
        <row r="625">
          <cell r="D625" t="str">
            <v>HTJA030069</v>
          </cell>
          <cell r="E625" t="str">
            <v>10060762</v>
          </cell>
          <cell r="F625" t="str">
            <v>UF-2600i Ford Explorer</v>
          </cell>
          <cell r="G625">
            <v>100000</v>
          </cell>
          <cell r="H625" t="str">
            <v>Profirrol</v>
          </cell>
          <cell r="I625">
            <v>30</v>
          </cell>
          <cell r="J625" t="str">
            <v>STD</v>
          </cell>
          <cell r="L625">
            <v>0</v>
          </cell>
          <cell r="M625">
            <v>0</v>
          </cell>
          <cell r="O625" t="str">
            <v>TORNILLO DE BLOCK</v>
          </cell>
        </row>
        <row r="626">
          <cell r="D626" t="str">
            <v>HTJA030069</v>
          </cell>
          <cell r="E626" t="str">
            <v>00806088</v>
          </cell>
          <cell r="F626" t="str">
            <v>UF-2600i Hyundai</v>
          </cell>
          <cell r="G626">
            <v>100000</v>
          </cell>
          <cell r="H626" t="str">
            <v>Profirrol</v>
          </cell>
          <cell r="I626">
            <v>30</v>
          </cell>
          <cell r="J626" t="str">
            <v>STD</v>
          </cell>
          <cell r="L626">
            <v>0</v>
          </cell>
          <cell r="M626">
            <v>0</v>
          </cell>
          <cell r="O626" t="str">
            <v>TORNILLO DE BLOCK</v>
          </cell>
        </row>
        <row r="627">
          <cell r="D627" t="str">
            <v>HTJA030069</v>
          </cell>
          <cell r="E627" t="str">
            <v>10235857</v>
          </cell>
          <cell r="F627" t="str">
            <v>UF-2600i DNA (Preforma)</v>
          </cell>
          <cell r="G627">
            <v>100000</v>
          </cell>
          <cell r="H627" t="str">
            <v>Profirrol</v>
          </cell>
          <cell r="I627">
            <v>30</v>
          </cell>
          <cell r="J627" t="str">
            <v>STD</v>
          </cell>
          <cell r="L627">
            <v>0</v>
          </cell>
          <cell r="M627">
            <v>0</v>
          </cell>
          <cell r="O627" t="str">
            <v>TORNILLO DE BLOCK</v>
          </cell>
        </row>
        <row r="628">
          <cell r="D628" t="str">
            <v>HTJA030069</v>
          </cell>
          <cell r="E628" t="str">
            <v>10018041</v>
          </cell>
          <cell r="F628" t="str">
            <v>UF-3300i W</v>
          </cell>
          <cell r="G628">
            <v>100000</v>
          </cell>
          <cell r="H628" t="str">
            <v>Profirrol</v>
          </cell>
          <cell r="I628">
            <v>30</v>
          </cell>
          <cell r="J628" t="str">
            <v>STD</v>
          </cell>
          <cell r="L628">
            <v>13520.454678603319</v>
          </cell>
          <cell r="M628">
            <v>587.84585559144864</v>
          </cell>
          <cell r="O628" t="str">
            <v>TORNILLO DE BLOCK</v>
          </cell>
        </row>
        <row r="629">
          <cell r="D629" t="str">
            <v>HTJA030069</v>
          </cell>
          <cell r="E629" t="str">
            <v>10009621</v>
          </cell>
          <cell r="F629" t="str">
            <v>UF-4600i W</v>
          </cell>
          <cell r="G629">
            <v>100000</v>
          </cell>
          <cell r="H629" t="str">
            <v>Profirrol</v>
          </cell>
          <cell r="I629">
            <v>30</v>
          </cell>
          <cell r="J629" t="str">
            <v>STD</v>
          </cell>
          <cell r="L629">
            <v>33932.483034337194</v>
          </cell>
          <cell r="M629">
            <v>1475.3253493190084</v>
          </cell>
          <cell r="O629" t="str">
            <v>TORNILLO DE BLOCK</v>
          </cell>
        </row>
        <row r="630">
          <cell r="D630" t="str">
            <v>HTJA030069</v>
          </cell>
          <cell r="E630" t="str">
            <v>7056050202</v>
          </cell>
          <cell r="F630" t="str">
            <v>A4 RF-91 Concept One</v>
          </cell>
          <cell r="G630">
            <v>100000</v>
          </cell>
          <cell r="H630" t="str">
            <v>Profirrol</v>
          </cell>
          <cell r="I630">
            <v>30</v>
          </cell>
          <cell r="J630" t="str">
            <v>STD</v>
          </cell>
          <cell r="L630">
            <v>0</v>
          </cell>
          <cell r="M630">
            <v>0</v>
          </cell>
          <cell r="O630" t="str">
            <v>TORNILLO DE BLOCK</v>
          </cell>
        </row>
        <row r="631">
          <cell r="D631" t="str">
            <v>HTJA030069</v>
          </cell>
          <cell r="E631" t="str">
            <v>7174050203</v>
          </cell>
          <cell r="F631" t="str">
            <v>A4 RF-95</v>
          </cell>
          <cell r="G631">
            <v>100000</v>
          </cell>
          <cell r="H631" t="str">
            <v>Profirrol</v>
          </cell>
          <cell r="I631">
            <v>30</v>
          </cell>
          <cell r="J631" t="str">
            <v>STD</v>
          </cell>
          <cell r="L631">
            <v>8133.6</v>
          </cell>
          <cell r="M631">
            <v>353.63478260869567</v>
          </cell>
          <cell r="O631" t="str">
            <v>TORNILLO DE BLOCK</v>
          </cell>
        </row>
        <row r="632">
          <cell r="D632" t="str">
            <v>HTJA030072</v>
          </cell>
          <cell r="E632" t="str">
            <v>10054551</v>
          </cell>
          <cell r="F632" t="str">
            <v>AC-2650 JC49 / GS PLT / DNA</v>
          </cell>
          <cell r="G632">
            <v>60000</v>
          </cell>
          <cell r="H632" t="str">
            <v>Nacional</v>
          </cell>
          <cell r="I632">
            <v>8</v>
          </cell>
          <cell r="J632" t="str">
            <v>AC-2650</v>
          </cell>
          <cell r="L632">
            <v>11932</v>
          </cell>
          <cell r="M632">
            <v>518.78260869565213</v>
          </cell>
          <cell r="O632" t="str">
            <v>Rodillo Superior</v>
          </cell>
        </row>
        <row r="633">
          <cell r="D633" t="str">
            <v>HTJA030072</v>
          </cell>
          <cell r="E633" t="str">
            <v>10226751</v>
          </cell>
          <cell r="F633" t="str">
            <v>AC-2650 DNA</v>
          </cell>
          <cell r="G633">
            <v>60000</v>
          </cell>
          <cell r="H633" t="str">
            <v>Nacional</v>
          </cell>
          <cell r="I633">
            <v>8</v>
          </cell>
          <cell r="J633" t="str">
            <v>AC-2650</v>
          </cell>
          <cell r="L633">
            <v>24453</v>
          </cell>
          <cell r="M633">
            <v>1063.1739130434783</v>
          </cell>
          <cell r="O633" t="str">
            <v>Rodillo Superior</v>
          </cell>
        </row>
        <row r="634">
          <cell r="D634" t="str">
            <v>HTJA030073</v>
          </cell>
          <cell r="E634" t="str">
            <v>10054551</v>
          </cell>
          <cell r="F634" t="str">
            <v>AC-2650 JC49 / GS PLT / DNA</v>
          </cell>
          <cell r="G634">
            <v>25000</v>
          </cell>
          <cell r="H634" t="str">
            <v>Nacional</v>
          </cell>
          <cell r="I634">
            <v>8</v>
          </cell>
          <cell r="J634" t="str">
            <v>AC-2650</v>
          </cell>
          <cell r="L634">
            <v>11932</v>
          </cell>
          <cell r="M634">
            <v>518.78260869565213</v>
          </cell>
          <cell r="O634" t="str">
            <v>Mandril</v>
          </cell>
        </row>
        <row r="635">
          <cell r="D635" t="str">
            <v>HTJA030073</v>
          </cell>
          <cell r="E635" t="str">
            <v>10226751</v>
          </cell>
          <cell r="F635" t="str">
            <v>AC-2650 DNA</v>
          </cell>
          <cell r="G635">
            <v>20000</v>
          </cell>
          <cell r="H635" t="str">
            <v>Nacional</v>
          </cell>
          <cell r="I635">
            <v>8</v>
          </cell>
          <cell r="J635" t="str">
            <v>AC-2650</v>
          </cell>
          <cell r="L635">
            <v>24453</v>
          </cell>
          <cell r="M635">
            <v>1063.1739130434783</v>
          </cell>
          <cell r="O635" t="str">
            <v>Mandril</v>
          </cell>
        </row>
        <row r="636">
          <cell r="D636" t="str">
            <v>HTJA030074</v>
          </cell>
          <cell r="E636" t="str">
            <v>7056050202</v>
          </cell>
          <cell r="F636" t="str">
            <v>A4 RF-91 Concept One</v>
          </cell>
          <cell r="G636">
            <v>50000</v>
          </cell>
          <cell r="H636" t="str">
            <v>Nacional</v>
          </cell>
          <cell r="I636">
            <v>8</v>
          </cell>
          <cell r="J636" t="str">
            <v>C-1</v>
          </cell>
          <cell r="L636">
            <v>0</v>
          </cell>
          <cell r="M636">
            <v>0</v>
          </cell>
          <cell r="O636" t="str">
            <v>Rodillo Superior</v>
          </cell>
        </row>
        <row r="637">
          <cell r="D637" t="str">
            <v>HTJA030075</v>
          </cell>
          <cell r="E637" t="str">
            <v>7056050202</v>
          </cell>
          <cell r="F637" t="str">
            <v>A4 RF-91 Concept One</v>
          </cell>
          <cell r="G637">
            <v>20000</v>
          </cell>
          <cell r="H637" t="str">
            <v>Nacional</v>
          </cell>
          <cell r="I637">
            <v>8</v>
          </cell>
          <cell r="J637" t="str">
            <v>C-1</v>
          </cell>
          <cell r="L637">
            <v>0</v>
          </cell>
          <cell r="M637">
            <v>0</v>
          </cell>
          <cell r="O637" t="str">
            <v>Mandril</v>
          </cell>
        </row>
        <row r="638">
          <cell r="D638" t="str">
            <v>HTJA030076</v>
          </cell>
          <cell r="E638" t="str">
            <v>8647050233</v>
          </cell>
          <cell r="F638" t="str">
            <v>AC-2000i Honda Acura</v>
          </cell>
          <cell r="G638">
            <v>10000</v>
          </cell>
          <cell r="H638" t="str">
            <v>Nacional</v>
          </cell>
          <cell r="I638">
            <v>8</v>
          </cell>
          <cell r="J638" t="str">
            <v>STD</v>
          </cell>
          <cell r="L638">
            <v>74801.200000000012</v>
          </cell>
          <cell r="M638">
            <v>3252.2260869565221</v>
          </cell>
          <cell r="O638" t="str">
            <v>LAINA DE DESCARGA</v>
          </cell>
        </row>
        <row r="639">
          <cell r="D639" t="str">
            <v>HTJA030076</v>
          </cell>
          <cell r="E639" t="str">
            <v>10232841</v>
          </cell>
          <cell r="F639" t="str">
            <v>AC-2000i DNA (Preforma)</v>
          </cell>
          <cell r="G639">
            <v>10000</v>
          </cell>
          <cell r="H639" t="str">
            <v>Nacional</v>
          </cell>
          <cell r="I639">
            <v>8</v>
          </cell>
          <cell r="J639" t="str">
            <v>STD</v>
          </cell>
          <cell r="L639">
            <v>101200</v>
          </cell>
          <cell r="M639">
            <v>4400</v>
          </cell>
          <cell r="O639" t="str">
            <v>LAINA DE DESCARGA</v>
          </cell>
        </row>
        <row r="640">
          <cell r="D640" t="str">
            <v>HTJA030076</v>
          </cell>
          <cell r="E640" t="str">
            <v>4302091005</v>
          </cell>
          <cell r="F640" t="str">
            <v>C-2000 PL-BODY</v>
          </cell>
          <cell r="G640">
            <v>10000</v>
          </cell>
          <cell r="H640" t="str">
            <v>Nacional</v>
          </cell>
          <cell r="I640">
            <v>8</v>
          </cell>
          <cell r="J640" t="str">
            <v>STD</v>
          </cell>
          <cell r="L640">
            <v>1811</v>
          </cell>
          <cell r="M640">
            <v>78.739130434782609</v>
          </cell>
          <cell r="O640" t="str">
            <v>LAINA DE DESCARGA</v>
          </cell>
        </row>
        <row r="641">
          <cell r="D641" t="str">
            <v>HTJA030076</v>
          </cell>
          <cell r="E641" t="str">
            <v>7324050215</v>
          </cell>
          <cell r="F641" t="str">
            <v>AC-2300i PT-44</v>
          </cell>
          <cell r="G641">
            <v>10000</v>
          </cell>
          <cell r="H641" t="str">
            <v>Nacional</v>
          </cell>
          <cell r="I641">
            <v>8</v>
          </cell>
          <cell r="J641" t="str">
            <v>STD</v>
          </cell>
          <cell r="L641">
            <v>44731.400000000009</v>
          </cell>
          <cell r="M641">
            <v>1944.8434782608699</v>
          </cell>
          <cell r="O641" t="str">
            <v>LAINA DE DESCARGA</v>
          </cell>
        </row>
        <row r="642">
          <cell r="D642" t="str">
            <v>HTJA030076</v>
          </cell>
          <cell r="E642" t="str">
            <v>10226750</v>
          </cell>
          <cell r="F642" t="str">
            <v>AC-2300i DNA (Preforma)</v>
          </cell>
          <cell r="G642">
            <v>10000</v>
          </cell>
          <cell r="H642" t="str">
            <v>Nacional</v>
          </cell>
          <cell r="I642">
            <v>8</v>
          </cell>
          <cell r="J642" t="str">
            <v>STD</v>
          </cell>
          <cell r="L642">
            <v>49420.800000000003</v>
          </cell>
          <cell r="M642">
            <v>2148.7304347826089</v>
          </cell>
          <cell r="O642" t="str">
            <v>LAINA DE DESCARGA</v>
          </cell>
        </row>
        <row r="643">
          <cell r="D643" t="str">
            <v>HTJA030076</v>
          </cell>
          <cell r="E643" t="str">
            <v>7553050217</v>
          </cell>
          <cell r="F643" t="str">
            <v>AC-2600i PT-Turbo</v>
          </cell>
          <cell r="G643">
            <v>10000</v>
          </cell>
          <cell r="H643" t="str">
            <v>Nacional</v>
          </cell>
          <cell r="I643">
            <v>8</v>
          </cell>
          <cell r="J643" t="str">
            <v>STD</v>
          </cell>
          <cell r="L643">
            <v>34957.999999999993</v>
          </cell>
          <cell r="M643">
            <v>1519.9130434782605</v>
          </cell>
          <cell r="O643" t="str">
            <v>LAINA DE DESCARGA</v>
          </cell>
        </row>
        <row r="644">
          <cell r="D644" t="str">
            <v>HTJA030076</v>
          </cell>
          <cell r="E644" t="str">
            <v>10001024R</v>
          </cell>
          <cell r="F644" t="str">
            <v>AC-2600i Ford Escape</v>
          </cell>
          <cell r="G644">
            <v>10000</v>
          </cell>
          <cell r="H644" t="str">
            <v>Nacional</v>
          </cell>
          <cell r="I644">
            <v>8</v>
          </cell>
          <cell r="J644" t="str">
            <v>STD</v>
          </cell>
          <cell r="L644">
            <v>56501.200000000004</v>
          </cell>
          <cell r="M644">
            <v>2456.5739130434786</v>
          </cell>
          <cell r="O644" t="str">
            <v>LAINA DE DESCARGA</v>
          </cell>
        </row>
        <row r="645">
          <cell r="D645" t="str">
            <v>HTJA030076</v>
          </cell>
          <cell r="E645" t="str">
            <v>10226752</v>
          </cell>
          <cell r="F645" t="str">
            <v>AC-2600i DNA (Preforma)</v>
          </cell>
          <cell r="G645">
            <v>10000</v>
          </cell>
          <cell r="H645" t="str">
            <v>Nacional</v>
          </cell>
          <cell r="I645">
            <v>8</v>
          </cell>
          <cell r="J645" t="str">
            <v>STD</v>
          </cell>
          <cell r="L645">
            <v>26784</v>
          </cell>
          <cell r="M645">
            <v>1164.5217391304348</v>
          </cell>
          <cell r="O645" t="str">
            <v>LAINA DE DESCARGA</v>
          </cell>
        </row>
        <row r="646">
          <cell r="D646" t="str">
            <v>HTJA030076</v>
          </cell>
          <cell r="E646" t="str">
            <v>10054551</v>
          </cell>
          <cell r="F646" t="str">
            <v>AC-2650 JC49 / GS PLT / DNA</v>
          </cell>
          <cell r="G646">
            <v>10000</v>
          </cell>
          <cell r="H646" t="str">
            <v>Nacional</v>
          </cell>
          <cell r="I646">
            <v>8</v>
          </cell>
          <cell r="J646" t="str">
            <v>STD</v>
          </cell>
          <cell r="L646">
            <v>7516.4</v>
          </cell>
          <cell r="M646">
            <v>326.8</v>
          </cell>
          <cell r="O646" t="str">
            <v>LAINA DE DESCARGA</v>
          </cell>
        </row>
        <row r="647">
          <cell r="D647" t="str">
            <v>HTJA030076</v>
          </cell>
          <cell r="E647" t="str">
            <v>10226751</v>
          </cell>
          <cell r="F647" t="str">
            <v>AC-2650 DNA</v>
          </cell>
          <cell r="G647">
            <v>10000</v>
          </cell>
          <cell r="H647" t="str">
            <v>Nacional</v>
          </cell>
          <cell r="I647">
            <v>8</v>
          </cell>
          <cell r="J647" t="str">
            <v>STD</v>
          </cell>
          <cell r="L647">
            <v>14227.2</v>
          </cell>
          <cell r="M647">
            <v>618.57391304347834</v>
          </cell>
          <cell r="O647" t="str">
            <v>LAINA DE DESCARGA</v>
          </cell>
        </row>
        <row r="648">
          <cell r="D648" t="str">
            <v>HTJA030076</v>
          </cell>
          <cell r="E648" t="str">
            <v>8152050226</v>
          </cell>
          <cell r="F648" t="str">
            <v>UF-2600i PQ-35 VW</v>
          </cell>
          <cell r="G648">
            <v>10000</v>
          </cell>
          <cell r="H648" t="str">
            <v>Nacional</v>
          </cell>
          <cell r="I648">
            <v>8</v>
          </cell>
          <cell r="J648" t="str">
            <v>STD</v>
          </cell>
          <cell r="L648">
            <v>67111.400000000023</v>
          </cell>
          <cell r="M648">
            <v>2917.8869565217401</v>
          </cell>
          <cell r="O648" t="str">
            <v>LAINA DE DESCARGA</v>
          </cell>
        </row>
        <row r="649">
          <cell r="D649" t="str">
            <v>HTJA030076</v>
          </cell>
          <cell r="E649" t="str">
            <v>10060762</v>
          </cell>
          <cell r="F649" t="str">
            <v>UF-2600i Ford Explorer</v>
          </cell>
          <cell r="G649">
            <v>10000</v>
          </cell>
          <cell r="H649" t="str">
            <v>Nacional</v>
          </cell>
          <cell r="I649">
            <v>8</v>
          </cell>
          <cell r="J649" t="str">
            <v>STD</v>
          </cell>
          <cell r="L649">
            <v>0</v>
          </cell>
          <cell r="M649">
            <v>0</v>
          </cell>
          <cell r="O649" t="str">
            <v>LAINA DE DESCARGA</v>
          </cell>
        </row>
        <row r="650">
          <cell r="D650" t="str">
            <v>HTJA030076</v>
          </cell>
          <cell r="E650" t="str">
            <v>00806088</v>
          </cell>
          <cell r="F650" t="str">
            <v>UF-2600i Hyundai</v>
          </cell>
          <cell r="G650">
            <v>10000</v>
          </cell>
          <cell r="H650" t="str">
            <v>Nacional</v>
          </cell>
          <cell r="I650">
            <v>8</v>
          </cell>
          <cell r="J650" t="str">
            <v>STD</v>
          </cell>
          <cell r="L650">
            <v>0</v>
          </cell>
          <cell r="M650">
            <v>0</v>
          </cell>
          <cell r="O650" t="str">
            <v>LAINA DE DESCARGA</v>
          </cell>
        </row>
        <row r="651">
          <cell r="D651" t="str">
            <v>HTJA030076</v>
          </cell>
          <cell r="E651" t="str">
            <v>10235857</v>
          </cell>
          <cell r="F651" t="str">
            <v>UF-2600i DNA (Preforma)</v>
          </cell>
          <cell r="G651">
            <v>10000</v>
          </cell>
          <cell r="H651" t="str">
            <v>Nacional</v>
          </cell>
          <cell r="I651">
            <v>8</v>
          </cell>
          <cell r="J651" t="str">
            <v>STD</v>
          </cell>
          <cell r="L651">
            <v>0</v>
          </cell>
          <cell r="M651">
            <v>0</v>
          </cell>
          <cell r="O651" t="str">
            <v>LAINA DE DESCARGA</v>
          </cell>
        </row>
        <row r="652">
          <cell r="D652" t="str">
            <v>HTJA030076</v>
          </cell>
          <cell r="E652" t="str">
            <v>10018041</v>
          </cell>
          <cell r="F652" t="str">
            <v>UF-3300i W</v>
          </cell>
          <cell r="G652">
            <v>10000</v>
          </cell>
          <cell r="H652" t="str">
            <v>Nacional</v>
          </cell>
          <cell r="I652">
            <v>8</v>
          </cell>
          <cell r="J652" t="str">
            <v>STD</v>
          </cell>
          <cell r="L652">
            <v>14212.800000000001</v>
          </cell>
          <cell r="M652">
            <v>617.94782608695652</v>
          </cell>
          <cell r="O652" t="str">
            <v>LAINA DE DESCARGA</v>
          </cell>
        </row>
        <row r="653">
          <cell r="D653" t="str">
            <v>HTJA030076</v>
          </cell>
          <cell r="E653" t="str">
            <v>10009621</v>
          </cell>
          <cell r="F653" t="str">
            <v>UF-4600i W</v>
          </cell>
          <cell r="G653">
            <v>10000</v>
          </cell>
          <cell r="H653" t="str">
            <v>Nacional</v>
          </cell>
          <cell r="I653">
            <v>8</v>
          </cell>
          <cell r="J653" t="str">
            <v>STD</v>
          </cell>
          <cell r="L653">
            <v>30182.199999999997</v>
          </cell>
          <cell r="M653">
            <v>1312.2695652173911</v>
          </cell>
          <cell r="O653" t="str">
            <v>LAINA DE DESCARGA</v>
          </cell>
        </row>
        <row r="654">
          <cell r="D654" t="str">
            <v>HTJA030076</v>
          </cell>
          <cell r="E654" t="str">
            <v>7056050202</v>
          </cell>
          <cell r="F654" t="str">
            <v>A4 RF-91 Concept One</v>
          </cell>
          <cell r="G654">
            <v>10000</v>
          </cell>
          <cell r="H654" t="str">
            <v>Nacional</v>
          </cell>
          <cell r="I654">
            <v>8</v>
          </cell>
          <cell r="J654" t="str">
            <v>STD</v>
          </cell>
          <cell r="L654">
            <v>0</v>
          </cell>
          <cell r="M654">
            <v>0</v>
          </cell>
          <cell r="O654" t="str">
            <v>LAINA DE DESCARGA</v>
          </cell>
        </row>
        <row r="655">
          <cell r="D655" t="str">
            <v>HTJA030076</v>
          </cell>
          <cell r="E655" t="str">
            <v>7174050203</v>
          </cell>
          <cell r="F655" t="str">
            <v>A4 RF-95</v>
          </cell>
          <cell r="G655">
            <v>10000</v>
          </cell>
          <cell r="H655" t="str">
            <v>Nacional</v>
          </cell>
          <cell r="I655">
            <v>8</v>
          </cell>
          <cell r="J655" t="str">
            <v>STD</v>
          </cell>
          <cell r="L655">
            <v>6412.2000000000007</v>
          </cell>
          <cell r="M655">
            <v>278.7913043478261</v>
          </cell>
          <cell r="O655" t="str">
            <v>LAINA DE DESCARGA</v>
          </cell>
        </row>
        <row r="656">
          <cell r="D656" t="str">
            <v>HTJA030077</v>
          </cell>
          <cell r="E656" t="str">
            <v>8647050233</v>
          </cell>
          <cell r="F656" t="str">
            <v>AC-2000i Honda Acura</v>
          </cell>
          <cell r="G656">
            <v>10000</v>
          </cell>
          <cell r="H656" t="str">
            <v>Nacional</v>
          </cell>
          <cell r="I656">
            <v>10</v>
          </cell>
          <cell r="J656" t="str">
            <v>STD</v>
          </cell>
          <cell r="L656">
            <v>74801.200000000012</v>
          </cell>
          <cell r="M656">
            <v>3252.2260869565221</v>
          </cell>
          <cell r="O656" t="str">
            <v>LAINA DE DESCARGA</v>
          </cell>
        </row>
        <row r="657">
          <cell r="D657" t="str">
            <v>HTJA030077</v>
          </cell>
          <cell r="E657" t="str">
            <v>10232841</v>
          </cell>
          <cell r="F657" t="str">
            <v>AC-2000i DNA (Preforma)</v>
          </cell>
          <cell r="G657">
            <v>10000</v>
          </cell>
          <cell r="H657" t="str">
            <v>Nacional</v>
          </cell>
          <cell r="I657">
            <v>10</v>
          </cell>
          <cell r="J657" t="str">
            <v>STD</v>
          </cell>
          <cell r="L657">
            <v>101200</v>
          </cell>
          <cell r="M657">
            <v>4400</v>
          </cell>
          <cell r="O657" t="str">
            <v>LAINA DE DESCARGA</v>
          </cell>
        </row>
        <row r="658">
          <cell r="D658" t="str">
            <v>HTJA030077</v>
          </cell>
          <cell r="E658" t="str">
            <v>4302091005</v>
          </cell>
          <cell r="F658" t="str">
            <v>C-2000 PL-BODY</v>
          </cell>
          <cell r="G658">
            <v>10000</v>
          </cell>
          <cell r="H658" t="str">
            <v>Nacional</v>
          </cell>
          <cell r="I658">
            <v>10</v>
          </cell>
          <cell r="J658" t="str">
            <v>STD</v>
          </cell>
          <cell r="L658">
            <v>1811</v>
          </cell>
          <cell r="M658">
            <v>78.739130434782609</v>
          </cell>
          <cell r="O658" t="str">
            <v>LAINA DE DESCARGA</v>
          </cell>
        </row>
        <row r="659">
          <cell r="D659" t="str">
            <v>HTJA030077</v>
          </cell>
          <cell r="E659" t="str">
            <v>7324050215</v>
          </cell>
          <cell r="F659" t="str">
            <v>AC-2300i PT-44</v>
          </cell>
          <cell r="G659">
            <v>10000</v>
          </cell>
          <cell r="H659" t="str">
            <v>Nacional</v>
          </cell>
          <cell r="I659">
            <v>10</v>
          </cell>
          <cell r="J659" t="str">
            <v>STD</v>
          </cell>
          <cell r="L659">
            <v>44731.400000000009</v>
          </cell>
          <cell r="M659">
            <v>1944.8434782608699</v>
          </cell>
          <cell r="O659" t="str">
            <v>LAINA DE DESCARGA</v>
          </cell>
        </row>
        <row r="660">
          <cell r="D660" t="str">
            <v>HTJA030077</v>
          </cell>
          <cell r="E660" t="str">
            <v>10226750</v>
          </cell>
          <cell r="F660" t="str">
            <v>AC-2300i DNA (Preforma)</v>
          </cell>
          <cell r="G660">
            <v>10000</v>
          </cell>
          <cell r="H660" t="str">
            <v>Nacional</v>
          </cell>
          <cell r="I660">
            <v>10</v>
          </cell>
          <cell r="J660" t="str">
            <v>STD</v>
          </cell>
          <cell r="L660">
            <v>49420.800000000003</v>
          </cell>
          <cell r="M660">
            <v>2148.7304347826089</v>
          </cell>
          <cell r="O660" t="str">
            <v>LAINA DE DESCARGA</v>
          </cell>
        </row>
        <row r="661">
          <cell r="D661" t="str">
            <v>HTJA030077</v>
          </cell>
          <cell r="E661" t="str">
            <v>7553050217</v>
          </cell>
          <cell r="F661" t="str">
            <v>AC-2600i PT-Turbo</v>
          </cell>
          <cell r="G661">
            <v>10000</v>
          </cell>
          <cell r="H661" t="str">
            <v>Nacional</v>
          </cell>
          <cell r="I661">
            <v>10</v>
          </cell>
          <cell r="J661" t="str">
            <v>STD</v>
          </cell>
          <cell r="L661">
            <v>34957.999999999993</v>
          </cell>
          <cell r="M661">
            <v>1519.9130434782605</v>
          </cell>
          <cell r="O661" t="str">
            <v>LAINA DE DESCARGA</v>
          </cell>
        </row>
        <row r="662">
          <cell r="D662" t="str">
            <v>HTJA030077</v>
          </cell>
          <cell r="E662" t="str">
            <v>10001024R</v>
          </cell>
          <cell r="F662" t="str">
            <v>AC-2600i Ford Escape</v>
          </cell>
          <cell r="G662">
            <v>10000</v>
          </cell>
          <cell r="H662" t="str">
            <v>Nacional</v>
          </cell>
          <cell r="I662">
            <v>10</v>
          </cell>
          <cell r="J662" t="str">
            <v>STD</v>
          </cell>
          <cell r="L662">
            <v>56501.200000000004</v>
          </cell>
          <cell r="M662">
            <v>2456.5739130434786</v>
          </cell>
          <cell r="O662" t="str">
            <v>LAINA DE DESCARGA</v>
          </cell>
        </row>
        <row r="663">
          <cell r="D663" t="str">
            <v>HTJA030077</v>
          </cell>
          <cell r="E663" t="str">
            <v>10226752</v>
          </cell>
          <cell r="F663" t="str">
            <v>AC-2600i DNA (Preforma)</v>
          </cell>
          <cell r="G663">
            <v>10000</v>
          </cell>
          <cell r="H663" t="str">
            <v>Nacional</v>
          </cell>
          <cell r="I663">
            <v>10</v>
          </cell>
          <cell r="J663" t="str">
            <v>STD</v>
          </cell>
          <cell r="L663">
            <v>26784</v>
          </cell>
          <cell r="M663">
            <v>1164.5217391304348</v>
          </cell>
          <cell r="O663" t="str">
            <v>LAINA DE DESCARGA</v>
          </cell>
        </row>
        <row r="664">
          <cell r="D664" t="str">
            <v>HTJA030077</v>
          </cell>
          <cell r="E664" t="str">
            <v>10054551</v>
          </cell>
          <cell r="F664" t="str">
            <v>AC-2650 JC49 / GS PLT / DNA</v>
          </cell>
          <cell r="G664">
            <v>10000</v>
          </cell>
          <cell r="H664" t="str">
            <v>Nacional</v>
          </cell>
          <cell r="I664">
            <v>10</v>
          </cell>
          <cell r="J664" t="str">
            <v>STD</v>
          </cell>
          <cell r="L664">
            <v>7516.4</v>
          </cell>
          <cell r="M664">
            <v>326.8</v>
          </cell>
          <cell r="O664" t="str">
            <v>LAINA DE DESCARGA</v>
          </cell>
        </row>
        <row r="665">
          <cell r="D665" t="str">
            <v>HTJA030077</v>
          </cell>
          <cell r="E665" t="str">
            <v>10226751</v>
          </cell>
          <cell r="F665" t="str">
            <v>AC-2650 DNA</v>
          </cell>
          <cell r="G665">
            <v>10000</v>
          </cell>
          <cell r="H665" t="str">
            <v>Nacional</v>
          </cell>
          <cell r="I665">
            <v>10</v>
          </cell>
          <cell r="J665" t="str">
            <v>STD</v>
          </cell>
          <cell r="L665">
            <v>14227.2</v>
          </cell>
          <cell r="M665">
            <v>618.57391304347834</v>
          </cell>
          <cell r="O665" t="str">
            <v>LAINA DE DESCARGA</v>
          </cell>
        </row>
        <row r="666">
          <cell r="D666" t="str">
            <v>HTJA030077</v>
          </cell>
          <cell r="E666" t="str">
            <v>8152050226</v>
          </cell>
          <cell r="F666" t="str">
            <v>UF-2600i PQ-35 VW</v>
          </cell>
          <cell r="G666">
            <v>10000</v>
          </cell>
          <cell r="H666" t="str">
            <v>Nacional</v>
          </cell>
          <cell r="I666">
            <v>10</v>
          </cell>
          <cell r="J666" t="str">
            <v>STD</v>
          </cell>
          <cell r="L666">
            <v>67111.400000000023</v>
          </cell>
          <cell r="M666">
            <v>2917.8869565217401</v>
          </cell>
          <cell r="O666" t="str">
            <v>LAINA DE DESCARGA</v>
          </cell>
        </row>
        <row r="667">
          <cell r="D667" t="str">
            <v>HTJA030077</v>
          </cell>
          <cell r="E667" t="str">
            <v>10060762</v>
          </cell>
          <cell r="F667" t="str">
            <v>UF-2600i Ford Explorer</v>
          </cell>
          <cell r="G667">
            <v>10000</v>
          </cell>
          <cell r="H667" t="str">
            <v>Nacional</v>
          </cell>
          <cell r="I667">
            <v>10</v>
          </cell>
          <cell r="J667" t="str">
            <v>STD</v>
          </cell>
          <cell r="L667">
            <v>0</v>
          </cell>
          <cell r="M667">
            <v>0</v>
          </cell>
          <cell r="O667" t="str">
            <v>LAINA DE DESCARGA</v>
          </cell>
        </row>
        <row r="668">
          <cell r="D668" t="str">
            <v>HTJA030077</v>
          </cell>
          <cell r="E668" t="str">
            <v>00806088</v>
          </cell>
          <cell r="F668" t="str">
            <v>UF-2600i Hyundai</v>
          </cell>
          <cell r="G668">
            <v>10000</v>
          </cell>
          <cell r="H668" t="str">
            <v>Nacional</v>
          </cell>
          <cell r="I668">
            <v>10</v>
          </cell>
          <cell r="J668" t="str">
            <v>STD</v>
          </cell>
          <cell r="L668">
            <v>0</v>
          </cell>
          <cell r="M668">
            <v>0</v>
          </cell>
          <cell r="O668" t="str">
            <v>LAINA DE DESCARGA</v>
          </cell>
        </row>
        <row r="669">
          <cell r="D669" t="str">
            <v>HTJA030077</v>
          </cell>
          <cell r="E669" t="str">
            <v>10235857</v>
          </cell>
          <cell r="F669" t="str">
            <v>UF-2600i DNA (Preforma)</v>
          </cell>
          <cell r="G669">
            <v>10000</v>
          </cell>
          <cell r="H669" t="str">
            <v>Nacional</v>
          </cell>
          <cell r="I669">
            <v>10</v>
          </cell>
          <cell r="J669" t="str">
            <v>STD</v>
          </cell>
          <cell r="L669">
            <v>0</v>
          </cell>
          <cell r="M669">
            <v>0</v>
          </cell>
          <cell r="O669" t="str">
            <v>LAINA DE DESCARGA</v>
          </cell>
        </row>
        <row r="670">
          <cell r="D670" t="str">
            <v>HTJA030077</v>
          </cell>
          <cell r="E670" t="str">
            <v>10018041</v>
          </cell>
          <cell r="F670" t="str">
            <v>UF-3300i W</v>
          </cell>
          <cell r="G670">
            <v>10000</v>
          </cell>
          <cell r="H670" t="str">
            <v>Nacional</v>
          </cell>
          <cell r="I670">
            <v>10</v>
          </cell>
          <cell r="J670" t="str">
            <v>STD</v>
          </cell>
          <cell r="L670">
            <v>14212.800000000001</v>
          </cell>
          <cell r="M670">
            <v>617.94782608695652</v>
          </cell>
          <cell r="O670" t="str">
            <v>LAINA DE DESCARGA</v>
          </cell>
        </row>
        <row r="671">
          <cell r="D671" t="str">
            <v>HTJA030077</v>
          </cell>
          <cell r="E671" t="str">
            <v>10009621</v>
          </cell>
          <cell r="F671" t="str">
            <v>UF-4600i W</v>
          </cell>
          <cell r="G671">
            <v>10000</v>
          </cell>
          <cell r="H671" t="str">
            <v>Nacional</v>
          </cell>
          <cell r="I671">
            <v>10</v>
          </cell>
          <cell r="J671" t="str">
            <v>STD</v>
          </cell>
          <cell r="L671">
            <v>30182.199999999997</v>
          </cell>
          <cell r="M671">
            <v>1312.2695652173911</v>
          </cell>
          <cell r="O671" t="str">
            <v>LAINA DE DESCARGA</v>
          </cell>
        </row>
        <row r="672">
          <cell r="D672" t="str">
            <v>HTJA030077</v>
          </cell>
          <cell r="E672" t="str">
            <v>7056050202</v>
          </cell>
          <cell r="F672" t="str">
            <v>A4 RF-91 Concept One</v>
          </cell>
          <cell r="G672">
            <v>10000</v>
          </cell>
          <cell r="H672" t="str">
            <v>Nacional</v>
          </cell>
          <cell r="I672">
            <v>10</v>
          </cell>
          <cell r="J672" t="str">
            <v>STD</v>
          </cell>
          <cell r="L672">
            <v>0</v>
          </cell>
          <cell r="M672">
            <v>0</v>
          </cell>
          <cell r="O672" t="str">
            <v>LAINA DE DESCARGA</v>
          </cell>
        </row>
        <row r="673">
          <cell r="D673" t="str">
            <v>HTJA030077</v>
          </cell>
          <cell r="E673" t="str">
            <v>7174050203</v>
          </cell>
          <cell r="F673" t="str">
            <v>A4 RF-95</v>
          </cell>
          <cell r="G673">
            <v>10000</v>
          </cell>
          <cell r="H673" t="str">
            <v>Nacional</v>
          </cell>
          <cell r="I673">
            <v>10</v>
          </cell>
          <cell r="J673" t="str">
            <v>STD</v>
          </cell>
          <cell r="L673">
            <v>6412.2000000000007</v>
          </cell>
          <cell r="M673">
            <v>278.7913043478261</v>
          </cell>
          <cell r="O673" t="str">
            <v>LAINA DE DESCARGA</v>
          </cell>
        </row>
        <row r="674">
          <cell r="D674" t="str">
            <v>HTJA030081</v>
          </cell>
          <cell r="E674" t="str">
            <v>8647050233</v>
          </cell>
          <cell r="F674" t="str">
            <v>AC-2000i Honda Acura</v>
          </cell>
          <cell r="G674">
            <v>500000</v>
          </cell>
          <cell r="H674" t="str">
            <v>Nacional</v>
          </cell>
          <cell r="I674">
            <v>10</v>
          </cell>
          <cell r="J674" t="str">
            <v>STD</v>
          </cell>
          <cell r="L674">
            <v>74801.200000000012</v>
          </cell>
          <cell r="M674">
            <v>3252.2260869565221</v>
          </cell>
          <cell r="O674" t="str">
            <v>DISPOSITIVO MEDIDOR</v>
          </cell>
        </row>
        <row r="675">
          <cell r="D675" t="str">
            <v>HTJA030081</v>
          </cell>
          <cell r="E675" t="str">
            <v>10232841</v>
          </cell>
          <cell r="F675" t="str">
            <v>AC-2000i DNA (Preforma)</v>
          </cell>
          <cell r="G675">
            <v>500000</v>
          </cell>
          <cell r="H675" t="str">
            <v>Nacional</v>
          </cell>
          <cell r="I675">
            <v>10</v>
          </cell>
          <cell r="J675" t="str">
            <v>STD</v>
          </cell>
          <cell r="L675">
            <v>101200</v>
          </cell>
          <cell r="M675">
            <v>4400</v>
          </cell>
          <cell r="O675" t="str">
            <v>DISPOSITIVO MEDIDOR</v>
          </cell>
        </row>
        <row r="676">
          <cell r="D676" t="str">
            <v>HTJA030081</v>
          </cell>
          <cell r="E676" t="str">
            <v>4302091005</v>
          </cell>
          <cell r="F676" t="str">
            <v>C-2000 PL-BODY</v>
          </cell>
          <cell r="G676">
            <v>500000</v>
          </cell>
          <cell r="H676" t="str">
            <v>Nacional</v>
          </cell>
          <cell r="I676">
            <v>10</v>
          </cell>
          <cell r="J676" t="str">
            <v>STD</v>
          </cell>
          <cell r="L676">
            <v>1811</v>
          </cell>
          <cell r="M676">
            <v>78.739130434782609</v>
          </cell>
          <cell r="O676" t="str">
            <v>DISPOSITIVO MEDIDOR</v>
          </cell>
        </row>
        <row r="677">
          <cell r="D677" t="str">
            <v>HTJA030081</v>
          </cell>
          <cell r="E677" t="str">
            <v>7324050215</v>
          </cell>
          <cell r="F677" t="str">
            <v>AC-2300i PT-44</v>
          </cell>
          <cell r="G677">
            <v>500000</v>
          </cell>
          <cell r="H677" t="str">
            <v>Nacional</v>
          </cell>
          <cell r="I677">
            <v>10</v>
          </cell>
          <cell r="J677" t="str">
            <v>STD</v>
          </cell>
          <cell r="L677">
            <v>44731.400000000009</v>
          </cell>
          <cell r="M677">
            <v>1944.8434782608699</v>
          </cell>
          <cell r="O677" t="str">
            <v>DISPOSITIVO MEDIDOR</v>
          </cell>
        </row>
        <row r="678">
          <cell r="D678" t="str">
            <v>HTJA030081</v>
          </cell>
          <cell r="E678" t="str">
            <v>10226750</v>
          </cell>
          <cell r="F678" t="str">
            <v>AC-2300i DNA (Preforma)</v>
          </cell>
          <cell r="G678">
            <v>500000</v>
          </cell>
          <cell r="H678" t="str">
            <v>Nacional</v>
          </cell>
          <cell r="I678">
            <v>10</v>
          </cell>
          <cell r="J678" t="str">
            <v>STD</v>
          </cell>
          <cell r="L678">
            <v>49420.800000000003</v>
          </cell>
          <cell r="M678">
            <v>2148.7304347826089</v>
          </cell>
          <cell r="O678" t="str">
            <v>DISPOSITIVO MEDIDOR</v>
          </cell>
        </row>
        <row r="679">
          <cell r="D679" t="str">
            <v>HTJA030081</v>
          </cell>
          <cell r="E679" t="str">
            <v>7553050217</v>
          </cell>
          <cell r="F679" t="str">
            <v>AC-2600i PT-Turbo</v>
          </cell>
          <cell r="G679">
            <v>500000</v>
          </cell>
          <cell r="H679" t="str">
            <v>Nacional</v>
          </cell>
          <cell r="I679">
            <v>10</v>
          </cell>
          <cell r="J679" t="str">
            <v>STD</v>
          </cell>
          <cell r="L679">
            <v>34957.999999999993</v>
          </cell>
          <cell r="M679">
            <v>1519.9130434782605</v>
          </cell>
          <cell r="O679" t="str">
            <v>DISPOSITIVO MEDIDOR</v>
          </cell>
        </row>
        <row r="680">
          <cell r="D680" t="str">
            <v>HTJA030081</v>
          </cell>
          <cell r="E680" t="str">
            <v>10001024R</v>
          </cell>
          <cell r="F680" t="str">
            <v>AC-2600i Ford Escape</v>
          </cell>
          <cell r="G680">
            <v>500000</v>
          </cell>
          <cell r="H680" t="str">
            <v>Nacional</v>
          </cell>
          <cell r="I680">
            <v>10</v>
          </cell>
          <cell r="J680" t="str">
            <v>STD</v>
          </cell>
          <cell r="L680">
            <v>56501.200000000004</v>
          </cell>
          <cell r="M680">
            <v>2456.5739130434786</v>
          </cell>
          <cell r="O680" t="str">
            <v>DISPOSITIVO MEDIDOR</v>
          </cell>
        </row>
        <row r="681">
          <cell r="D681" t="str">
            <v>HTJA030081</v>
          </cell>
          <cell r="E681" t="str">
            <v>10226752</v>
          </cell>
          <cell r="F681" t="str">
            <v>AC-2600i DNA (Preforma)</v>
          </cell>
          <cell r="G681">
            <v>500000</v>
          </cell>
          <cell r="H681" t="str">
            <v>Nacional</v>
          </cell>
          <cell r="I681">
            <v>10</v>
          </cell>
          <cell r="J681" t="str">
            <v>STD</v>
          </cell>
          <cell r="L681">
            <v>26784</v>
          </cell>
          <cell r="M681">
            <v>1164.5217391304348</v>
          </cell>
          <cell r="O681" t="str">
            <v>DISPOSITIVO MEDIDOR</v>
          </cell>
        </row>
        <row r="682">
          <cell r="D682" t="str">
            <v>HTJA030081</v>
          </cell>
          <cell r="E682" t="str">
            <v>10054551</v>
          </cell>
          <cell r="F682" t="str">
            <v>AC-2650 JC49 / GS PLT / DNA</v>
          </cell>
          <cell r="G682">
            <v>500000</v>
          </cell>
          <cell r="H682" t="str">
            <v>Nacional</v>
          </cell>
          <cell r="I682">
            <v>10</v>
          </cell>
          <cell r="J682" t="str">
            <v>STD</v>
          </cell>
          <cell r="L682">
            <v>7516.4</v>
          </cell>
          <cell r="M682">
            <v>326.8</v>
          </cell>
          <cell r="O682" t="str">
            <v>DISPOSITIVO MEDIDOR</v>
          </cell>
        </row>
        <row r="683">
          <cell r="D683" t="str">
            <v>HTJA030081</v>
          </cell>
          <cell r="E683" t="str">
            <v>10226751</v>
          </cell>
          <cell r="F683" t="str">
            <v>AC-2650 DNA</v>
          </cell>
          <cell r="G683">
            <v>500000</v>
          </cell>
          <cell r="H683" t="str">
            <v>Nacional</v>
          </cell>
          <cell r="I683">
            <v>10</v>
          </cell>
          <cell r="J683" t="str">
            <v>STD</v>
          </cell>
          <cell r="L683">
            <v>14227.2</v>
          </cell>
          <cell r="M683">
            <v>618.57391304347834</v>
          </cell>
          <cell r="O683" t="str">
            <v>DISPOSITIVO MEDIDOR</v>
          </cell>
        </row>
        <row r="684">
          <cell r="D684" t="str">
            <v>HTJA030081</v>
          </cell>
          <cell r="E684" t="str">
            <v>8152050226</v>
          </cell>
          <cell r="F684" t="str">
            <v>UF-2600i PQ-35 VW</v>
          </cell>
          <cell r="G684">
            <v>500000</v>
          </cell>
          <cell r="H684" t="str">
            <v>Nacional</v>
          </cell>
          <cell r="I684">
            <v>10</v>
          </cell>
          <cell r="J684" t="str">
            <v>STD</v>
          </cell>
          <cell r="L684">
            <v>67111.400000000023</v>
          </cell>
          <cell r="M684">
            <v>2917.8869565217401</v>
          </cell>
          <cell r="O684" t="str">
            <v>DISPOSITIVO MEDIDOR</v>
          </cell>
        </row>
        <row r="685">
          <cell r="D685" t="str">
            <v>HTJA030081</v>
          </cell>
          <cell r="E685" t="str">
            <v>10060762</v>
          </cell>
          <cell r="F685" t="str">
            <v>UF-2600i Ford Explorer</v>
          </cell>
          <cell r="G685">
            <v>500000</v>
          </cell>
          <cell r="H685" t="str">
            <v>Nacional</v>
          </cell>
          <cell r="I685">
            <v>10</v>
          </cell>
          <cell r="J685" t="str">
            <v>STD</v>
          </cell>
          <cell r="L685">
            <v>0</v>
          </cell>
          <cell r="M685">
            <v>0</v>
          </cell>
          <cell r="O685" t="str">
            <v>DISPOSITIVO MEDIDOR</v>
          </cell>
        </row>
        <row r="686">
          <cell r="D686" t="str">
            <v>HTJA030081</v>
          </cell>
          <cell r="E686" t="str">
            <v>00806088</v>
          </cell>
          <cell r="F686" t="str">
            <v>UF-2600i Hyundai</v>
          </cell>
          <cell r="G686">
            <v>500000</v>
          </cell>
          <cell r="H686" t="str">
            <v>Nacional</v>
          </cell>
          <cell r="I686">
            <v>10</v>
          </cell>
          <cell r="J686" t="str">
            <v>STD</v>
          </cell>
          <cell r="L686">
            <v>0</v>
          </cell>
          <cell r="M686">
            <v>0</v>
          </cell>
          <cell r="O686" t="str">
            <v>DISPOSITIVO MEDIDOR</v>
          </cell>
        </row>
        <row r="687">
          <cell r="D687" t="str">
            <v>HTJA030081</v>
          </cell>
          <cell r="E687" t="str">
            <v>10235857</v>
          </cell>
          <cell r="F687" t="str">
            <v>UF-2600i DNA (Preforma)</v>
          </cell>
          <cell r="G687">
            <v>500000</v>
          </cell>
          <cell r="H687" t="str">
            <v>Nacional</v>
          </cell>
          <cell r="I687">
            <v>10</v>
          </cell>
          <cell r="J687" t="str">
            <v>STD</v>
          </cell>
          <cell r="L687">
            <v>0</v>
          </cell>
          <cell r="M687">
            <v>0</v>
          </cell>
          <cell r="O687" t="str">
            <v>DISPOSITIVO MEDIDOR</v>
          </cell>
        </row>
        <row r="688">
          <cell r="D688" t="str">
            <v>HTJA030081</v>
          </cell>
          <cell r="E688" t="str">
            <v>10018041</v>
          </cell>
          <cell r="F688" t="str">
            <v>UF-3300i W</v>
          </cell>
          <cell r="G688">
            <v>500000</v>
          </cell>
          <cell r="H688" t="str">
            <v>Nacional</v>
          </cell>
          <cell r="I688">
            <v>10</v>
          </cell>
          <cell r="J688" t="str">
            <v>STD</v>
          </cell>
          <cell r="L688">
            <v>14212.800000000001</v>
          </cell>
          <cell r="M688">
            <v>617.94782608695652</v>
          </cell>
          <cell r="O688" t="str">
            <v>DISPOSITIVO MEDIDOR</v>
          </cell>
        </row>
        <row r="689">
          <cell r="D689" t="str">
            <v>HTJA030081</v>
          </cell>
          <cell r="E689" t="str">
            <v>10009621</v>
          </cell>
          <cell r="F689" t="str">
            <v>UF-4600i W</v>
          </cell>
          <cell r="G689">
            <v>500000</v>
          </cell>
          <cell r="H689" t="str">
            <v>Nacional</v>
          </cell>
          <cell r="I689">
            <v>10</v>
          </cell>
          <cell r="J689" t="str">
            <v>STD</v>
          </cell>
          <cell r="L689">
            <v>30182.199999999997</v>
          </cell>
          <cell r="M689">
            <v>1312.2695652173911</v>
          </cell>
          <cell r="O689" t="str">
            <v>DISPOSITIVO MEDIDOR</v>
          </cell>
        </row>
        <row r="690">
          <cell r="D690" t="str">
            <v>HTJA030081</v>
          </cell>
          <cell r="E690" t="str">
            <v>7056050202</v>
          </cell>
          <cell r="F690" t="str">
            <v>A4 RF-91 Concept One</v>
          </cell>
          <cell r="G690">
            <v>500000</v>
          </cell>
          <cell r="H690" t="str">
            <v>Nacional</v>
          </cell>
          <cell r="I690">
            <v>10</v>
          </cell>
          <cell r="J690" t="str">
            <v>STD</v>
          </cell>
          <cell r="L690">
            <v>0</v>
          </cell>
          <cell r="M690">
            <v>0</v>
          </cell>
          <cell r="O690" t="str">
            <v>DISPOSITIVO MEDIDOR</v>
          </cell>
        </row>
        <row r="691">
          <cell r="D691" t="str">
            <v>HTJA030081</v>
          </cell>
          <cell r="E691" t="str">
            <v>7174050203</v>
          </cell>
          <cell r="F691" t="str">
            <v>A4 RF-95</v>
          </cell>
          <cell r="G691">
            <v>500000</v>
          </cell>
          <cell r="H691" t="str">
            <v>Nacional</v>
          </cell>
          <cell r="I691">
            <v>10</v>
          </cell>
          <cell r="J691" t="str">
            <v>STD</v>
          </cell>
          <cell r="L691">
            <v>6412.2000000000007</v>
          </cell>
          <cell r="M691">
            <v>278.7913043478261</v>
          </cell>
          <cell r="O691" t="str">
            <v>DISPOSITIVO MEDIDOR</v>
          </cell>
        </row>
        <row r="692">
          <cell r="D692" t="str">
            <v>HTJA030082</v>
          </cell>
          <cell r="E692" t="str">
            <v>8647050233</v>
          </cell>
          <cell r="F692" t="str">
            <v>AC-2000i Honda Acura</v>
          </cell>
          <cell r="G692">
            <v>100000</v>
          </cell>
          <cell r="H692" t="str">
            <v>Nacional</v>
          </cell>
          <cell r="I692">
            <v>10</v>
          </cell>
          <cell r="J692" t="str">
            <v>STD</v>
          </cell>
          <cell r="L692">
            <v>74801.200000000012</v>
          </cell>
          <cell r="M692">
            <v>3252.2260869565221</v>
          </cell>
          <cell r="O692" t="str">
            <v>AGUJA DE DISPOSITIVO MEDIDOR</v>
          </cell>
        </row>
        <row r="693">
          <cell r="D693" t="str">
            <v>HTJA030082</v>
          </cell>
          <cell r="E693" t="str">
            <v>10232841</v>
          </cell>
          <cell r="F693" t="str">
            <v>AC-2000i DNA (Preforma)</v>
          </cell>
          <cell r="G693">
            <v>100000</v>
          </cell>
          <cell r="H693" t="str">
            <v>Nacional</v>
          </cell>
          <cell r="I693">
            <v>10</v>
          </cell>
          <cell r="J693" t="str">
            <v>STD</v>
          </cell>
          <cell r="L693">
            <v>101200</v>
          </cell>
          <cell r="M693">
            <v>4400</v>
          </cell>
          <cell r="O693" t="str">
            <v>AGUJA DE DISPOSITIVO MEDIDOR</v>
          </cell>
        </row>
        <row r="694">
          <cell r="D694" t="str">
            <v>HTJA030082</v>
          </cell>
          <cell r="E694" t="str">
            <v>4302091005</v>
          </cell>
          <cell r="F694" t="str">
            <v>C-2000 PL-BODY</v>
          </cell>
          <cell r="G694">
            <v>100000</v>
          </cell>
          <cell r="H694" t="str">
            <v>Nacional</v>
          </cell>
          <cell r="I694">
            <v>10</v>
          </cell>
          <cell r="J694" t="str">
            <v>STD</v>
          </cell>
          <cell r="L694">
            <v>1811</v>
          </cell>
          <cell r="M694">
            <v>78.739130434782609</v>
          </cell>
          <cell r="O694" t="str">
            <v>AGUJA DE DISPOSITIVO MEDIDOR</v>
          </cell>
        </row>
        <row r="695">
          <cell r="D695" t="str">
            <v>HTJA030082</v>
          </cell>
          <cell r="E695" t="str">
            <v>7324050215</v>
          </cell>
          <cell r="F695" t="str">
            <v>AC-2300i PT-44</v>
          </cell>
          <cell r="G695">
            <v>100000</v>
          </cell>
          <cell r="H695" t="str">
            <v>Nacional</v>
          </cell>
          <cell r="I695">
            <v>10</v>
          </cell>
          <cell r="J695" t="str">
            <v>STD</v>
          </cell>
          <cell r="L695">
            <v>44731.400000000009</v>
          </cell>
          <cell r="M695">
            <v>1944.8434782608699</v>
          </cell>
          <cell r="O695" t="str">
            <v>AGUJA DE DISPOSITIVO MEDIDOR</v>
          </cell>
        </row>
        <row r="696">
          <cell r="D696" t="str">
            <v>HTJA030082</v>
          </cell>
          <cell r="E696" t="str">
            <v>10226750</v>
          </cell>
          <cell r="F696" t="str">
            <v>AC-2300i DNA (Preforma)</v>
          </cell>
          <cell r="G696">
            <v>100000</v>
          </cell>
          <cell r="H696" t="str">
            <v>Nacional</v>
          </cell>
          <cell r="I696">
            <v>10</v>
          </cell>
          <cell r="J696" t="str">
            <v>STD</v>
          </cell>
          <cell r="L696">
            <v>49420.800000000003</v>
          </cell>
          <cell r="M696">
            <v>2148.7304347826089</v>
          </cell>
          <cell r="O696" t="str">
            <v>AGUJA DE DISPOSITIVO MEDIDOR</v>
          </cell>
        </row>
        <row r="697">
          <cell r="D697" t="str">
            <v>HTJA030082</v>
          </cell>
          <cell r="E697" t="str">
            <v>7553050217</v>
          </cell>
          <cell r="F697" t="str">
            <v>AC-2600i PT-Turbo</v>
          </cell>
          <cell r="G697">
            <v>100000</v>
          </cell>
          <cell r="H697" t="str">
            <v>Nacional</v>
          </cell>
          <cell r="I697">
            <v>10</v>
          </cell>
          <cell r="J697" t="str">
            <v>STD</v>
          </cell>
          <cell r="L697">
            <v>34957.999999999993</v>
          </cell>
          <cell r="M697">
            <v>1519.9130434782605</v>
          </cell>
          <cell r="O697" t="str">
            <v>AGUJA DE DISPOSITIVO MEDIDOR</v>
          </cell>
        </row>
        <row r="698">
          <cell r="D698" t="str">
            <v>HTJA030082</v>
          </cell>
          <cell r="E698" t="str">
            <v>10001024R</v>
          </cell>
          <cell r="F698" t="str">
            <v>AC-2600i Ford Escape</v>
          </cell>
          <cell r="G698">
            <v>100000</v>
          </cell>
          <cell r="H698" t="str">
            <v>Nacional</v>
          </cell>
          <cell r="I698">
            <v>10</v>
          </cell>
          <cell r="J698" t="str">
            <v>STD</v>
          </cell>
          <cell r="L698">
            <v>56501.200000000004</v>
          </cell>
          <cell r="M698">
            <v>2456.5739130434786</v>
          </cell>
          <cell r="O698" t="str">
            <v>AGUJA DE DISPOSITIVO MEDIDOR</v>
          </cell>
        </row>
        <row r="699">
          <cell r="D699" t="str">
            <v>HTJA030082</v>
          </cell>
          <cell r="E699" t="str">
            <v>10226752</v>
          </cell>
          <cell r="F699" t="str">
            <v>AC-2600i DNA (Preforma)</v>
          </cell>
          <cell r="G699">
            <v>100000</v>
          </cell>
          <cell r="H699" t="str">
            <v>Nacional</v>
          </cell>
          <cell r="I699">
            <v>10</v>
          </cell>
          <cell r="J699" t="str">
            <v>STD</v>
          </cell>
          <cell r="L699">
            <v>26784</v>
          </cell>
          <cell r="M699">
            <v>1164.5217391304348</v>
          </cell>
          <cell r="O699" t="str">
            <v>AGUJA DE DISPOSITIVO MEDIDOR</v>
          </cell>
        </row>
        <row r="700">
          <cell r="D700" t="str">
            <v>HTJA030082</v>
          </cell>
          <cell r="E700" t="str">
            <v>10054551</v>
          </cell>
          <cell r="F700" t="str">
            <v>AC-2650 JC49 / GS PLT / DNA</v>
          </cell>
          <cell r="G700">
            <v>100000</v>
          </cell>
          <cell r="H700" t="str">
            <v>Nacional</v>
          </cell>
          <cell r="I700">
            <v>10</v>
          </cell>
          <cell r="J700" t="str">
            <v>STD</v>
          </cell>
          <cell r="L700">
            <v>7516.4</v>
          </cell>
          <cell r="M700">
            <v>326.8</v>
          </cell>
          <cell r="O700" t="str">
            <v>AGUJA DE DISPOSITIVO MEDIDOR</v>
          </cell>
        </row>
        <row r="701">
          <cell r="D701" t="str">
            <v>HTJA030082</v>
          </cell>
          <cell r="E701" t="str">
            <v>10226751</v>
          </cell>
          <cell r="F701" t="str">
            <v>AC-2650 DNA</v>
          </cell>
          <cell r="G701">
            <v>100000</v>
          </cell>
          <cell r="H701" t="str">
            <v>Nacional</v>
          </cell>
          <cell r="I701">
            <v>10</v>
          </cell>
          <cell r="J701" t="str">
            <v>STD</v>
          </cell>
          <cell r="L701">
            <v>14227.2</v>
          </cell>
          <cell r="M701">
            <v>618.57391304347834</v>
          </cell>
          <cell r="O701" t="str">
            <v>AGUJA DE DISPOSITIVO MEDIDOR</v>
          </cell>
        </row>
        <row r="702">
          <cell r="D702" t="str">
            <v>HTJA030082</v>
          </cell>
          <cell r="E702" t="str">
            <v>8152050226</v>
          </cell>
          <cell r="F702" t="str">
            <v>UF-2600i PQ-35 VW</v>
          </cell>
          <cell r="G702">
            <v>100000</v>
          </cell>
          <cell r="H702" t="str">
            <v>Nacional</v>
          </cell>
          <cell r="I702">
            <v>10</v>
          </cell>
          <cell r="J702" t="str">
            <v>STD</v>
          </cell>
          <cell r="L702">
            <v>67111.400000000023</v>
          </cell>
          <cell r="M702">
            <v>2917.8869565217401</v>
          </cell>
          <cell r="O702" t="str">
            <v>AGUJA DE DISPOSITIVO MEDIDOR</v>
          </cell>
        </row>
        <row r="703">
          <cell r="D703" t="str">
            <v>HTJA030082</v>
          </cell>
          <cell r="E703" t="str">
            <v>10060762</v>
          </cell>
          <cell r="F703" t="str">
            <v>UF-2600i Ford Explorer</v>
          </cell>
          <cell r="G703">
            <v>100000</v>
          </cell>
          <cell r="H703" t="str">
            <v>Nacional</v>
          </cell>
          <cell r="I703">
            <v>10</v>
          </cell>
          <cell r="J703" t="str">
            <v>STD</v>
          </cell>
          <cell r="L703">
            <v>0</v>
          </cell>
          <cell r="M703">
            <v>0</v>
          </cell>
          <cell r="O703" t="str">
            <v>AGUJA DE DISPOSITIVO MEDIDOR</v>
          </cell>
        </row>
        <row r="704">
          <cell r="D704" t="str">
            <v>HTJA030082</v>
          </cell>
          <cell r="E704" t="str">
            <v>00806088</v>
          </cell>
          <cell r="F704" t="str">
            <v>UF-2600i Hyundai</v>
          </cell>
          <cell r="G704">
            <v>100000</v>
          </cell>
          <cell r="H704" t="str">
            <v>Nacional</v>
          </cell>
          <cell r="I704">
            <v>10</v>
          </cell>
          <cell r="J704" t="str">
            <v>STD</v>
          </cell>
          <cell r="L704">
            <v>0</v>
          </cell>
          <cell r="M704">
            <v>0</v>
          </cell>
          <cell r="O704" t="str">
            <v>AGUJA DE DISPOSITIVO MEDIDOR</v>
          </cell>
        </row>
        <row r="705">
          <cell r="D705" t="str">
            <v>HTJA030082</v>
          </cell>
          <cell r="E705" t="str">
            <v>10235857</v>
          </cell>
          <cell r="F705" t="str">
            <v>UF-2600i DNA (Preforma)</v>
          </cell>
          <cell r="G705">
            <v>100000</v>
          </cell>
          <cell r="H705" t="str">
            <v>Nacional</v>
          </cell>
          <cell r="I705">
            <v>10</v>
          </cell>
          <cell r="J705" t="str">
            <v>STD</v>
          </cell>
          <cell r="L705">
            <v>0</v>
          </cell>
          <cell r="M705">
            <v>0</v>
          </cell>
          <cell r="O705" t="str">
            <v>AGUJA DE DISPOSITIVO MEDIDOR</v>
          </cell>
        </row>
        <row r="706">
          <cell r="D706" t="str">
            <v>HTJA030082</v>
          </cell>
          <cell r="E706" t="str">
            <v>10018041</v>
          </cell>
          <cell r="F706" t="str">
            <v>UF-3300i W</v>
          </cell>
          <cell r="G706">
            <v>100000</v>
          </cell>
          <cell r="H706" t="str">
            <v>Nacional</v>
          </cell>
          <cell r="I706">
            <v>10</v>
          </cell>
          <cell r="J706" t="str">
            <v>STD</v>
          </cell>
          <cell r="L706">
            <v>14212.800000000001</v>
          </cell>
          <cell r="M706">
            <v>617.94782608695652</v>
          </cell>
          <cell r="O706" t="str">
            <v>AGUJA DE DISPOSITIVO MEDIDOR</v>
          </cell>
        </row>
        <row r="707">
          <cell r="D707" t="str">
            <v>HTJA030082</v>
          </cell>
          <cell r="E707" t="str">
            <v>10009621</v>
          </cell>
          <cell r="F707" t="str">
            <v>UF-4600i W</v>
          </cell>
          <cell r="G707">
            <v>100000</v>
          </cell>
          <cell r="H707" t="str">
            <v>Nacional</v>
          </cell>
          <cell r="I707">
            <v>10</v>
          </cell>
          <cell r="J707" t="str">
            <v>STD</v>
          </cell>
          <cell r="L707">
            <v>30182.199999999997</v>
          </cell>
          <cell r="M707">
            <v>1312.2695652173911</v>
          </cell>
          <cell r="O707" t="str">
            <v>AGUJA DE DISPOSITIVO MEDIDOR</v>
          </cell>
        </row>
        <row r="708">
          <cell r="D708" t="str">
            <v>HTJA030082</v>
          </cell>
          <cell r="E708" t="str">
            <v>7056050202</v>
          </cell>
          <cell r="F708" t="str">
            <v>A4 RF-91 Concept One</v>
          </cell>
          <cell r="G708">
            <v>100000</v>
          </cell>
          <cell r="H708" t="str">
            <v>Nacional</v>
          </cell>
          <cell r="I708">
            <v>10</v>
          </cell>
          <cell r="J708" t="str">
            <v>STD</v>
          </cell>
          <cell r="L708">
            <v>0</v>
          </cell>
          <cell r="M708">
            <v>0</v>
          </cell>
          <cell r="O708" t="str">
            <v>AGUJA DE DISPOSITIVO MEDIDOR</v>
          </cell>
        </row>
        <row r="709">
          <cell r="D709" t="str">
            <v>HTJA030082</v>
          </cell>
          <cell r="E709" t="str">
            <v>7174050203</v>
          </cell>
          <cell r="F709" t="str">
            <v>A4 RF-95</v>
          </cell>
          <cell r="G709">
            <v>100000</v>
          </cell>
          <cell r="H709" t="str">
            <v>Nacional</v>
          </cell>
          <cell r="I709">
            <v>10</v>
          </cell>
          <cell r="J709" t="str">
            <v>STD</v>
          </cell>
          <cell r="L709">
            <v>6412.2000000000007</v>
          </cell>
          <cell r="M709">
            <v>278.7913043478261</v>
          </cell>
          <cell r="O709" t="str">
            <v>AGUJA DE DISPOSITIVO MEDIDOR</v>
          </cell>
        </row>
        <row r="710">
          <cell r="D710" t="str">
            <v>HTJA030083</v>
          </cell>
          <cell r="E710" t="str">
            <v>8647050233</v>
          </cell>
          <cell r="F710" t="str">
            <v>AC-2000i Honda Acura</v>
          </cell>
          <cell r="G710">
            <v>100000</v>
          </cell>
          <cell r="H710" t="str">
            <v>Nacional</v>
          </cell>
          <cell r="I710">
            <v>10</v>
          </cell>
          <cell r="J710" t="str">
            <v>AC-2000i</v>
          </cell>
          <cell r="L710">
            <v>74729.200000000012</v>
          </cell>
          <cell r="M710">
            <v>3249.0956521739135</v>
          </cell>
          <cell r="O710" t="str">
            <v>CARGADOR</v>
          </cell>
        </row>
        <row r="711">
          <cell r="D711" t="str">
            <v>HTJA030083</v>
          </cell>
          <cell r="E711" t="str">
            <v>10232841</v>
          </cell>
          <cell r="F711" t="str">
            <v>AC-2000i DNA (Preforma)</v>
          </cell>
          <cell r="G711">
            <v>100000</v>
          </cell>
          <cell r="H711" t="str">
            <v>Nacional</v>
          </cell>
          <cell r="I711">
            <v>10</v>
          </cell>
          <cell r="J711" t="str">
            <v>AC-2000i</v>
          </cell>
          <cell r="L711">
            <v>99000</v>
          </cell>
          <cell r="M711">
            <v>4304.347826086957</v>
          </cell>
          <cell r="O711" t="str">
            <v>CARGADOR</v>
          </cell>
        </row>
        <row r="712">
          <cell r="D712" t="str">
            <v>HTJA030084</v>
          </cell>
          <cell r="E712" t="str">
            <v>8647050233</v>
          </cell>
          <cell r="F712" t="str">
            <v>AC-2000i Honda Acura</v>
          </cell>
          <cell r="G712">
            <v>500000</v>
          </cell>
          <cell r="H712" t="str">
            <v>Nacional</v>
          </cell>
          <cell r="I712">
            <v>15</v>
          </cell>
          <cell r="J712" t="str">
            <v>STD</v>
          </cell>
          <cell r="L712">
            <v>74729.200000000012</v>
          </cell>
          <cell r="M712">
            <v>3249.0956521739135</v>
          </cell>
          <cell r="O712" t="str">
            <v>CARGADOR</v>
          </cell>
        </row>
        <row r="713">
          <cell r="D713" t="str">
            <v>HTJA030084</v>
          </cell>
          <cell r="E713" t="str">
            <v>10232841</v>
          </cell>
          <cell r="F713" t="str">
            <v>AC-2000i DNA (Preforma)</v>
          </cell>
          <cell r="G713">
            <v>500000</v>
          </cell>
          <cell r="H713" t="str">
            <v>Nacional</v>
          </cell>
          <cell r="I713">
            <v>15</v>
          </cell>
          <cell r="J713" t="str">
            <v>STD</v>
          </cell>
          <cell r="L713">
            <v>99000</v>
          </cell>
          <cell r="M713">
            <v>4304.347826086957</v>
          </cell>
          <cell r="O713" t="str">
            <v>CARGADOR</v>
          </cell>
        </row>
        <row r="714">
          <cell r="D714" t="str">
            <v>HTJA030084</v>
          </cell>
          <cell r="E714" t="str">
            <v>4302091005</v>
          </cell>
          <cell r="F714" t="str">
            <v>C-2000 PL-BODY</v>
          </cell>
          <cell r="G714">
            <v>500000</v>
          </cell>
          <cell r="H714" t="str">
            <v>Nacional</v>
          </cell>
          <cell r="I714">
            <v>15</v>
          </cell>
          <cell r="J714" t="str">
            <v>STD</v>
          </cell>
          <cell r="L714">
            <v>0</v>
          </cell>
          <cell r="M714">
            <v>0</v>
          </cell>
          <cell r="O714" t="str">
            <v>CARGADOR</v>
          </cell>
        </row>
        <row r="715">
          <cell r="D715" t="str">
            <v>HTJA030084</v>
          </cell>
          <cell r="E715" t="str">
            <v>7324050215</v>
          </cell>
          <cell r="F715" t="str">
            <v>AC-2300i PT-44</v>
          </cell>
          <cell r="G715">
            <v>500000</v>
          </cell>
          <cell r="H715" t="str">
            <v>Nacional</v>
          </cell>
          <cell r="I715">
            <v>15</v>
          </cell>
          <cell r="J715" t="str">
            <v>STD</v>
          </cell>
          <cell r="L715">
            <v>58512.600000000006</v>
          </cell>
          <cell r="M715">
            <v>2544.0260869565218</v>
          </cell>
          <cell r="O715" t="str">
            <v>CARGADOR</v>
          </cell>
        </row>
        <row r="716">
          <cell r="D716" t="str">
            <v>HTJA030084</v>
          </cell>
          <cell r="E716" t="str">
            <v>10226750</v>
          </cell>
          <cell r="F716" t="str">
            <v>AC-2300i DNA (Preforma)</v>
          </cell>
          <cell r="G716">
            <v>500000</v>
          </cell>
          <cell r="H716" t="str">
            <v>Nacional</v>
          </cell>
          <cell r="I716">
            <v>15</v>
          </cell>
          <cell r="J716" t="str">
            <v>STD</v>
          </cell>
          <cell r="L716">
            <v>52509.599999999999</v>
          </cell>
          <cell r="M716">
            <v>2283.0260869565218</v>
          </cell>
          <cell r="O716" t="str">
            <v>CARGADOR</v>
          </cell>
        </row>
        <row r="717">
          <cell r="D717" t="str">
            <v>HTJA030084</v>
          </cell>
          <cell r="E717" t="str">
            <v>7553050217</v>
          </cell>
          <cell r="F717" t="str">
            <v>AC-2600i PT-Turbo</v>
          </cell>
          <cell r="G717">
            <v>500000</v>
          </cell>
          <cell r="H717" t="str">
            <v>Nacional</v>
          </cell>
          <cell r="I717">
            <v>15</v>
          </cell>
          <cell r="J717" t="str">
            <v>STD</v>
          </cell>
          <cell r="L717">
            <v>37981.199999999997</v>
          </cell>
          <cell r="M717">
            <v>1651.3565217391304</v>
          </cell>
          <cell r="O717" t="str">
            <v>CARGADOR</v>
          </cell>
        </row>
        <row r="718">
          <cell r="D718" t="str">
            <v>HTJA030084</v>
          </cell>
          <cell r="E718" t="str">
            <v>10001024R</v>
          </cell>
          <cell r="F718" t="str">
            <v>AC-2600i Ford Escape</v>
          </cell>
          <cell r="G718">
            <v>500000</v>
          </cell>
          <cell r="H718" t="str">
            <v>Nacional</v>
          </cell>
          <cell r="I718">
            <v>15</v>
          </cell>
          <cell r="J718" t="str">
            <v>STD</v>
          </cell>
          <cell r="L718">
            <v>59203</v>
          </cell>
          <cell r="M718">
            <v>2574.0434782608695</v>
          </cell>
          <cell r="O718" t="str">
            <v>CARGADOR</v>
          </cell>
        </row>
        <row r="719">
          <cell r="D719" t="str">
            <v>HTJA030084</v>
          </cell>
          <cell r="E719" t="str">
            <v>10226752</v>
          </cell>
          <cell r="F719" t="str">
            <v>AC-2600i DNA (Preforma)</v>
          </cell>
          <cell r="G719">
            <v>500000</v>
          </cell>
          <cell r="H719" t="str">
            <v>Nacional</v>
          </cell>
          <cell r="I719">
            <v>15</v>
          </cell>
          <cell r="J719" t="str">
            <v>STD</v>
          </cell>
          <cell r="L719">
            <v>31536</v>
          </cell>
          <cell r="M719">
            <v>1371.1304347826087</v>
          </cell>
          <cell r="O719" t="str">
            <v>CARGADOR</v>
          </cell>
        </row>
        <row r="720">
          <cell r="D720" t="str">
            <v>HTJA030084</v>
          </cell>
          <cell r="E720" t="str">
            <v>10054551</v>
          </cell>
          <cell r="F720" t="str">
            <v>AC-2650 JC49 / GS PLT / DNA</v>
          </cell>
          <cell r="G720">
            <v>500000</v>
          </cell>
          <cell r="H720" t="str">
            <v>Nacional</v>
          </cell>
          <cell r="I720">
            <v>15</v>
          </cell>
          <cell r="J720" t="str">
            <v>STD</v>
          </cell>
          <cell r="L720">
            <v>11932</v>
          </cell>
          <cell r="M720">
            <v>518.78260869565213</v>
          </cell>
          <cell r="O720" t="str">
            <v>CARGADOR</v>
          </cell>
        </row>
        <row r="721">
          <cell r="D721" t="str">
            <v>HTJA030084</v>
          </cell>
          <cell r="E721" t="str">
            <v>10226751</v>
          </cell>
          <cell r="F721" t="str">
            <v>AC-2650 DNA</v>
          </cell>
          <cell r="G721">
            <v>500000</v>
          </cell>
          <cell r="H721" t="str">
            <v>Nacional</v>
          </cell>
          <cell r="I721">
            <v>15</v>
          </cell>
          <cell r="J721" t="str">
            <v>STD</v>
          </cell>
          <cell r="L721">
            <v>24453</v>
          </cell>
          <cell r="M721">
            <v>1063.1739130434783</v>
          </cell>
          <cell r="O721" t="str">
            <v>CARGADOR</v>
          </cell>
        </row>
        <row r="722">
          <cell r="D722" t="str">
            <v>HTJA030084</v>
          </cell>
          <cell r="E722" t="str">
            <v>8152050226</v>
          </cell>
          <cell r="F722" t="str">
            <v>UF-2600i PQ-35 VW</v>
          </cell>
          <cell r="G722">
            <v>500000</v>
          </cell>
          <cell r="H722" t="str">
            <v>Nacional</v>
          </cell>
          <cell r="I722">
            <v>15</v>
          </cell>
          <cell r="J722" t="str">
            <v>STD</v>
          </cell>
          <cell r="L722">
            <v>38227.399999999994</v>
          </cell>
          <cell r="M722">
            <v>1662.0608695652172</v>
          </cell>
          <cell r="O722" t="str">
            <v>CARGADOR</v>
          </cell>
        </row>
        <row r="723">
          <cell r="D723" t="str">
            <v>HTJA030084</v>
          </cell>
          <cell r="E723" t="str">
            <v>10060762</v>
          </cell>
          <cell r="F723" t="str">
            <v>UF-2600i Ford Explorer</v>
          </cell>
          <cell r="G723">
            <v>500000</v>
          </cell>
          <cell r="H723" t="str">
            <v>Nacional</v>
          </cell>
          <cell r="I723">
            <v>15</v>
          </cell>
          <cell r="J723" t="str">
            <v>STD</v>
          </cell>
          <cell r="L723">
            <v>0</v>
          </cell>
          <cell r="M723">
            <v>0</v>
          </cell>
          <cell r="O723" t="str">
            <v>CARGADOR</v>
          </cell>
        </row>
        <row r="724">
          <cell r="D724" t="str">
            <v>HTJA030084</v>
          </cell>
          <cell r="E724" t="str">
            <v>00806088</v>
          </cell>
          <cell r="F724" t="str">
            <v>UF-2600i Hyundai</v>
          </cell>
          <cell r="G724">
            <v>500000</v>
          </cell>
          <cell r="H724" t="str">
            <v>Nacional</v>
          </cell>
          <cell r="I724">
            <v>15</v>
          </cell>
          <cell r="J724" t="str">
            <v>STD</v>
          </cell>
          <cell r="L724">
            <v>0</v>
          </cell>
          <cell r="M724">
            <v>0</v>
          </cell>
          <cell r="O724" t="str">
            <v>CARGADOR</v>
          </cell>
        </row>
        <row r="725">
          <cell r="D725" t="str">
            <v>HTJA030084</v>
          </cell>
          <cell r="E725" t="str">
            <v>10235857</v>
          </cell>
          <cell r="F725" t="str">
            <v>UF-2600i DNA (Preforma)</v>
          </cell>
          <cell r="G725">
            <v>500000</v>
          </cell>
          <cell r="H725" t="str">
            <v>Nacional</v>
          </cell>
          <cell r="I725">
            <v>15</v>
          </cell>
          <cell r="J725" t="str">
            <v>STD</v>
          </cell>
          <cell r="L725">
            <v>0</v>
          </cell>
          <cell r="M725">
            <v>0</v>
          </cell>
          <cell r="O725" t="str">
            <v>CARGADOR</v>
          </cell>
        </row>
        <row r="726">
          <cell r="D726" t="str">
            <v>HTJA030084</v>
          </cell>
          <cell r="E726" t="str">
            <v>10018041</v>
          </cell>
          <cell r="F726" t="str">
            <v>UF-3300i W</v>
          </cell>
          <cell r="G726">
            <v>500000</v>
          </cell>
          <cell r="H726" t="str">
            <v>Nacional</v>
          </cell>
          <cell r="I726">
            <v>15</v>
          </cell>
          <cell r="J726" t="str">
            <v>STD</v>
          </cell>
          <cell r="L726">
            <v>13520.454678603319</v>
          </cell>
          <cell r="M726">
            <v>587.84585559144864</v>
          </cell>
          <cell r="O726" t="str">
            <v>CARGADOR</v>
          </cell>
        </row>
        <row r="727">
          <cell r="D727" t="str">
            <v>HTJA030084</v>
          </cell>
          <cell r="E727" t="str">
            <v>10009621</v>
          </cell>
          <cell r="F727" t="str">
            <v>UF-4600i W</v>
          </cell>
          <cell r="G727">
            <v>500000</v>
          </cell>
          <cell r="H727" t="str">
            <v>Nacional</v>
          </cell>
          <cell r="I727">
            <v>15</v>
          </cell>
          <cell r="J727" t="str">
            <v>STD</v>
          </cell>
          <cell r="L727">
            <v>33932.483034337194</v>
          </cell>
          <cell r="M727">
            <v>1475.3253493190084</v>
          </cell>
          <cell r="O727" t="str">
            <v>CARGADOR</v>
          </cell>
        </row>
        <row r="728">
          <cell r="D728" t="str">
            <v>HTJA030084</v>
          </cell>
          <cell r="E728" t="str">
            <v>7056050202</v>
          </cell>
          <cell r="F728" t="str">
            <v>A4 RF-91 Concept One</v>
          </cell>
          <cell r="G728">
            <v>500000</v>
          </cell>
          <cell r="H728" t="str">
            <v>Nacional</v>
          </cell>
          <cell r="I728">
            <v>15</v>
          </cell>
          <cell r="J728" t="str">
            <v>STD</v>
          </cell>
          <cell r="L728">
            <v>0</v>
          </cell>
          <cell r="M728">
            <v>0</v>
          </cell>
          <cell r="O728" t="str">
            <v>CARGADOR</v>
          </cell>
        </row>
        <row r="729">
          <cell r="D729" t="str">
            <v>HTJA030084</v>
          </cell>
          <cell r="E729" t="str">
            <v>7174050203</v>
          </cell>
          <cell r="F729" t="str">
            <v>A4 RF-95</v>
          </cell>
          <cell r="G729">
            <v>500000</v>
          </cell>
          <cell r="H729" t="str">
            <v>Nacional</v>
          </cell>
          <cell r="I729">
            <v>15</v>
          </cell>
          <cell r="J729" t="str">
            <v>STD</v>
          </cell>
          <cell r="L729">
            <v>8133.6</v>
          </cell>
          <cell r="M729">
            <v>353.63478260869567</v>
          </cell>
          <cell r="O729" t="str">
            <v>CARGADOR</v>
          </cell>
        </row>
        <row r="730">
          <cell r="D730" t="str">
            <v>HTJA030088</v>
          </cell>
          <cell r="E730" t="str">
            <v>8647050233</v>
          </cell>
          <cell r="F730" t="str">
            <v>AC-2000i Honda Acura</v>
          </cell>
          <cell r="G730">
            <v>300000</v>
          </cell>
          <cell r="H730" t="str">
            <v>Profirrol</v>
          </cell>
          <cell r="I730">
            <v>30</v>
          </cell>
          <cell r="J730" t="str">
            <v>STD</v>
          </cell>
          <cell r="L730">
            <v>74729.200000000012</v>
          </cell>
          <cell r="M730">
            <v>3249.0956521739135</v>
          </cell>
          <cell r="O730" t="str">
            <v>BUJE DEL RODILLO REDONDO</v>
          </cell>
        </row>
        <row r="731">
          <cell r="D731" t="str">
            <v>HTJA030088</v>
          </cell>
          <cell r="E731" t="str">
            <v>10232841</v>
          </cell>
          <cell r="F731" t="str">
            <v>AC-2000i DNA (Preforma)</v>
          </cell>
          <cell r="G731">
            <v>300000</v>
          </cell>
          <cell r="H731" t="str">
            <v>Profirrol</v>
          </cell>
          <cell r="I731">
            <v>30</v>
          </cell>
          <cell r="J731" t="str">
            <v>STD</v>
          </cell>
          <cell r="L731">
            <v>99000</v>
          </cell>
          <cell r="M731">
            <v>4304.347826086957</v>
          </cell>
          <cell r="O731" t="str">
            <v>BUJE DEL RODILLO REDONDO</v>
          </cell>
        </row>
        <row r="732">
          <cell r="D732" t="str">
            <v>HTJA030088</v>
          </cell>
          <cell r="E732" t="str">
            <v>4302091005</v>
          </cell>
          <cell r="F732" t="str">
            <v>C-2000 PL-BODY</v>
          </cell>
          <cell r="G732">
            <v>300000</v>
          </cell>
          <cell r="H732" t="str">
            <v>Profirrol</v>
          </cell>
          <cell r="I732">
            <v>30</v>
          </cell>
          <cell r="J732" t="str">
            <v>STD</v>
          </cell>
          <cell r="L732">
            <v>0</v>
          </cell>
          <cell r="M732">
            <v>0</v>
          </cell>
          <cell r="O732" t="str">
            <v>BUJE DEL RODILLO REDONDO</v>
          </cell>
        </row>
        <row r="733">
          <cell r="D733" t="str">
            <v>HTJA030088</v>
          </cell>
          <cell r="E733" t="str">
            <v>7324050215</v>
          </cell>
          <cell r="F733" t="str">
            <v>AC-2300i PT-44</v>
          </cell>
          <cell r="G733">
            <v>300000</v>
          </cell>
          <cell r="H733" t="str">
            <v>Profirrol</v>
          </cell>
          <cell r="I733">
            <v>30</v>
          </cell>
          <cell r="J733" t="str">
            <v>STD</v>
          </cell>
          <cell r="L733">
            <v>58512.600000000006</v>
          </cell>
          <cell r="M733">
            <v>2544.0260869565218</v>
          </cell>
          <cell r="O733" t="str">
            <v>BUJE DEL RODILLO REDONDO</v>
          </cell>
        </row>
        <row r="734">
          <cell r="D734" t="str">
            <v>HTJA030088</v>
          </cell>
          <cell r="E734" t="str">
            <v>10226750</v>
          </cell>
          <cell r="F734" t="str">
            <v>AC-2300i DNA (Preforma)</v>
          </cell>
          <cell r="G734">
            <v>300000</v>
          </cell>
          <cell r="H734" t="str">
            <v>Profirrol</v>
          </cell>
          <cell r="I734">
            <v>30</v>
          </cell>
          <cell r="J734" t="str">
            <v>STD</v>
          </cell>
          <cell r="L734">
            <v>52509.599999999999</v>
          </cell>
          <cell r="M734">
            <v>2283.0260869565218</v>
          </cell>
          <cell r="O734" t="str">
            <v>BUJE DEL RODILLO REDONDO</v>
          </cell>
        </row>
        <row r="735">
          <cell r="D735" t="str">
            <v>HTJA030088</v>
          </cell>
          <cell r="E735" t="str">
            <v>7553050217</v>
          </cell>
          <cell r="F735" t="str">
            <v>AC-2600i PT-Turbo</v>
          </cell>
          <cell r="G735">
            <v>300000</v>
          </cell>
          <cell r="H735" t="str">
            <v>Profirrol</v>
          </cell>
          <cell r="I735">
            <v>30</v>
          </cell>
          <cell r="J735" t="str">
            <v>STD</v>
          </cell>
          <cell r="L735">
            <v>37981.199999999997</v>
          </cell>
          <cell r="M735">
            <v>1651.3565217391304</v>
          </cell>
          <cell r="O735" t="str">
            <v>BUJE DEL RODILLO REDONDO</v>
          </cell>
        </row>
        <row r="736">
          <cell r="D736" t="str">
            <v>HTJA030088</v>
          </cell>
          <cell r="E736" t="str">
            <v>10001024R</v>
          </cell>
          <cell r="F736" t="str">
            <v>AC-2600i Ford Escape</v>
          </cell>
          <cell r="G736">
            <v>300000</v>
          </cell>
          <cell r="H736" t="str">
            <v>Profirrol</v>
          </cell>
          <cell r="I736">
            <v>30</v>
          </cell>
          <cell r="J736" t="str">
            <v>STD</v>
          </cell>
          <cell r="L736">
            <v>59203</v>
          </cell>
          <cell r="M736">
            <v>2574.0434782608695</v>
          </cell>
          <cell r="O736" t="str">
            <v>BUJE DEL RODILLO REDONDO</v>
          </cell>
        </row>
        <row r="737">
          <cell r="D737" t="str">
            <v>HTJA030088</v>
          </cell>
          <cell r="E737" t="str">
            <v>10226752</v>
          </cell>
          <cell r="F737" t="str">
            <v>AC-2600i DNA (Preforma)</v>
          </cell>
          <cell r="G737">
            <v>300000</v>
          </cell>
          <cell r="H737" t="str">
            <v>Profirrol</v>
          </cell>
          <cell r="I737">
            <v>30</v>
          </cell>
          <cell r="J737" t="str">
            <v>STD</v>
          </cell>
          <cell r="L737">
            <v>31536</v>
          </cell>
          <cell r="M737">
            <v>1371.1304347826087</v>
          </cell>
          <cell r="O737" t="str">
            <v>BUJE DEL RODILLO REDONDO</v>
          </cell>
        </row>
        <row r="738">
          <cell r="D738" t="str">
            <v>HTJA030088</v>
          </cell>
          <cell r="E738" t="str">
            <v>10054551</v>
          </cell>
          <cell r="F738" t="str">
            <v>AC-2650 JC49 / GS PLT / DNA</v>
          </cell>
          <cell r="G738">
            <v>300000</v>
          </cell>
          <cell r="H738" t="str">
            <v>Profirrol</v>
          </cell>
          <cell r="I738">
            <v>30</v>
          </cell>
          <cell r="J738" t="str">
            <v>STD</v>
          </cell>
          <cell r="L738">
            <v>11932</v>
          </cell>
          <cell r="M738">
            <v>518.78260869565213</v>
          </cell>
          <cell r="O738" t="str">
            <v>BUJE DEL RODILLO REDONDO</v>
          </cell>
        </row>
        <row r="739">
          <cell r="D739" t="str">
            <v>HTJA030088</v>
          </cell>
          <cell r="E739" t="str">
            <v>10226751</v>
          </cell>
          <cell r="F739" t="str">
            <v>AC-2650 DNA</v>
          </cell>
          <cell r="G739">
            <v>300000</v>
          </cell>
          <cell r="H739" t="str">
            <v>Profirrol</v>
          </cell>
          <cell r="I739">
            <v>30</v>
          </cell>
          <cell r="J739" t="str">
            <v>STD</v>
          </cell>
          <cell r="L739">
            <v>24453</v>
          </cell>
          <cell r="M739">
            <v>1063.1739130434783</v>
          </cell>
          <cell r="O739" t="str">
            <v>BUJE DEL RODILLO REDONDO</v>
          </cell>
        </row>
        <row r="740">
          <cell r="D740" t="str">
            <v>HTJA030088</v>
          </cell>
          <cell r="E740" t="str">
            <v>8152050226</v>
          </cell>
          <cell r="F740" t="str">
            <v>UF-2600i PQ-35 VW</v>
          </cell>
          <cell r="G740">
            <v>300000</v>
          </cell>
          <cell r="H740" t="str">
            <v>Profirrol</v>
          </cell>
          <cell r="I740">
            <v>30</v>
          </cell>
          <cell r="J740" t="str">
            <v>STD</v>
          </cell>
          <cell r="L740">
            <v>38227.399999999994</v>
          </cell>
          <cell r="M740">
            <v>1662.0608695652172</v>
          </cell>
          <cell r="O740" t="str">
            <v>BUJE DEL RODILLO REDONDO</v>
          </cell>
        </row>
        <row r="741">
          <cell r="D741" t="str">
            <v>HTJA030088</v>
          </cell>
          <cell r="E741" t="str">
            <v>10060762</v>
          </cell>
          <cell r="F741" t="str">
            <v>UF-2600i Ford Explorer</v>
          </cell>
          <cell r="G741">
            <v>300000</v>
          </cell>
          <cell r="H741" t="str">
            <v>Profirrol</v>
          </cell>
          <cell r="I741">
            <v>30</v>
          </cell>
          <cell r="J741" t="str">
            <v>STD</v>
          </cell>
          <cell r="L741">
            <v>0</v>
          </cell>
          <cell r="M741">
            <v>0</v>
          </cell>
          <cell r="O741" t="str">
            <v>BUJE DEL RODILLO REDONDO</v>
          </cell>
        </row>
        <row r="742">
          <cell r="D742" t="str">
            <v>HTJA030088</v>
          </cell>
          <cell r="E742" t="str">
            <v>00806088</v>
          </cell>
          <cell r="F742" t="str">
            <v>UF-2600i Hyundai</v>
          </cell>
          <cell r="G742">
            <v>300000</v>
          </cell>
          <cell r="H742" t="str">
            <v>Profirrol</v>
          </cell>
          <cell r="I742">
            <v>30</v>
          </cell>
          <cell r="J742" t="str">
            <v>STD</v>
          </cell>
          <cell r="L742">
            <v>0</v>
          </cell>
          <cell r="M742">
            <v>0</v>
          </cell>
          <cell r="O742" t="str">
            <v>BUJE DEL RODILLO REDONDO</v>
          </cell>
        </row>
        <row r="743">
          <cell r="D743" t="str">
            <v>HTJA030088</v>
          </cell>
          <cell r="E743" t="str">
            <v>10235857</v>
          </cell>
          <cell r="F743" t="str">
            <v>UF-2600i DNA (Preforma)</v>
          </cell>
          <cell r="G743">
            <v>300000</v>
          </cell>
          <cell r="H743" t="str">
            <v>Profirrol</v>
          </cell>
          <cell r="I743">
            <v>30</v>
          </cell>
          <cell r="J743" t="str">
            <v>STD</v>
          </cell>
          <cell r="L743">
            <v>0</v>
          </cell>
          <cell r="M743">
            <v>0</v>
          </cell>
          <cell r="O743" t="str">
            <v>BUJE DEL RODILLO REDONDO</v>
          </cell>
        </row>
        <row r="744">
          <cell r="D744" t="str">
            <v>HTJA030088</v>
          </cell>
          <cell r="E744" t="str">
            <v>10018041</v>
          </cell>
          <cell r="F744" t="str">
            <v>UF-3300i W</v>
          </cell>
          <cell r="G744">
            <v>300000</v>
          </cell>
          <cell r="H744" t="str">
            <v>Profirrol</v>
          </cell>
          <cell r="I744">
            <v>30</v>
          </cell>
          <cell r="J744" t="str">
            <v>STD</v>
          </cell>
          <cell r="L744">
            <v>13520.454678603319</v>
          </cell>
          <cell r="M744">
            <v>587.84585559144864</v>
          </cell>
          <cell r="O744" t="str">
            <v>BUJE DEL RODILLO REDONDO</v>
          </cell>
        </row>
        <row r="745">
          <cell r="D745" t="str">
            <v>HTJA030088</v>
          </cell>
          <cell r="E745" t="str">
            <v>10009621</v>
          </cell>
          <cell r="F745" t="str">
            <v>UF-4600i W</v>
          </cell>
          <cell r="G745">
            <v>300000</v>
          </cell>
          <cell r="H745" t="str">
            <v>Profirrol</v>
          </cell>
          <cell r="I745">
            <v>30</v>
          </cell>
          <cell r="J745" t="str">
            <v>STD</v>
          </cell>
          <cell r="L745">
            <v>33932.483034337194</v>
          </cell>
          <cell r="M745">
            <v>1475.3253493190084</v>
          </cell>
          <cell r="O745" t="str">
            <v>BUJE DEL RODILLO REDONDO</v>
          </cell>
        </row>
        <row r="746">
          <cell r="D746" t="str">
            <v>HTJA030088</v>
          </cell>
          <cell r="E746" t="str">
            <v>7056050202</v>
          </cell>
          <cell r="F746" t="str">
            <v>A4 RF-91 Concept One</v>
          </cell>
          <cell r="G746">
            <v>300000</v>
          </cell>
          <cell r="H746" t="str">
            <v>Profirrol</v>
          </cell>
          <cell r="I746">
            <v>30</v>
          </cell>
          <cell r="J746" t="str">
            <v>STD</v>
          </cell>
          <cell r="L746">
            <v>0</v>
          </cell>
          <cell r="M746">
            <v>0</v>
          </cell>
          <cell r="O746" t="str">
            <v>BUJE DEL RODILLO REDONDO</v>
          </cell>
        </row>
        <row r="747">
          <cell r="D747" t="str">
            <v>HTJA030088</v>
          </cell>
          <cell r="E747" t="str">
            <v>7174050203</v>
          </cell>
          <cell r="F747" t="str">
            <v>A4 RF-95</v>
          </cell>
          <cell r="G747">
            <v>300000</v>
          </cell>
          <cell r="H747" t="str">
            <v>Profirrol</v>
          </cell>
          <cell r="I747">
            <v>30</v>
          </cell>
          <cell r="J747" t="str">
            <v>STD</v>
          </cell>
          <cell r="L747">
            <v>8133.6</v>
          </cell>
          <cell r="M747">
            <v>353.63478260869567</v>
          </cell>
          <cell r="O747" t="str">
            <v>BUJE DEL RODILLO REDONDO</v>
          </cell>
        </row>
        <row r="748">
          <cell r="D748" t="str">
            <v>HTJA030089</v>
          </cell>
          <cell r="E748" t="str">
            <v>8647050233</v>
          </cell>
          <cell r="F748" t="str">
            <v>AC-2000i Honda Acura</v>
          </cell>
          <cell r="G748">
            <v>300000</v>
          </cell>
          <cell r="H748" t="str">
            <v>Profirrol</v>
          </cell>
          <cell r="I748">
            <v>30</v>
          </cell>
          <cell r="J748" t="str">
            <v>STD</v>
          </cell>
          <cell r="L748">
            <v>74729.200000000012</v>
          </cell>
          <cell r="M748">
            <v>3249.0956521739135</v>
          </cell>
          <cell r="O748" t="str">
            <v>BUJE LOCALIZADOR</v>
          </cell>
        </row>
        <row r="749">
          <cell r="D749" t="str">
            <v>HTJA030089</v>
          </cell>
          <cell r="E749" t="str">
            <v>10232841</v>
          </cell>
          <cell r="F749" t="str">
            <v>AC-2000i DNA (Preforma)</v>
          </cell>
          <cell r="G749">
            <v>300000</v>
          </cell>
          <cell r="H749" t="str">
            <v>Profirrol</v>
          </cell>
          <cell r="I749">
            <v>30</v>
          </cell>
          <cell r="J749" t="str">
            <v>STD</v>
          </cell>
          <cell r="L749">
            <v>99000</v>
          </cell>
          <cell r="M749">
            <v>4304.347826086957</v>
          </cell>
          <cell r="O749" t="str">
            <v>BUJE LOCALIZADOR</v>
          </cell>
        </row>
        <row r="750">
          <cell r="D750" t="str">
            <v>HTJA030089</v>
          </cell>
          <cell r="E750" t="str">
            <v>4302091005</v>
          </cell>
          <cell r="F750" t="str">
            <v>C-2000 PL-BODY</v>
          </cell>
          <cell r="G750">
            <v>300000</v>
          </cell>
          <cell r="H750" t="str">
            <v>Profirrol</v>
          </cell>
          <cell r="I750">
            <v>30</v>
          </cell>
          <cell r="J750" t="str">
            <v>STD</v>
          </cell>
          <cell r="L750">
            <v>0</v>
          </cell>
          <cell r="M750">
            <v>0</v>
          </cell>
          <cell r="O750" t="str">
            <v>BUJE LOCALIZADOR</v>
          </cell>
        </row>
        <row r="751">
          <cell r="D751" t="str">
            <v>HTJA030089</v>
          </cell>
          <cell r="E751" t="str">
            <v>7324050215</v>
          </cell>
          <cell r="F751" t="str">
            <v>AC-2300i PT-44</v>
          </cell>
          <cell r="G751">
            <v>300000</v>
          </cell>
          <cell r="H751" t="str">
            <v>Profirrol</v>
          </cell>
          <cell r="I751">
            <v>30</v>
          </cell>
          <cell r="J751" t="str">
            <v>STD</v>
          </cell>
          <cell r="L751">
            <v>58512.600000000006</v>
          </cell>
          <cell r="M751">
            <v>2544.0260869565218</v>
          </cell>
          <cell r="O751" t="str">
            <v>BUJE LOCALIZADOR</v>
          </cell>
        </row>
        <row r="752">
          <cell r="D752" t="str">
            <v>HTJA030089</v>
          </cell>
          <cell r="E752" t="str">
            <v>10226750</v>
          </cell>
          <cell r="F752" t="str">
            <v>AC-2300i DNA (Preforma)</v>
          </cell>
          <cell r="G752">
            <v>300000</v>
          </cell>
          <cell r="H752" t="str">
            <v>Profirrol</v>
          </cell>
          <cell r="I752">
            <v>30</v>
          </cell>
          <cell r="J752" t="str">
            <v>STD</v>
          </cell>
          <cell r="L752">
            <v>52509.599999999999</v>
          </cell>
          <cell r="M752">
            <v>2283.0260869565218</v>
          </cell>
          <cell r="O752" t="str">
            <v>BUJE LOCALIZADOR</v>
          </cell>
        </row>
        <row r="753">
          <cell r="D753" t="str">
            <v>HTJA030089</v>
          </cell>
          <cell r="E753" t="str">
            <v>7553050217</v>
          </cell>
          <cell r="F753" t="str">
            <v>AC-2600i PT-Turbo</v>
          </cell>
          <cell r="G753">
            <v>300000</v>
          </cell>
          <cell r="H753" t="str">
            <v>Profirrol</v>
          </cell>
          <cell r="I753">
            <v>30</v>
          </cell>
          <cell r="J753" t="str">
            <v>STD</v>
          </cell>
          <cell r="L753">
            <v>37981.199999999997</v>
          </cell>
          <cell r="M753">
            <v>1651.3565217391304</v>
          </cell>
          <cell r="O753" t="str">
            <v>BUJE LOCALIZADOR</v>
          </cell>
        </row>
        <row r="754">
          <cell r="D754" t="str">
            <v>HTJA030089</v>
          </cell>
          <cell r="E754" t="str">
            <v>10001024R</v>
          </cell>
          <cell r="F754" t="str">
            <v>AC-2600i Ford Escape</v>
          </cell>
          <cell r="G754">
            <v>300000</v>
          </cell>
          <cell r="H754" t="str">
            <v>Profirrol</v>
          </cell>
          <cell r="I754">
            <v>30</v>
          </cell>
          <cell r="J754" t="str">
            <v>STD</v>
          </cell>
          <cell r="L754">
            <v>59203</v>
          </cell>
          <cell r="M754">
            <v>2574.0434782608695</v>
          </cell>
          <cell r="O754" t="str">
            <v>BUJE LOCALIZADOR</v>
          </cell>
        </row>
        <row r="755">
          <cell r="D755" t="str">
            <v>HTJA030089</v>
          </cell>
          <cell r="E755" t="str">
            <v>10226752</v>
          </cell>
          <cell r="F755" t="str">
            <v>AC-2600i DNA (Preforma)</v>
          </cell>
          <cell r="G755">
            <v>300000</v>
          </cell>
          <cell r="H755" t="str">
            <v>Profirrol</v>
          </cell>
          <cell r="I755">
            <v>30</v>
          </cell>
          <cell r="J755" t="str">
            <v>STD</v>
          </cell>
          <cell r="L755">
            <v>31536</v>
          </cell>
          <cell r="M755">
            <v>1371.1304347826087</v>
          </cell>
          <cell r="O755" t="str">
            <v>BUJE LOCALIZADOR</v>
          </cell>
        </row>
        <row r="756">
          <cell r="D756" t="str">
            <v>HTJA030089</v>
          </cell>
          <cell r="E756" t="str">
            <v>10054551</v>
          </cell>
          <cell r="F756" t="str">
            <v>AC-2650 JC49 / GS PLT / DNA</v>
          </cell>
          <cell r="G756">
            <v>300000</v>
          </cell>
          <cell r="H756" t="str">
            <v>Profirrol</v>
          </cell>
          <cell r="I756">
            <v>30</v>
          </cell>
          <cell r="J756" t="str">
            <v>STD</v>
          </cell>
          <cell r="L756">
            <v>11932</v>
          </cell>
          <cell r="M756">
            <v>518.78260869565213</v>
          </cell>
          <cell r="O756" t="str">
            <v>BUJE LOCALIZADOR</v>
          </cell>
        </row>
        <row r="757">
          <cell r="D757" t="str">
            <v>HTJA030089</v>
          </cell>
          <cell r="E757" t="str">
            <v>10226751</v>
          </cell>
          <cell r="F757" t="str">
            <v>AC-2650 DNA</v>
          </cell>
          <cell r="G757">
            <v>300000</v>
          </cell>
          <cell r="H757" t="str">
            <v>Profirrol</v>
          </cell>
          <cell r="I757">
            <v>30</v>
          </cell>
          <cell r="J757" t="str">
            <v>STD</v>
          </cell>
          <cell r="L757">
            <v>24453</v>
          </cell>
          <cell r="M757">
            <v>1063.1739130434783</v>
          </cell>
          <cell r="O757" t="str">
            <v>BUJE LOCALIZADOR</v>
          </cell>
        </row>
        <row r="758">
          <cell r="D758" t="str">
            <v>HTJA030089</v>
          </cell>
          <cell r="E758" t="str">
            <v>8152050226</v>
          </cell>
          <cell r="F758" t="str">
            <v>UF-2600i PQ-35 VW</v>
          </cell>
          <cell r="G758">
            <v>300000</v>
          </cell>
          <cell r="H758" t="str">
            <v>Profirrol</v>
          </cell>
          <cell r="I758">
            <v>30</v>
          </cell>
          <cell r="J758" t="str">
            <v>STD</v>
          </cell>
          <cell r="L758">
            <v>38227.399999999994</v>
          </cell>
          <cell r="M758">
            <v>1662.0608695652172</v>
          </cell>
          <cell r="O758" t="str">
            <v>BUJE LOCALIZADOR</v>
          </cell>
        </row>
        <row r="759">
          <cell r="D759" t="str">
            <v>HTJA030089</v>
          </cell>
          <cell r="E759" t="str">
            <v>10060762</v>
          </cell>
          <cell r="F759" t="str">
            <v>UF-2600i Ford Explorer</v>
          </cell>
          <cell r="G759">
            <v>300000</v>
          </cell>
          <cell r="H759" t="str">
            <v>Profirrol</v>
          </cell>
          <cell r="I759">
            <v>30</v>
          </cell>
          <cell r="J759" t="str">
            <v>STD</v>
          </cell>
          <cell r="L759">
            <v>0</v>
          </cell>
          <cell r="M759">
            <v>0</v>
          </cell>
          <cell r="O759" t="str">
            <v>BUJE LOCALIZADOR</v>
          </cell>
        </row>
        <row r="760">
          <cell r="D760" t="str">
            <v>HTJA030089</v>
          </cell>
          <cell r="E760" t="str">
            <v>00806088</v>
          </cell>
          <cell r="F760" t="str">
            <v>UF-2600i Hyundai</v>
          </cell>
          <cell r="G760">
            <v>300000</v>
          </cell>
          <cell r="H760" t="str">
            <v>Profirrol</v>
          </cell>
          <cell r="I760">
            <v>30</v>
          </cell>
          <cell r="J760" t="str">
            <v>STD</v>
          </cell>
          <cell r="L760">
            <v>0</v>
          </cell>
          <cell r="M760">
            <v>0</v>
          </cell>
          <cell r="O760" t="str">
            <v>BUJE LOCALIZADOR</v>
          </cell>
        </row>
        <row r="761">
          <cell r="D761" t="str">
            <v>HTJA030089</v>
          </cell>
          <cell r="E761" t="str">
            <v>10235857</v>
          </cell>
          <cell r="F761" t="str">
            <v>UF-2600i DNA (Preforma)</v>
          </cell>
          <cell r="G761">
            <v>300000</v>
          </cell>
          <cell r="H761" t="str">
            <v>Profirrol</v>
          </cell>
          <cell r="I761">
            <v>30</v>
          </cell>
          <cell r="J761" t="str">
            <v>STD</v>
          </cell>
          <cell r="L761">
            <v>0</v>
          </cell>
          <cell r="M761">
            <v>0</v>
          </cell>
          <cell r="O761" t="str">
            <v>BUJE LOCALIZADOR</v>
          </cell>
        </row>
        <row r="762">
          <cell r="D762" t="str">
            <v>HTJA030089</v>
          </cell>
          <cell r="E762" t="str">
            <v>10018041</v>
          </cell>
          <cell r="F762" t="str">
            <v>UF-3300i W</v>
          </cell>
          <cell r="G762">
            <v>300000</v>
          </cell>
          <cell r="H762" t="str">
            <v>Profirrol</v>
          </cell>
          <cell r="I762">
            <v>30</v>
          </cell>
          <cell r="J762" t="str">
            <v>STD</v>
          </cell>
          <cell r="L762">
            <v>13520.454678603319</v>
          </cell>
          <cell r="M762">
            <v>587.84585559144864</v>
          </cell>
          <cell r="O762" t="str">
            <v>BUJE LOCALIZADOR</v>
          </cell>
        </row>
        <row r="763">
          <cell r="D763" t="str">
            <v>HTJA030089</v>
          </cell>
          <cell r="E763" t="str">
            <v>10009621</v>
          </cell>
          <cell r="F763" t="str">
            <v>UF-4600i W</v>
          </cell>
          <cell r="G763">
            <v>300000</v>
          </cell>
          <cell r="H763" t="str">
            <v>Profirrol</v>
          </cell>
          <cell r="I763">
            <v>30</v>
          </cell>
          <cell r="J763" t="str">
            <v>STD</v>
          </cell>
          <cell r="L763">
            <v>33932.483034337194</v>
          </cell>
          <cell r="M763">
            <v>1475.3253493190084</v>
          </cell>
          <cell r="O763" t="str">
            <v>BUJE LOCALIZADOR</v>
          </cell>
        </row>
        <row r="764">
          <cell r="D764" t="str">
            <v>HTJA030089</v>
          </cell>
          <cell r="E764" t="str">
            <v>7056050202</v>
          </cell>
          <cell r="F764" t="str">
            <v>A4 RF-91 Concept One</v>
          </cell>
          <cell r="G764">
            <v>300000</v>
          </cell>
          <cell r="H764" t="str">
            <v>Profirrol</v>
          </cell>
          <cell r="I764">
            <v>30</v>
          </cell>
          <cell r="J764" t="str">
            <v>STD</v>
          </cell>
          <cell r="L764">
            <v>0</v>
          </cell>
          <cell r="M764">
            <v>0</v>
          </cell>
          <cell r="O764" t="str">
            <v>BUJE LOCALIZADOR</v>
          </cell>
        </row>
        <row r="765">
          <cell r="D765" t="str">
            <v>HTJA030089</v>
          </cell>
          <cell r="E765" t="str">
            <v>7174050203</v>
          </cell>
          <cell r="F765" t="str">
            <v>A4 RF-95</v>
          </cell>
          <cell r="G765">
            <v>300000</v>
          </cell>
          <cell r="H765" t="str">
            <v>Profirrol</v>
          </cell>
          <cell r="I765">
            <v>30</v>
          </cell>
          <cell r="J765" t="str">
            <v>STD</v>
          </cell>
          <cell r="L765">
            <v>8133.6</v>
          </cell>
          <cell r="M765">
            <v>353.63478260869567</v>
          </cell>
          <cell r="O765" t="str">
            <v>BUJE LOCALIZADOR</v>
          </cell>
        </row>
        <row r="766">
          <cell r="D766" t="str">
            <v>HTJA030090</v>
          </cell>
          <cell r="E766" t="str">
            <v>8647050233</v>
          </cell>
          <cell r="F766" t="str">
            <v>AC-2000i Honda Acura</v>
          </cell>
          <cell r="G766">
            <v>500000</v>
          </cell>
          <cell r="H766" t="str">
            <v>Profirrol</v>
          </cell>
          <cell r="I766">
            <v>10</v>
          </cell>
          <cell r="J766" t="str">
            <v>STD</v>
          </cell>
          <cell r="L766">
            <v>74801.200000000012</v>
          </cell>
          <cell r="M766">
            <v>3252.2260869565221</v>
          </cell>
          <cell r="O766" t="str">
            <v>PLACA PORTA BUJE LOCALIZADOR</v>
          </cell>
        </row>
        <row r="767">
          <cell r="D767" t="str">
            <v>HTJA030090</v>
          </cell>
          <cell r="E767" t="str">
            <v>10232841</v>
          </cell>
          <cell r="F767" t="str">
            <v>AC-2000i DNA (Preforma)</v>
          </cell>
          <cell r="G767">
            <v>500000</v>
          </cell>
          <cell r="H767" t="str">
            <v>Profirrol</v>
          </cell>
          <cell r="I767">
            <v>10</v>
          </cell>
          <cell r="J767" t="str">
            <v>STD</v>
          </cell>
          <cell r="L767">
            <v>101200</v>
          </cell>
          <cell r="M767">
            <v>4400</v>
          </cell>
          <cell r="O767" t="str">
            <v>PLACA PORTA BUJE LOCALIZADOR</v>
          </cell>
        </row>
        <row r="768">
          <cell r="D768" t="str">
            <v>HTJA030090</v>
          </cell>
          <cell r="E768" t="str">
            <v>4302091005</v>
          </cell>
          <cell r="F768" t="str">
            <v>C-2000 PL-BODY</v>
          </cell>
          <cell r="G768">
            <v>500000</v>
          </cell>
          <cell r="H768" t="str">
            <v>Profirrol</v>
          </cell>
          <cell r="I768">
            <v>10</v>
          </cell>
          <cell r="J768" t="str">
            <v>STD</v>
          </cell>
          <cell r="L768">
            <v>1811</v>
          </cell>
          <cell r="M768">
            <v>78.739130434782609</v>
          </cell>
          <cell r="O768" t="str">
            <v>PLACA PORTA BUJE LOCALIZADOR</v>
          </cell>
        </row>
        <row r="769">
          <cell r="D769" t="str">
            <v>HTJA030090</v>
          </cell>
          <cell r="E769" t="str">
            <v>7324050215</v>
          </cell>
          <cell r="F769" t="str">
            <v>AC-2300i PT-44</v>
          </cell>
          <cell r="G769">
            <v>500000</v>
          </cell>
          <cell r="H769" t="str">
            <v>Profirrol</v>
          </cell>
          <cell r="I769">
            <v>10</v>
          </cell>
          <cell r="J769" t="str">
            <v>STD</v>
          </cell>
          <cell r="L769">
            <v>44731.400000000009</v>
          </cell>
          <cell r="M769">
            <v>1944.8434782608699</v>
          </cell>
          <cell r="O769" t="str">
            <v>PLACA PORTA BUJE LOCALIZADOR</v>
          </cell>
        </row>
        <row r="770">
          <cell r="D770" t="str">
            <v>HTJA030090</v>
          </cell>
          <cell r="E770" t="str">
            <v>10226750</v>
          </cell>
          <cell r="F770" t="str">
            <v>AC-2300i DNA (Preforma)</v>
          </cell>
          <cell r="G770">
            <v>500000</v>
          </cell>
          <cell r="H770" t="str">
            <v>Profirrol</v>
          </cell>
          <cell r="I770">
            <v>10</v>
          </cell>
          <cell r="J770" t="str">
            <v>STD</v>
          </cell>
          <cell r="L770">
            <v>49420.800000000003</v>
          </cell>
          <cell r="M770">
            <v>2148.7304347826089</v>
          </cell>
          <cell r="O770" t="str">
            <v>PLACA PORTA BUJE LOCALIZADOR</v>
          </cell>
        </row>
        <row r="771">
          <cell r="D771" t="str">
            <v>HTJA030090</v>
          </cell>
          <cell r="E771" t="str">
            <v>7553050217</v>
          </cell>
          <cell r="F771" t="str">
            <v>AC-2600i PT-Turbo</v>
          </cell>
          <cell r="G771">
            <v>500000</v>
          </cell>
          <cell r="H771" t="str">
            <v>Profirrol</v>
          </cell>
          <cell r="I771">
            <v>10</v>
          </cell>
          <cell r="J771" t="str">
            <v>STD</v>
          </cell>
          <cell r="L771">
            <v>34957.999999999993</v>
          </cell>
          <cell r="M771">
            <v>1519.9130434782605</v>
          </cell>
          <cell r="O771" t="str">
            <v>PLACA PORTA BUJE LOCALIZADOR</v>
          </cell>
        </row>
        <row r="772">
          <cell r="D772" t="str">
            <v>HTJA030090</v>
          </cell>
          <cell r="E772" t="str">
            <v>10001024R</v>
          </cell>
          <cell r="F772" t="str">
            <v>AC-2600i Ford Escape</v>
          </cell>
          <cell r="G772">
            <v>500000</v>
          </cell>
          <cell r="H772" t="str">
            <v>Profirrol</v>
          </cell>
          <cell r="I772">
            <v>10</v>
          </cell>
          <cell r="J772" t="str">
            <v>STD</v>
          </cell>
          <cell r="L772">
            <v>56501.200000000004</v>
          </cell>
          <cell r="M772">
            <v>2456.5739130434786</v>
          </cell>
          <cell r="O772" t="str">
            <v>PLACA PORTA BUJE LOCALIZADOR</v>
          </cell>
        </row>
        <row r="773">
          <cell r="D773" t="str">
            <v>HTJA030090</v>
          </cell>
          <cell r="E773" t="str">
            <v>10226752</v>
          </cell>
          <cell r="F773" t="str">
            <v>AC-2600i DNA (Preforma)</v>
          </cell>
          <cell r="G773">
            <v>500000</v>
          </cell>
          <cell r="H773" t="str">
            <v>Profirrol</v>
          </cell>
          <cell r="I773">
            <v>10</v>
          </cell>
          <cell r="J773" t="str">
            <v>STD</v>
          </cell>
          <cell r="L773">
            <v>26784</v>
          </cell>
          <cell r="M773">
            <v>1164.5217391304348</v>
          </cell>
          <cell r="O773" t="str">
            <v>PLACA PORTA BUJE LOCALIZADOR</v>
          </cell>
        </row>
        <row r="774">
          <cell r="D774" t="str">
            <v>HTJA030090</v>
          </cell>
          <cell r="E774" t="str">
            <v>10054551</v>
          </cell>
          <cell r="F774" t="str">
            <v>AC-2650 JC49 / GS PLT / DNA</v>
          </cell>
          <cell r="G774">
            <v>500000</v>
          </cell>
          <cell r="H774" t="str">
            <v>Profirrol</v>
          </cell>
          <cell r="I774">
            <v>10</v>
          </cell>
          <cell r="J774" t="str">
            <v>STD</v>
          </cell>
          <cell r="L774">
            <v>7516.4</v>
          </cell>
          <cell r="M774">
            <v>326.8</v>
          </cell>
          <cell r="O774" t="str">
            <v>PLACA PORTA BUJE LOCALIZADOR</v>
          </cell>
        </row>
        <row r="775">
          <cell r="D775" t="str">
            <v>HTJA030090</v>
          </cell>
          <cell r="E775" t="str">
            <v>10226751</v>
          </cell>
          <cell r="F775" t="str">
            <v>AC-2650 DNA</v>
          </cell>
          <cell r="G775">
            <v>500000</v>
          </cell>
          <cell r="H775" t="str">
            <v>Profirrol</v>
          </cell>
          <cell r="I775">
            <v>10</v>
          </cell>
          <cell r="J775" t="str">
            <v>STD</v>
          </cell>
          <cell r="L775">
            <v>14227.2</v>
          </cell>
          <cell r="M775">
            <v>618.57391304347834</v>
          </cell>
          <cell r="O775" t="str">
            <v>PLACA PORTA BUJE LOCALIZADOR</v>
          </cell>
        </row>
        <row r="776">
          <cell r="D776" t="str">
            <v>HTJA030090</v>
          </cell>
          <cell r="E776" t="str">
            <v>8152050226</v>
          </cell>
          <cell r="F776" t="str">
            <v>UF-2600i PQ-35 VW</v>
          </cell>
          <cell r="G776">
            <v>500000</v>
          </cell>
          <cell r="H776" t="str">
            <v>Profirrol</v>
          </cell>
          <cell r="I776">
            <v>10</v>
          </cell>
          <cell r="J776" t="str">
            <v>STD</v>
          </cell>
          <cell r="L776">
            <v>67111.400000000023</v>
          </cell>
          <cell r="M776">
            <v>2917.8869565217401</v>
          </cell>
          <cell r="O776" t="str">
            <v>PLACA PORTA BUJE LOCALIZADOR</v>
          </cell>
        </row>
        <row r="777">
          <cell r="D777" t="str">
            <v>HTJA030090</v>
          </cell>
          <cell r="E777" t="str">
            <v>10060762</v>
          </cell>
          <cell r="F777" t="str">
            <v>UF-2600i Ford Explorer</v>
          </cell>
          <cell r="G777">
            <v>500000</v>
          </cell>
          <cell r="H777" t="str">
            <v>Profirrol</v>
          </cell>
          <cell r="I777">
            <v>10</v>
          </cell>
          <cell r="J777" t="str">
            <v>STD</v>
          </cell>
          <cell r="L777">
            <v>0</v>
          </cell>
          <cell r="M777">
            <v>0</v>
          </cell>
          <cell r="O777" t="str">
            <v>PLACA PORTA BUJE LOCALIZADOR</v>
          </cell>
        </row>
        <row r="778">
          <cell r="D778" t="str">
            <v>HTJA030090</v>
          </cell>
          <cell r="E778" t="str">
            <v>00806088</v>
          </cell>
          <cell r="F778" t="str">
            <v>UF-2600i Hyundai</v>
          </cell>
          <cell r="G778">
            <v>500000</v>
          </cell>
          <cell r="H778" t="str">
            <v>Profirrol</v>
          </cell>
          <cell r="I778">
            <v>10</v>
          </cell>
          <cell r="J778" t="str">
            <v>STD</v>
          </cell>
          <cell r="L778">
            <v>0</v>
          </cell>
          <cell r="M778">
            <v>0</v>
          </cell>
          <cell r="O778" t="str">
            <v>PLACA PORTA BUJE LOCALIZADOR</v>
          </cell>
        </row>
        <row r="779">
          <cell r="D779" t="str">
            <v>HTJA030090</v>
          </cell>
          <cell r="E779" t="str">
            <v>10235857</v>
          </cell>
          <cell r="F779" t="str">
            <v>UF-2600i DNA (Preforma)</v>
          </cell>
          <cell r="G779">
            <v>500000</v>
          </cell>
          <cell r="H779" t="str">
            <v>Profirrol</v>
          </cell>
          <cell r="I779">
            <v>10</v>
          </cell>
          <cell r="J779" t="str">
            <v>STD</v>
          </cell>
          <cell r="L779">
            <v>0</v>
          </cell>
          <cell r="M779">
            <v>0</v>
          </cell>
          <cell r="O779" t="str">
            <v>PLACA PORTA BUJE LOCALIZADOR</v>
          </cell>
        </row>
        <row r="780">
          <cell r="D780" t="str">
            <v>HTJA030090</v>
          </cell>
          <cell r="E780" t="str">
            <v>10018041</v>
          </cell>
          <cell r="F780" t="str">
            <v>UF-3300i W</v>
          </cell>
          <cell r="G780">
            <v>500000</v>
          </cell>
          <cell r="H780" t="str">
            <v>Profirrol</v>
          </cell>
          <cell r="I780">
            <v>10</v>
          </cell>
          <cell r="J780" t="str">
            <v>STD</v>
          </cell>
          <cell r="L780">
            <v>14212.800000000001</v>
          </cell>
          <cell r="M780">
            <v>617.94782608695652</v>
          </cell>
          <cell r="O780" t="str">
            <v>PLACA PORTA BUJE LOCALIZADOR</v>
          </cell>
        </row>
        <row r="781">
          <cell r="D781" t="str">
            <v>HTJA030090</v>
          </cell>
          <cell r="E781" t="str">
            <v>10009621</v>
          </cell>
          <cell r="F781" t="str">
            <v>UF-4600i W</v>
          </cell>
          <cell r="G781">
            <v>500000</v>
          </cell>
          <cell r="H781" t="str">
            <v>Profirrol</v>
          </cell>
          <cell r="I781">
            <v>10</v>
          </cell>
          <cell r="J781" t="str">
            <v>STD</v>
          </cell>
          <cell r="L781">
            <v>30182.199999999997</v>
          </cell>
          <cell r="M781">
            <v>1312.2695652173911</v>
          </cell>
          <cell r="O781" t="str">
            <v>PLACA PORTA BUJE LOCALIZADOR</v>
          </cell>
        </row>
        <row r="782">
          <cell r="D782" t="str">
            <v>HTJA030090</v>
          </cell>
          <cell r="E782" t="str">
            <v>7056050202</v>
          </cell>
          <cell r="F782" t="str">
            <v>A4 RF-91 Concept One</v>
          </cell>
          <cell r="G782">
            <v>500000</v>
          </cell>
          <cell r="H782" t="str">
            <v>Profirrol</v>
          </cell>
          <cell r="I782">
            <v>10</v>
          </cell>
          <cell r="J782" t="str">
            <v>STD</v>
          </cell>
          <cell r="L782">
            <v>0</v>
          </cell>
          <cell r="M782">
            <v>0</v>
          </cell>
          <cell r="O782" t="str">
            <v>PLACA PORTA BUJE LOCALIZADOR</v>
          </cell>
        </row>
        <row r="783">
          <cell r="D783" t="str">
            <v>HTJA030090</v>
          </cell>
          <cell r="E783" t="str">
            <v>7174050203</v>
          </cell>
          <cell r="F783" t="str">
            <v>A4 RF-95</v>
          </cell>
          <cell r="G783">
            <v>500000</v>
          </cell>
          <cell r="H783" t="str">
            <v>Profirrol</v>
          </cell>
          <cell r="I783">
            <v>10</v>
          </cell>
          <cell r="J783" t="str">
            <v>STD</v>
          </cell>
          <cell r="L783">
            <v>6412.2000000000007</v>
          </cell>
          <cell r="M783">
            <v>278.7913043478261</v>
          </cell>
          <cell r="O783" t="str">
            <v>PLACA PORTA BUJE LOCALIZADOR</v>
          </cell>
        </row>
        <row r="784">
          <cell r="D784" t="str">
            <v>HTJA030091</v>
          </cell>
          <cell r="E784" t="str">
            <v>8647050233</v>
          </cell>
          <cell r="F784" t="str">
            <v>AC-2000i Honda Acura</v>
          </cell>
          <cell r="G784">
            <v>100000</v>
          </cell>
          <cell r="H784" t="str">
            <v>Profirrol</v>
          </cell>
          <cell r="I784">
            <v>30</v>
          </cell>
          <cell r="J784" t="str">
            <v>STD</v>
          </cell>
          <cell r="L784">
            <v>74729.200000000012</v>
          </cell>
          <cell r="M784">
            <v>3249.0956521739135</v>
          </cell>
          <cell r="O784" t="str">
            <v>TORNILLO PORTA BUJE DE RODILLO</v>
          </cell>
        </row>
        <row r="785">
          <cell r="D785" t="str">
            <v>HTJA030091</v>
          </cell>
          <cell r="E785" t="str">
            <v>10232841</v>
          </cell>
          <cell r="F785" t="str">
            <v>AC-2000i DNA (Preforma)</v>
          </cell>
          <cell r="G785">
            <v>100000</v>
          </cell>
          <cell r="H785" t="str">
            <v>Profirrol</v>
          </cell>
          <cell r="I785">
            <v>30</v>
          </cell>
          <cell r="J785" t="str">
            <v>STD</v>
          </cell>
          <cell r="L785">
            <v>99000</v>
          </cell>
          <cell r="M785">
            <v>4304.347826086957</v>
          </cell>
          <cell r="O785" t="str">
            <v>TORNILLO PORTA BUJE DE RODILLO</v>
          </cell>
        </row>
        <row r="786">
          <cell r="D786" t="str">
            <v>HTJA030091</v>
          </cell>
          <cell r="E786" t="str">
            <v>4302091005</v>
          </cell>
          <cell r="F786" t="str">
            <v>C-2000 PL-BODY</v>
          </cell>
          <cell r="G786">
            <v>100000</v>
          </cell>
          <cell r="H786" t="str">
            <v>Profirrol</v>
          </cell>
          <cell r="I786">
            <v>30</v>
          </cell>
          <cell r="J786" t="str">
            <v>STD</v>
          </cell>
          <cell r="L786">
            <v>0</v>
          </cell>
          <cell r="M786">
            <v>0</v>
          </cell>
          <cell r="O786" t="str">
            <v>TORNILLO PORTA BUJE DE RODILLO</v>
          </cell>
        </row>
        <row r="787">
          <cell r="D787" t="str">
            <v>HTJA030091</v>
          </cell>
          <cell r="E787" t="str">
            <v>7324050215</v>
          </cell>
          <cell r="F787" t="str">
            <v>AC-2300i PT-44</v>
          </cell>
          <cell r="G787">
            <v>100000</v>
          </cell>
          <cell r="H787" t="str">
            <v>Profirrol</v>
          </cell>
          <cell r="I787">
            <v>30</v>
          </cell>
          <cell r="J787" t="str">
            <v>STD</v>
          </cell>
          <cell r="L787">
            <v>58512.600000000006</v>
          </cell>
          <cell r="M787">
            <v>2544.0260869565218</v>
          </cell>
          <cell r="O787" t="str">
            <v>TORNILLO PORTA BUJE DE RODILLO</v>
          </cell>
        </row>
        <row r="788">
          <cell r="D788" t="str">
            <v>HTJA030091</v>
          </cell>
          <cell r="E788" t="str">
            <v>10226750</v>
          </cell>
          <cell r="F788" t="str">
            <v>AC-2300i DNA (Preforma)</v>
          </cell>
          <cell r="G788">
            <v>100000</v>
          </cell>
          <cell r="H788" t="str">
            <v>Profirrol</v>
          </cell>
          <cell r="I788">
            <v>30</v>
          </cell>
          <cell r="J788" t="str">
            <v>STD</v>
          </cell>
          <cell r="L788">
            <v>52509.599999999999</v>
          </cell>
          <cell r="M788">
            <v>2283.0260869565218</v>
          </cell>
          <cell r="O788" t="str">
            <v>TORNILLO PORTA BUJE DE RODILLO</v>
          </cell>
        </row>
        <row r="789">
          <cell r="D789" t="str">
            <v>HTJA030091</v>
          </cell>
          <cell r="E789" t="str">
            <v>7553050217</v>
          </cell>
          <cell r="F789" t="str">
            <v>AC-2600i PT-Turbo</v>
          </cell>
          <cell r="G789">
            <v>100000</v>
          </cell>
          <cell r="H789" t="str">
            <v>Profirrol</v>
          </cell>
          <cell r="I789">
            <v>30</v>
          </cell>
          <cell r="J789" t="str">
            <v>STD</v>
          </cell>
          <cell r="L789">
            <v>37981.199999999997</v>
          </cell>
          <cell r="M789">
            <v>1651.3565217391304</v>
          </cell>
          <cell r="O789" t="str">
            <v>TORNILLO PORTA BUJE DE RODILLO</v>
          </cell>
        </row>
        <row r="790">
          <cell r="D790" t="str">
            <v>HTJA030091</v>
          </cell>
          <cell r="E790" t="str">
            <v>10001024R</v>
          </cell>
          <cell r="F790" t="str">
            <v>AC-2600i Ford Escape</v>
          </cell>
          <cell r="G790">
            <v>100000</v>
          </cell>
          <cell r="H790" t="str">
            <v>Profirrol</v>
          </cell>
          <cell r="I790">
            <v>30</v>
          </cell>
          <cell r="J790" t="str">
            <v>STD</v>
          </cell>
          <cell r="L790">
            <v>59203</v>
          </cell>
          <cell r="M790">
            <v>2574.0434782608695</v>
          </cell>
          <cell r="O790" t="str">
            <v>TORNILLO PORTA BUJE DE RODILLO</v>
          </cell>
        </row>
        <row r="791">
          <cell r="D791" t="str">
            <v>HTJA030091</v>
          </cell>
          <cell r="E791" t="str">
            <v>10226752</v>
          </cell>
          <cell r="F791" t="str">
            <v>AC-2600i DNA (Preforma)</v>
          </cell>
          <cell r="G791">
            <v>100000</v>
          </cell>
          <cell r="H791" t="str">
            <v>Profirrol</v>
          </cell>
          <cell r="I791">
            <v>30</v>
          </cell>
          <cell r="J791" t="str">
            <v>STD</v>
          </cell>
          <cell r="L791">
            <v>31536</v>
          </cell>
          <cell r="M791">
            <v>1371.1304347826087</v>
          </cell>
          <cell r="O791" t="str">
            <v>TORNILLO PORTA BUJE DE RODILLO</v>
          </cell>
        </row>
        <row r="792">
          <cell r="D792" t="str">
            <v>HTJA030091</v>
          </cell>
          <cell r="E792" t="str">
            <v>10054551</v>
          </cell>
          <cell r="F792" t="str">
            <v>AC-2650 JC49 / GS PLT / DNA</v>
          </cell>
          <cell r="G792">
            <v>100000</v>
          </cell>
          <cell r="H792" t="str">
            <v>Profirrol</v>
          </cell>
          <cell r="I792">
            <v>30</v>
          </cell>
          <cell r="J792" t="str">
            <v>STD</v>
          </cell>
          <cell r="L792">
            <v>11932</v>
          </cell>
          <cell r="M792">
            <v>518.78260869565213</v>
          </cell>
          <cell r="O792" t="str">
            <v>TORNILLO PORTA BUJE DE RODILLO</v>
          </cell>
        </row>
        <row r="793">
          <cell r="D793" t="str">
            <v>HTJA030091</v>
          </cell>
          <cell r="E793" t="str">
            <v>10226751</v>
          </cell>
          <cell r="F793" t="str">
            <v>AC-2650 DNA</v>
          </cell>
          <cell r="G793">
            <v>100000</v>
          </cell>
          <cell r="H793" t="str">
            <v>Profirrol</v>
          </cell>
          <cell r="I793">
            <v>30</v>
          </cell>
          <cell r="J793" t="str">
            <v>STD</v>
          </cell>
          <cell r="L793">
            <v>24453</v>
          </cell>
          <cell r="M793">
            <v>1063.1739130434783</v>
          </cell>
          <cell r="O793" t="str">
            <v>TORNILLO PORTA BUJE DE RODILLO</v>
          </cell>
        </row>
        <row r="794">
          <cell r="D794" t="str">
            <v>HTJA030091</v>
          </cell>
          <cell r="E794" t="str">
            <v>8152050226</v>
          </cell>
          <cell r="F794" t="str">
            <v>UF-2600i PQ-35 VW</v>
          </cell>
          <cell r="G794">
            <v>100000</v>
          </cell>
          <cell r="H794" t="str">
            <v>Profirrol</v>
          </cell>
          <cell r="I794">
            <v>30</v>
          </cell>
          <cell r="J794" t="str">
            <v>STD</v>
          </cell>
          <cell r="L794">
            <v>38227.399999999994</v>
          </cell>
          <cell r="M794">
            <v>1662.0608695652172</v>
          </cell>
          <cell r="O794" t="str">
            <v>TORNILLO PORTA BUJE DE RODILLO</v>
          </cell>
        </row>
        <row r="795">
          <cell r="D795" t="str">
            <v>HTJA030091</v>
          </cell>
          <cell r="E795" t="str">
            <v>10060762</v>
          </cell>
          <cell r="F795" t="str">
            <v>UF-2600i Ford Explorer</v>
          </cell>
          <cell r="G795">
            <v>100000</v>
          </cell>
          <cell r="H795" t="str">
            <v>Profirrol</v>
          </cell>
          <cell r="I795">
            <v>30</v>
          </cell>
          <cell r="J795" t="str">
            <v>STD</v>
          </cell>
          <cell r="L795">
            <v>0</v>
          </cell>
          <cell r="M795">
            <v>0</v>
          </cell>
          <cell r="O795" t="str">
            <v>TORNILLO PORTA BUJE DE RODILLO</v>
          </cell>
        </row>
        <row r="796">
          <cell r="D796" t="str">
            <v>HTJA030091</v>
          </cell>
          <cell r="E796" t="str">
            <v>00806088</v>
          </cell>
          <cell r="F796" t="str">
            <v>UF-2600i Hyundai</v>
          </cell>
          <cell r="G796">
            <v>100000</v>
          </cell>
          <cell r="H796" t="str">
            <v>Profirrol</v>
          </cell>
          <cell r="I796">
            <v>30</v>
          </cell>
          <cell r="J796" t="str">
            <v>STD</v>
          </cell>
          <cell r="L796">
            <v>0</v>
          </cell>
          <cell r="M796">
            <v>0</v>
          </cell>
          <cell r="O796" t="str">
            <v>TORNILLO PORTA BUJE DE RODILLO</v>
          </cell>
        </row>
        <row r="797">
          <cell r="D797" t="str">
            <v>HTJA030091</v>
          </cell>
          <cell r="E797" t="str">
            <v>10235857</v>
          </cell>
          <cell r="F797" t="str">
            <v>UF-2600i DNA (Preforma)</v>
          </cell>
          <cell r="G797">
            <v>100000</v>
          </cell>
          <cell r="H797" t="str">
            <v>Profirrol</v>
          </cell>
          <cell r="I797">
            <v>30</v>
          </cell>
          <cell r="J797" t="str">
            <v>STD</v>
          </cell>
          <cell r="L797">
            <v>0</v>
          </cell>
          <cell r="M797">
            <v>0</v>
          </cell>
          <cell r="O797" t="str">
            <v>TORNILLO PORTA BUJE DE RODILLO</v>
          </cell>
        </row>
        <row r="798">
          <cell r="D798" t="str">
            <v>HTJA030091</v>
          </cell>
          <cell r="E798" t="str">
            <v>10018041</v>
          </cell>
          <cell r="F798" t="str">
            <v>UF-3300i W</v>
          </cell>
          <cell r="G798">
            <v>100000</v>
          </cell>
          <cell r="H798" t="str">
            <v>Profirrol</v>
          </cell>
          <cell r="I798">
            <v>30</v>
          </cell>
          <cell r="J798" t="str">
            <v>STD</v>
          </cell>
          <cell r="L798">
            <v>13520.454678603319</v>
          </cell>
          <cell r="M798">
            <v>587.84585559144864</v>
          </cell>
          <cell r="O798" t="str">
            <v>TORNILLO PORTA BUJE DE RODILLO</v>
          </cell>
        </row>
        <row r="799">
          <cell r="D799" t="str">
            <v>HTJA030091</v>
          </cell>
          <cell r="E799" t="str">
            <v>10009621</v>
          </cell>
          <cell r="F799" t="str">
            <v>UF-4600i W</v>
          </cell>
          <cell r="G799">
            <v>100000</v>
          </cell>
          <cell r="H799" t="str">
            <v>Profirrol</v>
          </cell>
          <cell r="I799">
            <v>30</v>
          </cell>
          <cell r="J799" t="str">
            <v>STD</v>
          </cell>
          <cell r="L799">
            <v>33932.483034337194</v>
          </cell>
          <cell r="M799">
            <v>1475.3253493190084</v>
          </cell>
          <cell r="O799" t="str">
            <v>TORNILLO PORTA BUJE DE RODILLO</v>
          </cell>
        </row>
        <row r="800">
          <cell r="D800" t="str">
            <v>HTJA030091</v>
          </cell>
          <cell r="E800" t="str">
            <v>7056050202</v>
          </cell>
          <cell r="F800" t="str">
            <v>A4 RF-91 Concept One</v>
          </cell>
          <cell r="G800">
            <v>100000</v>
          </cell>
          <cell r="H800" t="str">
            <v>Profirrol</v>
          </cell>
          <cell r="I800">
            <v>30</v>
          </cell>
          <cell r="J800" t="str">
            <v>STD</v>
          </cell>
          <cell r="L800">
            <v>0</v>
          </cell>
          <cell r="M800">
            <v>0</v>
          </cell>
          <cell r="O800" t="str">
            <v>TORNILLO PORTA BUJE DE RODILLO</v>
          </cell>
        </row>
        <row r="801">
          <cell r="D801" t="str">
            <v>HTJA030091</v>
          </cell>
          <cell r="E801" t="str">
            <v>7174050203</v>
          </cell>
          <cell r="F801" t="str">
            <v>A4 RF-95</v>
          </cell>
          <cell r="G801">
            <v>100000</v>
          </cell>
          <cell r="H801" t="str">
            <v>Profirrol</v>
          </cell>
          <cell r="I801">
            <v>30</v>
          </cell>
          <cell r="J801" t="str">
            <v>STD</v>
          </cell>
          <cell r="L801">
            <v>8133.6</v>
          </cell>
          <cell r="M801">
            <v>353.63478260869567</v>
          </cell>
          <cell r="O801" t="str">
            <v>TORNILLO PORTA BUJE DE RODILLO</v>
          </cell>
        </row>
        <row r="802">
          <cell r="D802" t="str">
            <v>HTJA030092</v>
          </cell>
          <cell r="E802" t="str">
            <v>8647050233</v>
          </cell>
          <cell r="F802" t="str">
            <v>AC-2000i Honda Acura</v>
          </cell>
          <cell r="G802">
            <v>300000</v>
          </cell>
          <cell r="H802" t="str">
            <v>Nacional</v>
          </cell>
          <cell r="I802">
            <v>10</v>
          </cell>
          <cell r="J802" t="str">
            <v>STD</v>
          </cell>
          <cell r="L802">
            <v>74729.200000000012</v>
          </cell>
          <cell r="M802">
            <v>3249.0956521739135</v>
          </cell>
          <cell r="O802" t="str">
            <v>BLOK GUIA DE TRANSPORTADOR</v>
          </cell>
        </row>
        <row r="803">
          <cell r="D803" t="str">
            <v>HTJA030092</v>
          </cell>
          <cell r="E803" t="str">
            <v>10232841</v>
          </cell>
          <cell r="F803" t="str">
            <v>AC-2000i DNA (Preforma)</v>
          </cell>
          <cell r="G803">
            <v>300000</v>
          </cell>
          <cell r="H803" t="str">
            <v>Nacional</v>
          </cell>
          <cell r="I803">
            <v>10</v>
          </cell>
          <cell r="J803" t="str">
            <v>STD</v>
          </cell>
          <cell r="L803">
            <v>99000</v>
          </cell>
          <cell r="M803">
            <v>4304.347826086957</v>
          </cell>
          <cell r="O803" t="str">
            <v>BLOK GUIA DE TRANSPORTADOR</v>
          </cell>
        </row>
        <row r="804">
          <cell r="D804" t="str">
            <v>HTJA030092</v>
          </cell>
          <cell r="E804" t="str">
            <v>4302091005</v>
          </cell>
          <cell r="F804" t="str">
            <v>C-2000 PL-BODY</v>
          </cell>
          <cell r="G804">
            <v>300000</v>
          </cell>
          <cell r="H804" t="str">
            <v>Nacional</v>
          </cell>
          <cell r="I804">
            <v>10</v>
          </cell>
          <cell r="J804" t="str">
            <v>STD</v>
          </cell>
          <cell r="L804">
            <v>0</v>
          </cell>
          <cell r="M804">
            <v>0</v>
          </cell>
          <cell r="O804" t="str">
            <v>BLOK GUIA DE TRANSPORTADOR</v>
          </cell>
        </row>
        <row r="805">
          <cell r="D805" t="str">
            <v>HTJA030092</v>
          </cell>
          <cell r="E805" t="str">
            <v>7324050215</v>
          </cell>
          <cell r="F805" t="str">
            <v>AC-2300i PT-44</v>
          </cell>
          <cell r="G805">
            <v>300000</v>
          </cell>
          <cell r="H805" t="str">
            <v>Nacional</v>
          </cell>
          <cell r="I805">
            <v>10</v>
          </cell>
          <cell r="J805" t="str">
            <v>STD</v>
          </cell>
          <cell r="L805">
            <v>58512.600000000006</v>
          </cell>
          <cell r="M805">
            <v>2544.0260869565218</v>
          </cell>
          <cell r="O805" t="str">
            <v>BLOK GUIA DE TRANSPORTADOR</v>
          </cell>
        </row>
        <row r="806">
          <cell r="D806" t="str">
            <v>HTJA030092</v>
          </cell>
          <cell r="E806" t="str">
            <v>10226750</v>
          </cell>
          <cell r="F806" t="str">
            <v>AC-2300i DNA (Preforma)</v>
          </cell>
          <cell r="G806">
            <v>300000</v>
          </cell>
          <cell r="H806" t="str">
            <v>Nacional</v>
          </cell>
          <cell r="I806">
            <v>10</v>
          </cell>
          <cell r="J806" t="str">
            <v>STD</v>
          </cell>
          <cell r="L806">
            <v>52509.599999999999</v>
          </cell>
          <cell r="M806">
            <v>2283.0260869565218</v>
          </cell>
          <cell r="O806" t="str">
            <v>BLOK GUIA DE TRANSPORTADOR</v>
          </cell>
        </row>
        <row r="807">
          <cell r="D807" t="str">
            <v>HTJA030092</v>
          </cell>
          <cell r="E807" t="str">
            <v>7553050217</v>
          </cell>
          <cell r="F807" t="str">
            <v>AC-2600i PT-Turbo</v>
          </cell>
          <cell r="G807">
            <v>300000</v>
          </cell>
          <cell r="H807" t="str">
            <v>Nacional</v>
          </cell>
          <cell r="I807">
            <v>10</v>
          </cell>
          <cell r="J807" t="str">
            <v>STD</v>
          </cell>
          <cell r="L807">
            <v>37981.199999999997</v>
          </cell>
          <cell r="M807">
            <v>1651.3565217391304</v>
          </cell>
          <cell r="O807" t="str">
            <v>BLOK GUIA DE TRANSPORTADOR</v>
          </cell>
        </row>
        <row r="808">
          <cell r="D808" t="str">
            <v>HTJA030092</v>
          </cell>
          <cell r="E808" t="str">
            <v>10001024R</v>
          </cell>
          <cell r="F808" t="str">
            <v>AC-2600i Ford Escape</v>
          </cell>
          <cell r="G808">
            <v>300000</v>
          </cell>
          <cell r="H808" t="str">
            <v>Nacional</v>
          </cell>
          <cell r="I808">
            <v>10</v>
          </cell>
          <cell r="J808" t="str">
            <v>STD</v>
          </cell>
          <cell r="L808">
            <v>59203</v>
          </cell>
          <cell r="M808">
            <v>2574.0434782608695</v>
          </cell>
          <cell r="O808" t="str">
            <v>BLOK GUIA DE TRANSPORTADOR</v>
          </cell>
        </row>
        <row r="809">
          <cell r="D809" t="str">
            <v>HTJA030092</v>
          </cell>
          <cell r="E809" t="str">
            <v>10226752</v>
          </cell>
          <cell r="F809" t="str">
            <v>AC-2600i DNA (Preforma)</v>
          </cell>
          <cell r="G809">
            <v>300000</v>
          </cell>
          <cell r="H809" t="str">
            <v>Nacional</v>
          </cell>
          <cell r="I809">
            <v>10</v>
          </cell>
          <cell r="J809" t="str">
            <v>STD</v>
          </cell>
          <cell r="L809">
            <v>31536</v>
          </cell>
          <cell r="M809">
            <v>1371.1304347826087</v>
          </cell>
          <cell r="O809" t="str">
            <v>BLOK GUIA DE TRANSPORTADOR</v>
          </cell>
        </row>
        <row r="810">
          <cell r="D810" t="str">
            <v>HTJA030092</v>
          </cell>
          <cell r="E810" t="str">
            <v>10054551</v>
          </cell>
          <cell r="F810" t="str">
            <v>AC-2650 JC49 / GS PLT / DNA</v>
          </cell>
          <cell r="G810">
            <v>300000</v>
          </cell>
          <cell r="H810" t="str">
            <v>Nacional</v>
          </cell>
          <cell r="I810">
            <v>10</v>
          </cell>
          <cell r="J810" t="str">
            <v>STD</v>
          </cell>
          <cell r="L810">
            <v>11932</v>
          </cell>
          <cell r="M810">
            <v>518.78260869565213</v>
          </cell>
          <cell r="O810" t="str">
            <v>BLOK GUIA DE TRANSPORTADOR</v>
          </cell>
        </row>
        <row r="811">
          <cell r="D811" t="str">
            <v>HTJA030092</v>
          </cell>
          <cell r="E811" t="str">
            <v>10226751</v>
          </cell>
          <cell r="F811" t="str">
            <v>AC-2650 DNA</v>
          </cell>
          <cell r="G811">
            <v>300000</v>
          </cell>
          <cell r="H811" t="str">
            <v>Nacional</v>
          </cell>
          <cell r="I811">
            <v>10</v>
          </cell>
          <cell r="J811" t="str">
            <v>STD</v>
          </cell>
          <cell r="L811">
            <v>24453</v>
          </cell>
          <cell r="M811">
            <v>1063.1739130434783</v>
          </cell>
          <cell r="O811" t="str">
            <v>BLOK GUIA DE TRANSPORTADOR</v>
          </cell>
        </row>
        <row r="812">
          <cell r="D812" t="str">
            <v>HTJA030092</v>
          </cell>
          <cell r="E812" t="str">
            <v>8152050226</v>
          </cell>
          <cell r="F812" t="str">
            <v>UF-2600i PQ-35 VW</v>
          </cell>
          <cell r="G812">
            <v>300000</v>
          </cell>
          <cell r="H812" t="str">
            <v>Nacional</v>
          </cell>
          <cell r="I812">
            <v>10</v>
          </cell>
          <cell r="J812" t="str">
            <v>STD</v>
          </cell>
          <cell r="L812">
            <v>38227.399999999994</v>
          </cell>
          <cell r="M812">
            <v>1662.0608695652172</v>
          </cell>
          <cell r="O812" t="str">
            <v>BLOK GUIA DE TRANSPORTADOR</v>
          </cell>
        </row>
        <row r="813">
          <cell r="D813" t="str">
            <v>HTJA030092</v>
          </cell>
          <cell r="E813" t="str">
            <v>10060762</v>
          </cell>
          <cell r="F813" t="str">
            <v>UF-2600i Ford Explorer</v>
          </cell>
          <cell r="G813">
            <v>300000</v>
          </cell>
          <cell r="H813" t="str">
            <v>Nacional</v>
          </cell>
          <cell r="I813">
            <v>10</v>
          </cell>
          <cell r="J813" t="str">
            <v>STD</v>
          </cell>
          <cell r="L813">
            <v>0</v>
          </cell>
          <cell r="M813">
            <v>0</v>
          </cell>
          <cell r="O813" t="str">
            <v>BLOK GUIA DE TRANSPORTADOR</v>
          </cell>
        </row>
        <row r="814">
          <cell r="D814" t="str">
            <v>HTJA030092</v>
          </cell>
          <cell r="E814" t="str">
            <v>00806088</v>
          </cell>
          <cell r="F814" t="str">
            <v>UF-2600i Hyundai</v>
          </cell>
          <cell r="G814">
            <v>300000</v>
          </cell>
          <cell r="H814" t="str">
            <v>Nacional</v>
          </cell>
          <cell r="I814">
            <v>10</v>
          </cell>
          <cell r="J814" t="str">
            <v>STD</v>
          </cell>
          <cell r="L814">
            <v>0</v>
          </cell>
          <cell r="M814">
            <v>0</v>
          </cell>
          <cell r="O814" t="str">
            <v>BLOK GUIA DE TRANSPORTADOR</v>
          </cell>
        </row>
        <row r="815">
          <cell r="D815" t="str">
            <v>HTJA030092</v>
          </cell>
          <cell r="E815" t="str">
            <v>10235857</v>
          </cell>
          <cell r="F815" t="str">
            <v>UF-2600i DNA (Preforma)</v>
          </cell>
          <cell r="G815">
            <v>300000</v>
          </cell>
          <cell r="H815" t="str">
            <v>Nacional</v>
          </cell>
          <cell r="I815">
            <v>10</v>
          </cell>
          <cell r="J815" t="str">
            <v>STD</v>
          </cell>
          <cell r="L815">
            <v>0</v>
          </cell>
          <cell r="M815">
            <v>0</v>
          </cell>
          <cell r="O815" t="str">
            <v>BLOK GUIA DE TRANSPORTADOR</v>
          </cell>
        </row>
        <row r="816">
          <cell r="D816" t="str">
            <v>HTJA030092</v>
          </cell>
          <cell r="E816" t="str">
            <v>10018041</v>
          </cell>
          <cell r="F816" t="str">
            <v>UF-3300i W</v>
          </cell>
          <cell r="G816">
            <v>300000</v>
          </cell>
          <cell r="H816" t="str">
            <v>Nacional</v>
          </cell>
          <cell r="I816">
            <v>10</v>
          </cell>
          <cell r="J816" t="str">
            <v>STD</v>
          </cell>
          <cell r="L816">
            <v>13520.454678603319</v>
          </cell>
          <cell r="M816">
            <v>587.84585559144864</v>
          </cell>
          <cell r="O816" t="str">
            <v>BLOK GUIA DE TRANSPORTADOR</v>
          </cell>
        </row>
        <row r="817">
          <cell r="D817" t="str">
            <v>HTJA030092</v>
          </cell>
          <cell r="E817" t="str">
            <v>10009621</v>
          </cell>
          <cell r="F817" t="str">
            <v>UF-4600i W</v>
          </cell>
          <cell r="G817">
            <v>300000</v>
          </cell>
          <cell r="H817" t="str">
            <v>Nacional</v>
          </cell>
          <cell r="I817">
            <v>10</v>
          </cell>
          <cell r="J817" t="str">
            <v>STD</v>
          </cell>
          <cell r="L817">
            <v>33932.483034337194</v>
          </cell>
          <cell r="M817">
            <v>1475.3253493190084</v>
          </cell>
          <cell r="O817" t="str">
            <v>BLOK GUIA DE TRANSPORTADOR</v>
          </cell>
        </row>
        <row r="818">
          <cell r="D818" t="str">
            <v>HTJA030092</v>
          </cell>
          <cell r="E818" t="str">
            <v>7056050202</v>
          </cell>
          <cell r="F818" t="str">
            <v>A4 RF-91 Concept One</v>
          </cell>
          <cell r="G818">
            <v>300000</v>
          </cell>
          <cell r="H818" t="str">
            <v>Nacional</v>
          </cell>
          <cell r="I818">
            <v>10</v>
          </cell>
          <cell r="J818" t="str">
            <v>STD</v>
          </cell>
          <cell r="L818">
            <v>0</v>
          </cell>
          <cell r="M818">
            <v>0</v>
          </cell>
          <cell r="O818" t="str">
            <v>BLOK GUIA DE TRANSPORTADOR</v>
          </cell>
        </row>
        <row r="819">
          <cell r="D819" t="str">
            <v>HTJA030092</v>
          </cell>
          <cell r="E819" t="str">
            <v>7174050203</v>
          </cell>
          <cell r="F819" t="str">
            <v>A4 RF-95</v>
          </cell>
          <cell r="G819">
            <v>300000</v>
          </cell>
          <cell r="H819" t="str">
            <v>Nacional</v>
          </cell>
          <cell r="I819">
            <v>10</v>
          </cell>
          <cell r="J819" t="str">
            <v>STD</v>
          </cell>
          <cell r="L819">
            <v>8133.6</v>
          </cell>
          <cell r="M819">
            <v>353.63478260869567</v>
          </cell>
          <cell r="O819" t="str">
            <v>BLOK GUIA DE TRANSPORTADOR</v>
          </cell>
        </row>
        <row r="820">
          <cell r="D820" t="str">
            <v>HTJA030093</v>
          </cell>
          <cell r="E820" t="str">
            <v>8647050233</v>
          </cell>
          <cell r="F820" t="str">
            <v>AC-2000i Honda Acura</v>
          </cell>
          <cell r="G820">
            <v>300000</v>
          </cell>
          <cell r="H820" t="str">
            <v>Profirrol</v>
          </cell>
          <cell r="I820">
            <v>30</v>
          </cell>
          <cell r="J820" t="str">
            <v>STD</v>
          </cell>
          <cell r="L820">
            <v>74729.200000000012</v>
          </cell>
          <cell r="M820">
            <v>3249.0956521739135</v>
          </cell>
          <cell r="O820" t="str">
            <v>EJE ROSCADO MENOR</v>
          </cell>
        </row>
        <row r="821">
          <cell r="D821" t="str">
            <v>HTJA030093</v>
          </cell>
          <cell r="E821" t="str">
            <v>10232841</v>
          </cell>
          <cell r="F821" t="str">
            <v>AC-2000i DNA (Preforma)</v>
          </cell>
          <cell r="G821">
            <v>300000</v>
          </cell>
          <cell r="H821" t="str">
            <v>Profirrol</v>
          </cell>
          <cell r="I821">
            <v>30</v>
          </cell>
          <cell r="J821" t="str">
            <v>STD</v>
          </cell>
          <cell r="L821">
            <v>99000</v>
          </cell>
          <cell r="M821">
            <v>4304.347826086957</v>
          </cell>
          <cell r="O821" t="str">
            <v>EJE ROSCADO MENOR</v>
          </cell>
        </row>
        <row r="822">
          <cell r="D822" t="str">
            <v>HTJA030093</v>
          </cell>
          <cell r="E822" t="str">
            <v>4302091005</v>
          </cell>
          <cell r="F822" t="str">
            <v>C-2000 PL-BODY</v>
          </cell>
          <cell r="G822">
            <v>300000</v>
          </cell>
          <cell r="H822" t="str">
            <v>Profirrol</v>
          </cell>
          <cell r="I822">
            <v>30</v>
          </cell>
          <cell r="J822" t="str">
            <v>STD</v>
          </cell>
          <cell r="L822">
            <v>0</v>
          </cell>
          <cell r="M822">
            <v>0</v>
          </cell>
          <cell r="O822" t="str">
            <v>EJE ROSCADO MENOR</v>
          </cell>
        </row>
        <row r="823">
          <cell r="D823" t="str">
            <v>HTJA030093</v>
          </cell>
          <cell r="E823" t="str">
            <v>7324050215</v>
          </cell>
          <cell r="F823" t="str">
            <v>AC-2300i PT-44</v>
          </cell>
          <cell r="G823">
            <v>300000</v>
          </cell>
          <cell r="H823" t="str">
            <v>Profirrol</v>
          </cell>
          <cell r="I823">
            <v>30</v>
          </cell>
          <cell r="J823" t="str">
            <v>STD</v>
          </cell>
          <cell r="L823">
            <v>58512.600000000006</v>
          </cell>
          <cell r="M823">
            <v>2544.0260869565218</v>
          </cell>
          <cell r="O823" t="str">
            <v>EJE ROSCADO MENOR</v>
          </cell>
        </row>
        <row r="824">
          <cell r="D824" t="str">
            <v>HTJA030093</v>
          </cell>
          <cell r="E824" t="str">
            <v>10226750</v>
          </cell>
          <cell r="F824" t="str">
            <v>AC-2300i DNA (Preforma)</v>
          </cell>
          <cell r="G824">
            <v>300000</v>
          </cell>
          <cell r="H824" t="str">
            <v>Profirrol</v>
          </cell>
          <cell r="I824">
            <v>30</v>
          </cell>
          <cell r="J824" t="str">
            <v>STD</v>
          </cell>
          <cell r="L824">
            <v>52509.599999999999</v>
          </cell>
          <cell r="M824">
            <v>2283.0260869565218</v>
          </cell>
          <cell r="O824" t="str">
            <v>EJE ROSCADO MENOR</v>
          </cell>
        </row>
        <row r="825">
          <cell r="D825" t="str">
            <v>HTJA030093</v>
          </cell>
          <cell r="E825" t="str">
            <v>7553050217</v>
          </cell>
          <cell r="F825" t="str">
            <v>AC-2600i PT-Turbo</v>
          </cell>
          <cell r="G825">
            <v>300000</v>
          </cell>
          <cell r="H825" t="str">
            <v>Profirrol</v>
          </cell>
          <cell r="I825">
            <v>30</v>
          </cell>
          <cell r="J825" t="str">
            <v>STD</v>
          </cell>
          <cell r="L825">
            <v>37981.199999999997</v>
          </cell>
          <cell r="M825">
            <v>1651.3565217391304</v>
          </cell>
          <cell r="O825" t="str">
            <v>EJE ROSCADO MENOR</v>
          </cell>
        </row>
        <row r="826">
          <cell r="D826" t="str">
            <v>HTJA030093</v>
          </cell>
          <cell r="E826" t="str">
            <v>10001024R</v>
          </cell>
          <cell r="F826" t="str">
            <v>AC-2600i Ford Escape</v>
          </cell>
          <cell r="G826">
            <v>300000</v>
          </cell>
          <cell r="H826" t="str">
            <v>Profirrol</v>
          </cell>
          <cell r="I826">
            <v>30</v>
          </cell>
          <cell r="J826" t="str">
            <v>STD</v>
          </cell>
          <cell r="L826">
            <v>59203</v>
          </cell>
          <cell r="M826">
            <v>2574.0434782608695</v>
          </cell>
          <cell r="O826" t="str">
            <v>EJE ROSCADO MENOR</v>
          </cell>
        </row>
        <row r="827">
          <cell r="D827" t="str">
            <v>HTJA030093</v>
          </cell>
          <cell r="E827" t="str">
            <v>10226752</v>
          </cell>
          <cell r="F827" t="str">
            <v>AC-2600i DNA (Preforma)</v>
          </cell>
          <cell r="G827">
            <v>300000</v>
          </cell>
          <cell r="H827" t="str">
            <v>Profirrol</v>
          </cell>
          <cell r="I827">
            <v>30</v>
          </cell>
          <cell r="J827" t="str">
            <v>STD</v>
          </cell>
          <cell r="L827">
            <v>31536</v>
          </cell>
          <cell r="M827">
            <v>1371.1304347826087</v>
          </cell>
          <cell r="O827" t="str">
            <v>EJE ROSCADO MENOR</v>
          </cell>
        </row>
        <row r="828">
          <cell r="D828" t="str">
            <v>HTJA030093</v>
          </cell>
          <cell r="E828" t="str">
            <v>10054551</v>
          </cell>
          <cell r="F828" t="str">
            <v>AC-2650 JC49 / GS PLT / DNA</v>
          </cell>
          <cell r="G828">
            <v>300000</v>
          </cell>
          <cell r="H828" t="str">
            <v>Profirrol</v>
          </cell>
          <cell r="I828">
            <v>30</v>
          </cell>
          <cell r="J828" t="str">
            <v>STD</v>
          </cell>
          <cell r="L828">
            <v>11932</v>
          </cell>
          <cell r="M828">
            <v>518.78260869565213</v>
          </cell>
          <cell r="O828" t="str">
            <v>EJE ROSCADO MENOR</v>
          </cell>
        </row>
        <row r="829">
          <cell r="D829" t="str">
            <v>HTJA030093</v>
          </cell>
          <cell r="E829" t="str">
            <v>10226751</v>
          </cell>
          <cell r="F829" t="str">
            <v>AC-2650 DNA</v>
          </cell>
          <cell r="G829">
            <v>300000</v>
          </cell>
          <cell r="H829" t="str">
            <v>Profirrol</v>
          </cell>
          <cell r="I829">
            <v>30</v>
          </cell>
          <cell r="J829" t="str">
            <v>STD</v>
          </cell>
          <cell r="L829">
            <v>24453</v>
          </cell>
          <cell r="M829">
            <v>1063.1739130434783</v>
          </cell>
          <cell r="O829" t="str">
            <v>EJE ROSCADO MENOR</v>
          </cell>
        </row>
        <row r="830">
          <cell r="D830" t="str">
            <v>HTJA030093</v>
          </cell>
          <cell r="E830" t="str">
            <v>8152050226</v>
          </cell>
          <cell r="F830" t="str">
            <v>UF-2600i PQ-35 VW</v>
          </cell>
          <cell r="G830">
            <v>300000</v>
          </cell>
          <cell r="H830" t="str">
            <v>Profirrol</v>
          </cell>
          <cell r="I830">
            <v>30</v>
          </cell>
          <cell r="J830" t="str">
            <v>STD</v>
          </cell>
          <cell r="L830">
            <v>38227.399999999994</v>
          </cell>
          <cell r="M830">
            <v>1662.0608695652172</v>
          </cell>
          <cell r="O830" t="str">
            <v>EJE ROSCADO MENOR</v>
          </cell>
        </row>
        <row r="831">
          <cell r="D831" t="str">
            <v>HTJA030093</v>
          </cell>
          <cell r="E831" t="str">
            <v>10060762</v>
          </cell>
          <cell r="F831" t="str">
            <v>UF-2600i Ford Explorer</v>
          </cell>
          <cell r="G831">
            <v>300000</v>
          </cell>
          <cell r="H831" t="str">
            <v>Profirrol</v>
          </cell>
          <cell r="I831">
            <v>30</v>
          </cell>
          <cell r="J831" t="str">
            <v>STD</v>
          </cell>
          <cell r="L831">
            <v>0</v>
          </cell>
          <cell r="M831">
            <v>0</v>
          </cell>
          <cell r="O831" t="str">
            <v>EJE ROSCADO MENOR</v>
          </cell>
        </row>
        <row r="832">
          <cell r="D832" t="str">
            <v>HTJA030093</v>
          </cell>
          <cell r="E832" t="str">
            <v>00806088</v>
          </cell>
          <cell r="F832" t="str">
            <v>UF-2600i Hyundai</v>
          </cell>
          <cell r="G832">
            <v>300000</v>
          </cell>
          <cell r="H832" t="str">
            <v>Profirrol</v>
          </cell>
          <cell r="I832">
            <v>30</v>
          </cell>
          <cell r="J832" t="str">
            <v>STD</v>
          </cell>
          <cell r="L832">
            <v>0</v>
          </cell>
          <cell r="M832">
            <v>0</v>
          </cell>
          <cell r="O832" t="str">
            <v>EJE ROSCADO MENOR</v>
          </cell>
        </row>
        <row r="833">
          <cell r="D833" t="str">
            <v>HTJA030093</v>
          </cell>
          <cell r="E833" t="str">
            <v>10235857</v>
          </cell>
          <cell r="F833" t="str">
            <v>UF-2600i DNA (Preforma)</v>
          </cell>
          <cell r="G833">
            <v>300000</v>
          </cell>
          <cell r="H833" t="str">
            <v>Profirrol</v>
          </cell>
          <cell r="I833">
            <v>30</v>
          </cell>
          <cell r="J833" t="str">
            <v>STD</v>
          </cell>
          <cell r="L833">
            <v>0</v>
          </cell>
          <cell r="M833">
            <v>0</v>
          </cell>
          <cell r="O833" t="str">
            <v>EJE ROSCADO MENOR</v>
          </cell>
        </row>
        <row r="834">
          <cell r="D834" t="str">
            <v>HTJA030093</v>
          </cell>
          <cell r="E834" t="str">
            <v>10018041</v>
          </cell>
          <cell r="F834" t="str">
            <v>UF-3300i W</v>
          </cell>
          <cell r="G834">
            <v>300000</v>
          </cell>
          <cell r="H834" t="str">
            <v>Profirrol</v>
          </cell>
          <cell r="I834">
            <v>30</v>
          </cell>
          <cell r="J834" t="str">
            <v>STD</v>
          </cell>
          <cell r="L834">
            <v>13520.454678603319</v>
          </cell>
          <cell r="M834">
            <v>587.84585559144864</v>
          </cell>
          <cell r="O834" t="str">
            <v>EJE ROSCADO MENOR</v>
          </cell>
        </row>
        <row r="835">
          <cell r="D835" t="str">
            <v>HTJA030093</v>
          </cell>
          <cell r="E835" t="str">
            <v>10009621</v>
          </cell>
          <cell r="F835" t="str">
            <v>UF-4600i W</v>
          </cell>
          <cell r="G835">
            <v>300000</v>
          </cell>
          <cell r="H835" t="str">
            <v>Profirrol</v>
          </cell>
          <cell r="I835">
            <v>30</v>
          </cell>
          <cell r="J835" t="str">
            <v>STD</v>
          </cell>
          <cell r="L835">
            <v>33932.483034337194</v>
          </cell>
          <cell r="M835">
            <v>1475.3253493190084</v>
          </cell>
          <cell r="O835" t="str">
            <v>EJE ROSCADO MENOR</v>
          </cell>
        </row>
        <row r="836">
          <cell r="D836" t="str">
            <v>HTJA030093</v>
          </cell>
          <cell r="E836" t="str">
            <v>7056050202</v>
          </cell>
          <cell r="F836" t="str">
            <v>A4 RF-91 Concept One</v>
          </cell>
          <cell r="G836">
            <v>300000</v>
          </cell>
          <cell r="H836" t="str">
            <v>Profirrol</v>
          </cell>
          <cell r="I836">
            <v>30</v>
          </cell>
          <cell r="J836" t="str">
            <v>STD</v>
          </cell>
          <cell r="L836">
            <v>0</v>
          </cell>
          <cell r="M836">
            <v>0</v>
          </cell>
          <cell r="O836" t="str">
            <v>EJE ROSCADO MENOR</v>
          </cell>
        </row>
        <row r="837">
          <cell r="D837" t="str">
            <v>HTJA030093</v>
          </cell>
          <cell r="E837" t="str">
            <v>7174050203</v>
          </cell>
          <cell r="F837" t="str">
            <v>A4 RF-95</v>
          </cell>
          <cell r="G837">
            <v>300000</v>
          </cell>
          <cell r="H837" t="str">
            <v>Profirrol</v>
          </cell>
          <cell r="I837">
            <v>30</v>
          </cell>
          <cell r="J837" t="str">
            <v>STD</v>
          </cell>
          <cell r="L837">
            <v>8133.6</v>
          </cell>
          <cell r="M837">
            <v>353.63478260869567</v>
          </cell>
          <cell r="O837" t="str">
            <v>EJE ROSCADO MENOR</v>
          </cell>
        </row>
        <row r="838">
          <cell r="D838" t="str">
            <v>HTJA030094</v>
          </cell>
          <cell r="E838" t="str">
            <v>8647050233</v>
          </cell>
          <cell r="F838" t="str">
            <v>AC-2000i Honda Acura</v>
          </cell>
          <cell r="G838">
            <v>600000</v>
          </cell>
          <cell r="H838" t="str">
            <v>Nacional</v>
          </cell>
          <cell r="I838">
            <v>10</v>
          </cell>
          <cell r="J838" t="str">
            <v>STD</v>
          </cell>
          <cell r="L838">
            <v>74729.200000000012</v>
          </cell>
          <cell r="M838">
            <v>3249.0956521739135</v>
          </cell>
          <cell r="O838" t="str">
            <v>EJE ROSCADO MAYOR</v>
          </cell>
        </row>
        <row r="839">
          <cell r="D839" t="str">
            <v>HTJA030094</v>
          </cell>
          <cell r="E839" t="str">
            <v>10232841</v>
          </cell>
          <cell r="F839" t="str">
            <v>AC-2000i DNA (Preforma)</v>
          </cell>
          <cell r="G839">
            <v>600000</v>
          </cell>
          <cell r="H839" t="str">
            <v>Nacional</v>
          </cell>
          <cell r="I839">
            <v>10</v>
          </cell>
          <cell r="J839" t="str">
            <v>STD</v>
          </cell>
          <cell r="L839">
            <v>99000</v>
          </cell>
          <cell r="M839">
            <v>4304.347826086957</v>
          </cell>
          <cell r="O839" t="str">
            <v>EJE ROSCADO MAYOR</v>
          </cell>
        </row>
        <row r="840">
          <cell r="D840" t="str">
            <v>HTJA030094</v>
          </cell>
          <cell r="E840" t="str">
            <v>4302091005</v>
          </cell>
          <cell r="F840" t="str">
            <v>C-2000 PL-BODY</v>
          </cell>
          <cell r="G840">
            <v>600000</v>
          </cell>
          <cell r="H840" t="str">
            <v>Nacional</v>
          </cell>
          <cell r="I840">
            <v>10</v>
          </cell>
          <cell r="J840" t="str">
            <v>STD</v>
          </cell>
          <cell r="L840">
            <v>0</v>
          </cell>
          <cell r="M840">
            <v>0</v>
          </cell>
          <cell r="O840" t="str">
            <v>EJE ROSCADO MAYOR</v>
          </cell>
        </row>
        <row r="841">
          <cell r="D841" t="str">
            <v>HTJA030094</v>
          </cell>
          <cell r="E841" t="str">
            <v>7324050215</v>
          </cell>
          <cell r="F841" t="str">
            <v>AC-2300i PT-44</v>
          </cell>
          <cell r="G841">
            <v>600000</v>
          </cell>
          <cell r="H841" t="str">
            <v>Nacional</v>
          </cell>
          <cell r="I841">
            <v>10</v>
          </cell>
          <cell r="J841" t="str">
            <v>STD</v>
          </cell>
          <cell r="L841">
            <v>58512.600000000006</v>
          </cell>
          <cell r="M841">
            <v>2544.0260869565218</v>
          </cell>
          <cell r="O841" t="str">
            <v>EJE ROSCADO MAYOR</v>
          </cell>
        </row>
        <row r="842">
          <cell r="D842" t="str">
            <v>HTJA030094</v>
          </cell>
          <cell r="E842" t="str">
            <v>10226750</v>
          </cell>
          <cell r="F842" t="str">
            <v>AC-2300i DNA (Preforma)</v>
          </cell>
          <cell r="G842">
            <v>600000</v>
          </cell>
          <cell r="H842" t="str">
            <v>Nacional</v>
          </cell>
          <cell r="I842">
            <v>10</v>
          </cell>
          <cell r="J842" t="str">
            <v>STD</v>
          </cell>
          <cell r="L842">
            <v>52509.599999999999</v>
          </cell>
          <cell r="M842">
            <v>2283.0260869565218</v>
          </cell>
          <cell r="O842" t="str">
            <v>EJE ROSCADO MAYOR</v>
          </cell>
        </row>
        <row r="843">
          <cell r="D843" t="str">
            <v>HTJA030094</v>
          </cell>
          <cell r="E843" t="str">
            <v>7553050217</v>
          </cell>
          <cell r="F843" t="str">
            <v>AC-2600i PT-Turbo</v>
          </cell>
          <cell r="G843">
            <v>600000</v>
          </cell>
          <cell r="H843" t="str">
            <v>Nacional</v>
          </cell>
          <cell r="I843">
            <v>10</v>
          </cell>
          <cell r="J843" t="str">
            <v>STD</v>
          </cell>
          <cell r="L843">
            <v>37981.199999999997</v>
          </cell>
          <cell r="M843">
            <v>1651.3565217391304</v>
          </cell>
          <cell r="O843" t="str">
            <v>EJE ROSCADO MAYOR</v>
          </cell>
        </row>
        <row r="844">
          <cell r="D844" t="str">
            <v>HTJA030094</v>
          </cell>
          <cell r="E844" t="str">
            <v>10001024R</v>
          </cell>
          <cell r="F844" t="str">
            <v>AC-2600i Ford Escape</v>
          </cell>
          <cell r="G844">
            <v>600000</v>
          </cell>
          <cell r="H844" t="str">
            <v>Nacional</v>
          </cell>
          <cell r="I844">
            <v>10</v>
          </cell>
          <cell r="J844" t="str">
            <v>STD</v>
          </cell>
          <cell r="L844">
            <v>59203</v>
          </cell>
          <cell r="M844">
            <v>2574.0434782608695</v>
          </cell>
          <cell r="O844" t="str">
            <v>EJE ROSCADO MAYOR</v>
          </cell>
        </row>
        <row r="845">
          <cell r="D845" t="str">
            <v>HTJA030094</v>
          </cell>
          <cell r="E845" t="str">
            <v>10226752</v>
          </cell>
          <cell r="F845" t="str">
            <v>AC-2600i DNA (Preforma)</v>
          </cell>
          <cell r="G845">
            <v>600000</v>
          </cell>
          <cell r="H845" t="str">
            <v>Nacional</v>
          </cell>
          <cell r="I845">
            <v>10</v>
          </cell>
          <cell r="J845" t="str">
            <v>STD</v>
          </cell>
          <cell r="L845">
            <v>31536</v>
          </cell>
          <cell r="M845">
            <v>1371.1304347826087</v>
          </cell>
          <cell r="O845" t="str">
            <v>EJE ROSCADO MAYOR</v>
          </cell>
        </row>
        <row r="846">
          <cell r="D846" t="str">
            <v>HTJA030094</v>
          </cell>
          <cell r="E846" t="str">
            <v>10054551</v>
          </cell>
          <cell r="F846" t="str">
            <v>AC-2650 JC49 / GS PLT / DNA</v>
          </cell>
          <cell r="G846">
            <v>600000</v>
          </cell>
          <cell r="H846" t="str">
            <v>Nacional</v>
          </cell>
          <cell r="I846">
            <v>10</v>
          </cell>
          <cell r="J846" t="str">
            <v>STD</v>
          </cell>
          <cell r="L846">
            <v>11932</v>
          </cell>
          <cell r="M846">
            <v>518.78260869565213</v>
          </cell>
          <cell r="O846" t="str">
            <v>EJE ROSCADO MAYOR</v>
          </cell>
        </row>
        <row r="847">
          <cell r="D847" t="str">
            <v>HTJA030094</v>
          </cell>
          <cell r="E847" t="str">
            <v>10226751</v>
          </cell>
          <cell r="F847" t="str">
            <v>AC-2650 DNA</v>
          </cell>
          <cell r="G847">
            <v>600000</v>
          </cell>
          <cell r="H847" t="str">
            <v>Nacional</v>
          </cell>
          <cell r="I847">
            <v>10</v>
          </cell>
          <cell r="J847" t="str">
            <v>STD</v>
          </cell>
          <cell r="L847">
            <v>24453</v>
          </cell>
          <cell r="M847">
            <v>1063.1739130434783</v>
          </cell>
          <cell r="O847" t="str">
            <v>EJE ROSCADO MAYOR</v>
          </cell>
        </row>
        <row r="848">
          <cell r="D848" t="str">
            <v>HTJA030094</v>
          </cell>
          <cell r="E848" t="str">
            <v>8152050226</v>
          </cell>
          <cell r="F848" t="str">
            <v>UF-2600i PQ-35 VW</v>
          </cell>
          <cell r="G848">
            <v>600000</v>
          </cell>
          <cell r="H848" t="str">
            <v>Nacional</v>
          </cell>
          <cell r="I848">
            <v>10</v>
          </cell>
          <cell r="J848" t="str">
            <v>STD</v>
          </cell>
          <cell r="L848">
            <v>38227.399999999994</v>
          </cell>
          <cell r="M848">
            <v>1662.0608695652172</v>
          </cell>
          <cell r="O848" t="str">
            <v>EJE ROSCADO MAYOR</v>
          </cell>
        </row>
        <row r="849">
          <cell r="D849" t="str">
            <v>HTJA030094</v>
          </cell>
          <cell r="E849" t="str">
            <v>10060762</v>
          </cell>
          <cell r="F849" t="str">
            <v>UF-2600i Ford Explorer</v>
          </cell>
          <cell r="G849">
            <v>600000</v>
          </cell>
          <cell r="H849" t="str">
            <v>Nacional</v>
          </cell>
          <cell r="I849">
            <v>10</v>
          </cell>
          <cell r="J849" t="str">
            <v>STD</v>
          </cell>
          <cell r="L849">
            <v>0</v>
          </cell>
          <cell r="M849">
            <v>0</v>
          </cell>
          <cell r="O849" t="str">
            <v>EJE ROSCADO MAYOR</v>
          </cell>
        </row>
        <row r="850">
          <cell r="D850" t="str">
            <v>HTJA030094</v>
          </cell>
          <cell r="E850" t="str">
            <v>00806088</v>
          </cell>
          <cell r="F850" t="str">
            <v>UF-2600i Hyundai</v>
          </cell>
          <cell r="G850">
            <v>600000</v>
          </cell>
          <cell r="H850" t="str">
            <v>Nacional</v>
          </cell>
          <cell r="I850">
            <v>10</v>
          </cell>
          <cell r="J850" t="str">
            <v>STD</v>
          </cell>
          <cell r="L850">
            <v>0</v>
          </cell>
          <cell r="M850">
            <v>0</v>
          </cell>
          <cell r="O850" t="str">
            <v>EJE ROSCADO MAYOR</v>
          </cell>
        </row>
        <row r="851">
          <cell r="D851" t="str">
            <v>HTJA030094</v>
          </cell>
          <cell r="E851" t="str">
            <v>10235857</v>
          </cell>
          <cell r="F851" t="str">
            <v>UF-2600i DNA (Preforma)</v>
          </cell>
          <cell r="G851">
            <v>600000</v>
          </cell>
          <cell r="H851" t="str">
            <v>Nacional</v>
          </cell>
          <cell r="I851">
            <v>10</v>
          </cell>
          <cell r="J851" t="str">
            <v>STD</v>
          </cell>
          <cell r="L851">
            <v>0</v>
          </cell>
          <cell r="M851">
            <v>0</v>
          </cell>
          <cell r="O851" t="str">
            <v>EJE ROSCADO MAYOR</v>
          </cell>
        </row>
        <row r="852">
          <cell r="D852" t="str">
            <v>HTJA030094</v>
          </cell>
          <cell r="E852" t="str">
            <v>10018041</v>
          </cell>
          <cell r="F852" t="str">
            <v>UF-3300i W</v>
          </cell>
          <cell r="G852">
            <v>600000</v>
          </cell>
          <cell r="H852" t="str">
            <v>Nacional</v>
          </cell>
          <cell r="I852">
            <v>10</v>
          </cell>
          <cell r="J852" t="str">
            <v>STD</v>
          </cell>
          <cell r="L852">
            <v>13520.454678603319</v>
          </cell>
          <cell r="M852">
            <v>587.84585559144864</v>
          </cell>
          <cell r="O852" t="str">
            <v>EJE ROSCADO MAYOR</v>
          </cell>
        </row>
        <row r="853">
          <cell r="D853" t="str">
            <v>HTJA030094</v>
          </cell>
          <cell r="E853" t="str">
            <v>10009621</v>
          </cell>
          <cell r="F853" t="str">
            <v>UF-4600i W</v>
          </cell>
          <cell r="G853">
            <v>600000</v>
          </cell>
          <cell r="H853" t="str">
            <v>Nacional</v>
          </cell>
          <cell r="I853">
            <v>10</v>
          </cell>
          <cell r="J853" t="str">
            <v>STD</v>
          </cell>
          <cell r="L853">
            <v>33932.483034337194</v>
          </cell>
          <cell r="M853">
            <v>1475.3253493190084</v>
          </cell>
          <cell r="O853" t="str">
            <v>EJE ROSCADO MAYOR</v>
          </cell>
        </row>
        <row r="854">
          <cell r="D854" t="str">
            <v>HTJA030094</v>
          </cell>
          <cell r="E854" t="str">
            <v>7056050202</v>
          </cell>
          <cell r="F854" t="str">
            <v>A4 RF-91 Concept One</v>
          </cell>
          <cell r="G854">
            <v>600000</v>
          </cell>
          <cell r="H854" t="str">
            <v>Nacional</v>
          </cell>
          <cell r="I854">
            <v>10</v>
          </cell>
          <cell r="J854" t="str">
            <v>STD</v>
          </cell>
          <cell r="L854">
            <v>0</v>
          </cell>
          <cell r="M854">
            <v>0</v>
          </cell>
          <cell r="O854" t="str">
            <v>EJE ROSCADO MAYOR</v>
          </cell>
        </row>
        <row r="855">
          <cell r="D855" t="str">
            <v>HTJA030094</v>
          </cell>
          <cell r="E855" t="str">
            <v>7174050203</v>
          </cell>
          <cell r="F855" t="str">
            <v>A4 RF-95</v>
          </cell>
          <cell r="G855">
            <v>600000</v>
          </cell>
          <cell r="H855" t="str">
            <v>Nacional</v>
          </cell>
          <cell r="I855">
            <v>10</v>
          </cell>
          <cell r="J855" t="str">
            <v>STD</v>
          </cell>
          <cell r="L855">
            <v>8133.6</v>
          </cell>
          <cell r="M855">
            <v>353.63478260869567</v>
          </cell>
          <cell r="O855" t="str">
            <v>EJE ROSCADO MAYOR</v>
          </cell>
        </row>
        <row r="856">
          <cell r="D856" t="str">
            <v>HTJA030095</v>
          </cell>
          <cell r="E856" t="str">
            <v>8647050233</v>
          </cell>
          <cell r="F856" t="str">
            <v>AC-2000i Honda Acura</v>
          </cell>
          <cell r="G856">
            <v>30000</v>
          </cell>
          <cell r="H856" t="str">
            <v>Nacional</v>
          </cell>
          <cell r="I856">
            <v>10</v>
          </cell>
          <cell r="J856" t="str">
            <v>STD</v>
          </cell>
          <cell r="L856">
            <v>74729.200000000012</v>
          </cell>
          <cell r="M856">
            <v>3249.0956521739135</v>
          </cell>
          <cell r="O856" t="str">
            <v>RODILLO MEDIDOR</v>
          </cell>
        </row>
        <row r="857">
          <cell r="D857" t="str">
            <v>HTJA030095</v>
          </cell>
          <cell r="E857" t="str">
            <v>10232841</v>
          </cell>
          <cell r="F857" t="str">
            <v>AC-2000i DNA (Preforma)</v>
          </cell>
          <cell r="G857">
            <v>30000</v>
          </cell>
          <cell r="H857" t="str">
            <v>Nacional</v>
          </cell>
          <cell r="I857">
            <v>10</v>
          </cell>
          <cell r="J857" t="str">
            <v>STD</v>
          </cell>
          <cell r="L857">
            <v>99000</v>
          </cell>
          <cell r="M857">
            <v>4304.347826086957</v>
          </cell>
          <cell r="O857" t="str">
            <v>RODILLO MEDIDOR</v>
          </cell>
        </row>
        <row r="858">
          <cell r="D858" t="str">
            <v>HTJA030095</v>
          </cell>
          <cell r="E858" t="str">
            <v>4302091005</v>
          </cell>
          <cell r="F858" t="str">
            <v>C-2000 PL-BODY</v>
          </cell>
          <cell r="G858">
            <v>30000</v>
          </cell>
          <cell r="H858" t="str">
            <v>Nacional</v>
          </cell>
          <cell r="I858">
            <v>10</v>
          </cell>
          <cell r="J858" t="str">
            <v>STD</v>
          </cell>
          <cell r="L858">
            <v>0</v>
          </cell>
          <cell r="M858">
            <v>0</v>
          </cell>
          <cell r="O858" t="str">
            <v>RODILLO MEDIDOR</v>
          </cell>
        </row>
        <row r="859">
          <cell r="D859" t="str">
            <v>HTJA030095</v>
          </cell>
          <cell r="E859" t="str">
            <v>7324050215</v>
          </cell>
          <cell r="F859" t="str">
            <v>AC-2300i PT-44</v>
          </cell>
          <cell r="G859">
            <v>30000</v>
          </cell>
          <cell r="H859" t="str">
            <v>Nacional</v>
          </cell>
          <cell r="I859">
            <v>10</v>
          </cell>
          <cell r="J859" t="str">
            <v>STD</v>
          </cell>
          <cell r="L859">
            <v>58512.600000000006</v>
          </cell>
          <cell r="M859">
            <v>2544.0260869565218</v>
          </cell>
          <cell r="O859" t="str">
            <v>RODILLO MEDIDOR</v>
          </cell>
        </row>
        <row r="860">
          <cell r="D860" t="str">
            <v>HTJA030095</v>
          </cell>
          <cell r="E860" t="str">
            <v>10226750</v>
          </cell>
          <cell r="F860" t="str">
            <v>AC-2300i DNA (Preforma)</v>
          </cell>
          <cell r="G860">
            <v>30000</v>
          </cell>
          <cell r="H860" t="str">
            <v>Nacional</v>
          </cell>
          <cell r="I860">
            <v>10</v>
          </cell>
          <cell r="J860" t="str">
            <v>STD</v>
          </cell>
          <cell r="L860">
            <v>52509.599999999999</v>
          </cell>
          <cell r="M860">
            <v>2283.0260869565218</v>
          </cell>
          <cell r="O860" t="str">
            <v>RODILLO MEDIDOR</v>
          </cell>
        </row>
        <row r="861">
          <cell r="D861" t="str">
            <v>HTJA030095</v>
          </cell>
          <cell r="E861" t="str">
            <v>7553050217</v>
          </cell>
          <cell r="F861" t="str">
            <v>AC-2600i PT-Turbo</v>
          </cell>
          <cell r="G861">
            <v>30000</v>
          </cell>
          <cell r="H861" t="str">
            <v>Nacional</v>
          </cell>
          <cell r="I861">
            <v>10</v>
          </cell>
          <cell r="J861" t="str">
            <v>STD</v>
          </cell>
          <cell r="L861">
            <v>37981.199999999997</v>
          </cell>
          <cell r="M861">
            <v>1651.3565217391304</v>
          </cell>
          <cell r="O861" t="str">
            <v>RODILLO MEDIDOR</v>
          </cell>
        </row>
        <row r="862">
          <cell r="D862" t="str">
            <v>HTJA030095</v>
          </cell>
          <cell r="E862" t="str">
            <v>10001024R</v>
          </cell>
          <cell r="F862" t="str">
            <v>AC-2600i Ford Escape</v>
          </cell>
          <cell r="G862">
            <v>30000</v>
          </cell>
          <cell r="H862" t="str">
            <v>Nacional</v>
          </cell>
          <cell r="I862">
            <v>10</v>
          </cell>
          <cell r="J862" t="str">
            <v>STD</v>
          </cell>
          <cell r="L862">
            <v>59203</v>
          </cell>
          <cell r="M862">
            <v>2574.0434782608695</v>
          </cell>
          <cell r="O862" t="str">
            <v>RODILLO MEDIDOR</v>
          </cell>
        </row>
        <row r="863">
          <cell r="D863" t="str">
            <v>HTJA030095</v>
          </cell>
          <cell r="E863" t="str">
            <v>10226752</v>
          </cell>
          <cell r="F863" t="str">
            <v>AC-2600i DNA (Preforma)</v>
          </cell>
          <cell r="G863">
            <v>30000</v>
          </cell>
          <cell r="H863" t="str">
            <v>Nacional</v>
          </cell>
          <cell r="I863">
            <v>10</v>
          </cell>
          <cell r="J863" t="str">
            <v>STD</v>
          </cell>
          <cell r="L863">
            <v>31536</v>
          </cell>
          <cell r="M863">
            <v>1371.1304347826087</v>
          </cell>
          <cell r="O863" t="str">
            <v>RODILLO MEDIDOR</v>
          </cell>
        </row>
        <row r="864">
          <cell r="D864" t="str">
            <v>HTJA030095</v>
          </cell>
          <cell r="E864" t="str">
            <v>10054551</v>
          </cell>
          <cell r="F864" t="str">
            <v>AC-2650 JC49 / GS PLT / DNA</v>
          </cell>
          <cell r="G864">
            <v>30000</v>
          </cell>
          <cell r="H864" t="str">
            <v>Nacional</v>
          </cell>
          <cell r="I864">
            <v>10</v>
          </cell>
          <cell r="J864" t="str">
            <v>STD</v>
          </cell>
          <cell r="L864">
            <v>11932</v>
          </cell>
          <cell r="M864">
            <v>518.78260869565213</v>
          </cell>
          <cell r="O864" t="str">
            <v>RODILLO MEDIDOR</v>
          </cell>
        </row>
        <row r="865">
          <cell r="D865" t="str">
            <v>HTJA030095</v>
          </cell>
          <cell r="E865" t="str">
            <v>10226751</v>
          </cell>
          <cell r="F865" t="str">
            <v>AC-2650 DNA</v>
          </cell>
          <cell r="G865">
            <v>30000</v>
          </cell>
          <cell r="H865" t="str">
            <v>Nacional</v>
          </cell>
          <cell r="I865">
            <v>10</v>
          </cell>
          <cell r="J865" t="str">
            <v>STD</v>
          </cell>
          <cell r="L865">
            <v>24453</v>
          </cell>
          <cell r="M865">
            <v>1063.1739130434783</v>
          </cell>
          <cell r="O865" t="str">
            <v>RODILLO MEDIDOR</v>
          </cell>
        </row>
        <row r="866">
          <cell r="D866" t="str">
            <v>HTJA030095</v>
          </cell>
          <cell r="E866" t="str">
            <v>8152050226</v>
          </cell>
          <cell r="F866" t="str">
            <v>UF-2600i PQ-35 VW</v>
          </cell>
          <cell r="G866">
            <v>30000</v>
          </cell>
          <cell r="H866" t="str">
            <v>Nacional</v>
          </cell>
          <cell r="I866">
            <v>10</v>
          </cell>
          <cell r="J866" t="str">
            <v>STD</v>
          </cell>
          <cell r="L866">
            <v>38227.399999999994</v>
          </cell>
          <cell r="M866">
            <v>1662.0608695652172</v>
          </cell>
          <cell r="O866" t="str">
            <v>RODILLO MEDIDOR</v>
          </cell>
        </row>
        <row r="867">
          <cell r="D867" t="str">
            <v>HTJA030095</v>
          </cell>
          <cell r="E867" t="str">
            <v>10060762</v>
          </cell>
          <cell r="F867" t="str">
            <v>UF-2600i Ford Explorer</v>
          </cell>
          <cell r="G867">
            <v>30000</v>
          </cell>
          <cell r="H867" t="str">
            <v>Nacional</v>
          </cell>
          <cell r="I867">
            <v>10</v>
          </cell>
          <cell r="J867" t="str">
            <v>STD</v>
          </cell>
          <cell r="L867">
            <v>0</v>
          </cell>
          <cell r="M867">
            <v>0</v>
          </cell>
          <cell r="O867" t="str">
            <v>RODILLO MEDIDOR</v>
          </cell>
        </row>
        <row r="868">
          <cell r="D868" t="str">
            <v>HTJA030095</v>
          </cell>
          <cell r="E868" t="str">
            <v>00806088</v>
          </cell>
          <cell r="F868" t="str">
            <v>UF-2600i Hyundai</v>
          </cell>
          <cell r="G868">
            <v>30000</v>
          </cell>
          <cell r="H868" t="str">
            <v>Nacional</v>
          </cell>
          <cell r="I868">
            <v>10</v>
          </cell>
          <cell r="J868" t="str">
            <v>STD</v>
          </cell>
          <cell r="L868">
            <v>0</v>
          </cell>
          <cell r="M868">
            <v>0</v>
          </cell>
          <cell r="O868" t="str">
            <v>RODILLO MEDIDOR</v>
          </cell>
        </row>
        <row r="869">
          <cell r="D869" t="str">
            <v>HTJA030095</v>
          </cell>
          <cell r="E869" t="str">
            <v>10235857</v>
          </cell>
          <cell r="F869" t="str">
            <v>UF-2600i DNA (Preforma)</v>
          </cell>
          <cell r="G869">
            <v>30000</v>
          </cell>
          <cell r="H869" t="str">
            <v>Nacional</v>
          </cell>
          <cell r="I869">
            <v>10</v>
          </cell>
          <cell r="J869" t="str">
            <v>STD</v>
          </cell>
          <cell r="L869">
            <v>0</v>
          </cell>
          <cell r="M869">
            <v>0</v>
          </cell>
          <cell r="O869" t="str">
            <v>RODILLO MEDIDOR</v>
          </cell>
        </row>
        <row r="870">
          <cell r="D870" t="str">
            <v>HTJA030095</v>
          </cell>
          <cell r="E870" t="str">
            <v>10018041</v>
          </cell>
          <cell r="F870" t="str">
            <v>UF-3300i W</v>
          </cell>
          <cell r="G870">
            <v>30000</v>
          </cell>
          <cell r="H870" t="str">
            <v>Nacional</v>
          </cell>
          <cell r="I870">
            <v>10</v>
          </cell>
          <cell r="J870" t="str">
            <v>STD</v>
          </cell>
          <cell r="L870">
            <v>13520.454678603319</v>
          </cell>
          <cell r="M870">
            <v>587.84585559144864</v>
          </cell>
          <cell r="O870" t="str">
            <v>RODILLO MEDIDOR</v>
          </cell>
        </row>
        <row r="871">
          <cell r="D871" t="str">
            <v>HTJA030095</v>
          </cell>
          <cell r="E871" t="str">
            <v>10009621</v>
          </cell>
          <cell r="F871" t="str">
            <v>UF-4600i W</v>
          </cell>
          <cell r="G871">
            <v>30000</v>
          </cell>
          <cell r="H871" t="str">
            <v>Nacional</v>
          </cell>
          <cell r="I871">
            <v>10</v>
          </cell>
          <cell r="J871" t="str">
            <v>STD</v>
          </cell>
          <cell r="L871">
            <v>33932.483034337194</v>
          </cell>
          <cell r="M871">
            <v>1475.3253493190084</v>
          </cell>
          <cell r="O871" t="str">
            <v>RODILLO MEDIDOR</v>
          </cell>
        </row>
        <row r="872">
          <cell r="D872" t="str">
            <v>HTJA030095</v>
          </cell>
          <cell r="E872" t="str">
            <v>7056050202</v>
          </cell>
          <cell r="F872" t="str">
            <v>A4 RF-91 Concept One</v>
          </cell>
          <cell r="G872">
            <v>30000</v>
          </cell>
          <cell r="H872" t="str">
            <v>Nacional</v>
          </cell>
          <cell r="I872">
            <v>10</v>
          </cell>
          <cell r="J872" t="str">
            <v>STD</v>
          </cell>
          <cell r="L872">
            <v>0</v>
          </cell>
          <cell r="M872">
            <v>0</v>
          </cell>
          <cell r="O872" t="str">
            <v>RODILLO MEDIDOR</v>
          </cell>
        </row>
        <row r="873">
          <cell r="D873" t="str">
            <v>HTJA030095</v>
          </cell>
          <cell r="E873" t="str">
            <v>7174050203</v>
          </cell>
          <cell r="F873" t="str">
            <v>A4 RF-95</v>
          </cell>
          <cell r="G873">
            <v>30000</v>
          </cell>
          <cell r="H873" t="str">
            <v>Nacional</v>
          </cell>
          <cell r="I873">
            <v>10</v>
          </cell>
          <cell r="J873" t="str">
            <v>STD</v>
          </cell>
          <cell r="L873">
            <v>8133.6</v>
          </cell>
          <cell r="M873">
            <v>353.63478260869567</v>
          </cell>
          <cell r="O873" t="str">
            <v>RODILLO MEDIDOR</v>
          </cell>
        </row>
        <row r="874">
          <cell r="D874" t="str">
            <v>HTJA030096</v>
          </cell>
          <cell r="E874" t="str">
            <v>8647050233</v>
          </cell>
          <cell r="F874" t="str">
            <v>AC-2000i Honda Acura</v>
          </cell>
          <cell r="G874">
            <v>10000</v>
          </cell>
          <cell r="H874" t="str">
            <v>Nacional</v>
          </cell>
          <cell r="I874">
            <v>10</v>
          </cell>
          <cell r="J874" t="str">
            <v>STD</v>
          </cell>
          <cell r="L874">
            <v>74729.200000000012</v>
          </cell>
          <cell r="M874">
            <v>3249.0956521739135</v>
          </cell>
          <cell r="O874" t="str">
            <v>CUÑA DE RODILLO SUPERIOR</v>
          </cell>
        </row>
        <row r="875">
          <cell r="D875" t="str">
            <v>HTJA030096</v>
          </cell>
          <cell r="E875" t="str">
            <v>10232841</v>
          </cell>
          <cell r="F875" t="str">
            <v>AC-2000i DNA (Preforma)</v>
          </cell>
          <cell r="G875">
            <v>10000</v>
          </cell>
          <cell r="H875" t="str">
            <v>Nacional</v>
          </cell>
          <cell r="I875">
            <v>10</v>
          </cell>
          <cell r="J875" t="str">
            <v>STD</v>
          </cell>
          <cell r="L875">
            <v>99000</v>
          </cell>
          <cell r="M875">
            <v>4304.347826086957</v>
          </cell>
          <cell r="O875" t="str">
            <v>CUÑA DE RODILLO SUPERIOR</v>
          </cell>
        </row>
        <row r="876">
          <cell r="D876" t="str">
            <v>HTJA030096</v>
          </cell>
          <cell r="E876" t="str">
            <v>4302091005</v>
          </cell>
          <cell r="F876" t="str">
            <v>C-2000 PL-BODY</v>
          </cell>
          <cell r="G876">
            <v>10000</v>
          </cell>
          <cell r="H876" t="str">
            <v>Nacional</v>
          </cell>
          <cell r="I876">
            <v>10</v>
          </cell>
          <cell r="J876" t="str">
            <v>STD</v>
          </cell>
          <cell r="L876">
            <v>0</v>
          </cell>
          <cell r="M876">
            <v>0</v>
          </cell>
          <cell r="O876" t="str">
            <v>CUÑA DE RODILLO SUPERIOR</v>
          </cell>
        </row>
        <row r="877">
          <cell r="D877" t="str">
            <v>HTJA030096</v>
          </cell>
          <cell r="E877" t="str">
            <v>7324050215</v>
          </cell>
          <cell r="F877" t="str">
            <v>AC-2300i PT-44</v>
          </cell>
          <cell r="G877">
            <v>10000</v>
          </cell>
          <cell r="H877" t="str">
            <v>Nacional</v>
          </cell>
          <cell r="I877">
            <v>10</v>
          </cell>
          <cell r="J877" t="str">
            <v>STD</v>
          </cell>
          <cell r="L877">
            <v>58512.600000000006</v>
          </cell>
          <cell r="M877">
            <v>2544.0260869565218</v>
          </cell>
          <cell r="O877" t="str">
            <v>CUÑA DE RODILLO SUPERIOR</v>
          </cell>
        </row>
        <row r="878">
          <cell r="D878" t="str">
            <v>HTJA030096</v>
          </cell>
          <cell r="E878" t="str">
            <v>10226750</v>
          </cell>
          <cell r="F878" t="str">
            <v>AC-2300i DNA (Preforma)</v>
          </cell>
          <cell r="G878">
            <v>10000</v>
          </cell>
          <cell r="H878" t="str">
            <v>Nacional</v>
          </cell>
          <cell r="I878">
            <v>10</v>
          </cell>
          <cell r="J878" t="str">
            <v>STD</v>
          </cell>
          <cell r="L878">
            <v>52509.599999999999</v>
          </cell>
          <cell r="M878">
            <v>2283.0260869565218</v>
          </cell>
          <cell r="O878" t="str">
            <v>CUÑA DE RODILLO SUPERIOR</v>
          </cell>
        </row>
        <row r="879">
          <cell r="D879" t="str">
            <v>HTJA030096</v>
          </cell>
          <cell r="E879" t="str">
            <v>7553050217</v>
          </cell>
          <cell r="F879" t="str">
            <v>AC-2600i PT-Turbo</v>
          </cell>
          <cell r="G879">
            <v>10000</v>
          </cell>
          <cell r="H879" t="str">
            <v>Nacional</v>
          </cell>
          <cell r="I879">
            <v>10</v>
          </cell>
          <cell r="J879" t="str">
            <v>STD</v>
          </cell>
          <cell r="L879">
            <v>37981.199999999997</v>
          </cell>
          <cell r="M879">
            <v>1651.3565217391304</v>
          </cell>
          <cell r="O879" t="str">
            <v>CUÑA DE RODILLO SUPERIOR</v>
          </cell>
        </row>
        <row r="880">
          <cell r="D880" t="str">
            <v>HTJA030096</v>
          </cell>
          <cell r="E880" t="str">
            <v>10001024R</v>
          </cell>
          <cell r="F880" t="str">
            <v>AC-2600i Ford Escape</v>
          </cell>
          <cell r="G880">
            <v>10000</v>
          </cell>
          <cell r="H880" t="str">
            <v>Nacional</v>
          </cell>
          <cell r="I880">
            <v>10</v>
          </cell>
          <cell r="J880" t="str">
            <v>STD</v>
          </cell>
          <cell r="L880">
            <v>59203</v>
          </cell>
          <cell r="M880">
            <v>2574.0434782608695</v>
          </cell>
          <cell r="O880" t="str">
            <v>CUÑA DE RODILLO SUPERIOR</v>
          </cell>
        </row>
        <row r="881">
          <cell r="D881" t="str">
            <v>HTJA030096</v>
          </cell>
          <cell r="E881" t="str">
            <v>10226752</v>
          </cell>
          <cell r="F881" t="str">
            <v>AC-2600i DNA (Preforma)</v>
          </cell>
          <cell r="G881">
            <v>10000</v>
          </cell>
          <cell r="H881" t="str">
            <v>Nacional</v>
          </cell>
          <cell r="I881">
            <v>10</v>
          </cell>
          <cell r="J881" t="str">
            <v>STD</v>
          </cell>
          <cell r="L881">
            <v>31536</v>
          </cell>
          <cell r="M881">
            <v>1371.1304347826087</v>
          </cell>
          <cell r="O881" t="str">
            <v>CUÑA DE RODILLO SUPERIOR</v>
          </cell>
        </row>
        <row r="882">
          <cell r="D882" t="str">
            <v>HTJA030096</v>
          </cell>
          <cell r="E882" t="str">
            <v>10054551</v>
          </cell>
          <cell r="F882" t="str">
            <v>AC-2650 JC49 / GS PLT / DNA</v>
          </cell>
          <cell r="G882">
            <v>10000</v>
          </cell>
          <cell r="H882" t="str">
            <v>Nacional</v>
          </cell>
          <cell r="I882">
            <v>10</v>
          </cell>
          <cell r="J882" t="str">
            <v>STD</v>
          </cell>
          <cell r="L882">
            <v>11932</v>
          </cell>
          <cell r="M882">
            <v>518.78260869565213</v>
          </cell>
          <cell r="O882" t="str">
            <v>CUÑA DE RODILLO SUPERIOR</v>
          </cell>
        </row>
        <row r="883">
          <cell r="D883" t="str">
            <v>HTJA030096</v>
          </cell>
          <cell r="E883" t="str">
            <v>10226751</v>
          </cell>
          <cell r="F883" t="str">
            <v>AC-2650 DNA</v>
          </cell>
          <cell r="G883">
            <v>10000</v>
          </cell>
          <cell r="H883" t="str">
            <v>Nacional</v>
          </cell>
          <cell r="I883">
            <v>10</v>
          </cell>
          <cell r="J883" t="str">
            <v>STD</v>
          </cell>
          <cell r="L883">
            <v>24453</v>
          </cell>
          <cell r="M883">
            <v>1063.1739130434783</v>
          </cell>
          <cell r="O883" t="str">
            <v>CUÑA DE RODILLO SUPERIOR</v>
          </cell>
        </row>
        <row r="884">
          <cell r="D884" t="str">
            <v>HTJA030096</v>
          </cell>
          <cell r="E884" t="str">
            <v>8152050226</v>
          </cell>
          <cell r="F884" t="str">
            <v>UF-2600i PQ-35 VW</v>
          </cell>
          <cell r="G884">
            <v>10000</v>
          </cell>
          <cell r="H884" t="str">
            <v>Nacional</v>
          </cell>
          <cell r="I884">
            <v>10</v>
          </cell>
          <cell r="J884" t="str">
            <v>STD</v>
          </cell>
          <cell r="L884">
            <v>38227.399999999994</v>
          </cell>
          <cell r="M884">
            <v>1662.0608695652172</v>
          </cell>
          <cell r="O884" t="str">
            <v>CUÑA DE RODILLO SUPERIOR</v>
          </cell>
        </row>
        <row r="885">
          <cell r="D885" t="str">
            <v>HTJA030096</v>
          </cell>
          <cell r="E885" t="str">
            <v>10060762</v>
          </cell>
          <cell r="F885" t="str">
            <v>UF-2600i Ford Explorer</v>
          </cell>
          <cell r="G885">
            <v>10000</v>
          </cell>
          <cell r="H885" t="str">
            <v>Nacional</v>
          </cell>
          <cell r="I885">
            <v>10</v>
          </cell>
          <cell r="J885" t="str">
            <v>STD</v>
          </cell>
          <cell r="L885">
            <v>0</v>
          </cell>
          <cell r="M885">
            <v>0</v>
          </cell>
          <cell r="O885" t="str">
            <v>CUÑA DE RODILLO SUPERIOR</v>
          </cell>
        </row>
        <row r="886">
          <cell r="D886" t="str">
            <v>HTJA030096</v>
          </cell>
          <cell r="E886" t="str">
            <v>00806088</v>
          </cell>
          <cell r="F886" t="str">
            <v>UF-2600i Hyundai</v>
          </cell>
          <cell r="G886">
            <v>10000</v>
          </cell>
          <cell r="H886" t="str">
            <v>Nacional</v>
          </cell>
          <cell r="I886">
            <v>10</v>
          </cell>
          <cell r="J886" t="str">
            <v>STD</v>
          </cell>
          <cell r="L886">
            <v>0</v>
          </cell>
          <cell r="M886">
            <v>0</v>
          </cell>
          <cell r="O886" t="str">
            <v>CUÑA DE RODILLO SUPERIOR</v>
          </cell>
        </row>
        <row r="887">
          <cell r="D887" t="str">
            <v>HTJA030096</v>
          </cell>
          <cell r="E887" t="str">
            <v>10235857</v>
          </cell>
          <cell r="F887" t="str">
            <v>UF-2600i DNA (Preforma)</v>
          </cell>
          <cell r="G887">
            <v>10000</v>
          </cell>
          <cell r="H887" t="str">
            <v>Nacional</v>
          </cell>
          <cell r="I887">
            <v>10</v>
          </cell>
          <cell r="J887" t="str">
            <v>STD</v>
          </cell>
          <cell r="L887">
            <v>0</v>
          </cell>
          <cell r="M887">
            <v>0</v>
          </cell>
          <cell r="O887" t="str">
            <v>CUÑA DE RODILLO SUPERIOR</v>
          </cell>
        </row>
        <row r="888">
          <cell r="D888" t="str">
            <v>HTJA030096</v>
          </cell>
          <cell r="E888" t="str">
            <v>10018041</v>
          </cell>
          <cell r="F888" t="str">
            <v>UF-3300i W</v>
          </cell>
          <cell r="G888">
            <v>10000</v>
          </cell>
          <cell r="H888" t="str">
            <v>Nacional</v>
          </cell>
          <cell r="I888">
            <v>10</v>
          </cell>
          <cell r="J888" t="str">
            <v>STD</v>
          </cell>
          <cell r="L888">
            <v>13520.454678603319</v>
          </cell>
          <cell r="M888">
            <v>587.84585559144864</v>
          </cell>
          <cell r="O888" t="str">
            <v>CUÑA DE RODILLO SUPERIOR</v>
          </cell>
        </row>
        <row r="889">
          <cell r="D889" t="str">
            <v>HTJA030096</v>
          </cell>
          <cell r="E889" t="str">
            <v>10009621</v>
          </cell>
          <cell r="F889" t="str">
            <v>UF-4600i W</v>
          </cell>
          <cell r="G889">
            <v>10000</v>
          </cell>
          <cell r="H889" t="str">
            <v>Nacional</v>
          </cell>
          <cell r="I889">
            <v>10</v>
          </cell>
          <cell r="J889" t="str">
            <v>STD</v>
          </cell>
          <cell r="L889">
            <v>33932.483034337194</v>
          </cell>
          <cell r="M889">
            <v>1475.3253493190084</v>
          </cell>
          <cell r="O889" t="str">
            <v>CUÑA DE RODILLO SUPERIOR</v>
          </cell>
        </row>
        <row r="890">
          <cell r="D890" t="str">
            <v>HTJA030096</v>
          </cell>
          <cell r="E890" t="str">
            <v>7056050202</v>
          </cell>
          <cell r="F890" t="str">
            <v>A4 RF-91 Concept One</v>
          </cell>
          <cell r="G890">
            <v>10000</v>
          </cell>
          <cell r="H890" t="str">
            <v>Nacional</v>
          </cell>
          <cell r="I890">
            <v>10</v>
          </cell>
          <cell r="J890" t="str">
            <v>STD</v>
          </cell>
          <cell r="L890">
            <v>0</v>
          </cell>
          <cell r="M890">
            <v>0</v>
          </cell>
          <cell r="O890" t="str">
            <v>CUÑA DE RODILLO SUPERIOR</v>
          </cell>
        </row>
        <row r="891">
          <cell r="D891" t="str">
            <v>HTJA030096</v>
          </cell>
          <cell r="E891" t="str">
            <v>7174050203</v>
          </cell>
          <cell r="F891" t="str">
            <v>A4 RF-95</v>
          </cell>
          <cell r="G891">
            <v>10000</v>
          </cell>
          <cell r="H891" t="str">
            <v>Nacional</v>
          </cell>
          <cell r="I891">
            <v>10</v>
          </cell>
          <cell r="J891" t="str">
            <v>STD</v>
          </cell>
          <cell r="L891">
            <v>8133.6</v>
          </cell>
          <cell r="M891">
            <v>353.63478260869567</v>
          </cell>
          <cell r="O891" t="str">
            <v>CUÑA DE RODILLO SUPERIOR</v>
          </cell>
        </row>
        <row r="892">
          <cell r="D892" t="str">
            <v>HTJA030097</v>
          </cell>
          <cell r="E892" t="str">
            <v>8647050233</v>
          </cell>
          <cell r="F892" t="str">
            <v>AC-2000i Honda Acura</v>
          </cell>
          <cell r="G892">
            <v>300000</v>
          </cell>
          <cell r="H892" t="str">
            <v>Profirrol</v>
          </cell>
          <cell r="I892">
            <v>30</v>
          </cell>
          <cell r="J892" t="str">
            <v>STD</v>
          </cell>
          <cell r="L892">
            <v>74729.200000000012</v>
          </cell>
          <cell r="M892">
            <v>3249.0956521739135</v>
          </cell>
          <cell r="O892" t="str">
            <v>SEPARADOR DE RODILLO SUPERIOR</v>
          </cell>
        </row>
        <row r="893">
          <cell r="D893" t="str">
            <v>HTJA030097</v>
          </cell>
          <cell r="E893" t="str">
            <v>10232841</v>
          </cell>
          <cell r="F893" t="str">
            <v>AC-2000i DNA (Preforma)</v>
          </cell>
          <cell r="G893">
            <v>300000</v>
          </cell>
          <cell r="H893" t="str">
            <v>Profirrol</v>
          </cell>
          <cell r="I893">
            <v>30</v>
          </cell>
          <cell r="J893" t="str">
            <v>STD</v>
          </cell>
          <cell r="L893">
            <v>99000</v>
          </cell>
          <cell r="M893">
            <v>4304.347826086957</v>
          </cell>
          <cell r="O893" t="str">
            <v>SEPARADOR DE RODILLO SUPERIOR</v>
          </cell>
        </row>
        <row r="894">
          <cell r="D894" t="str">
            <v>HTJA030097</v>
          </cell>
          <cell r="E894" t="str">
            <v>4302091005</v>
          </cell>
          <cell r="F894" t="str">
            <v>C-2000 PL-BODY</v>
          </cell>
          <cell r="G894">
            <v>300000</v>
          </cell>
          <cell r="H894" t="str">
            <v>Profirrol</v>
          </cell>
          <cell r="I894">
            <v>30</v>
          </cell>
          <cell r="J894" t="str">
            <v>STD</v>
          </cell>
          <cell r="L894">
            <v>0</v>
          </cell>
          <cell r="M894">
            <v>0</v>
          </cell>
          <cell r="O894" t="str">
            <v>SEPARADOR DE RODILLO SUPERIOR</v>
          </cell>
        </row>
        <row r="895">
          <cell r="D895" t="str">
            <v>HTJA030097</v>
          </cell>
          <cell r="E895" t="str">
            <v>7324050215</v>
          </cell>
          <cell r="F895" t="str">
            <v>AC-2300i PT-44</v>
          </cell>
          <cell r="G895">
            <v>300000</v>
          </cell>
          <cell r="H895" t="str">
            <v>Profirrol</v>
          </cell>
          <cell r="I895">
            <v>30</v>
          </cell>
          <cell r="J895" t="str">
            <v>STD</v>
          </cell>
          <cell r="L895">
            <v>58512.600000000006</v>
          </cell>
          <cell r="M895">
            <v>2544.0260869565218</v>
          </cell>
          <cell r="O895" t="str">
            <v>SEPARADOR DE RODILLO SUPERIOR</v>
          </cell>
        </row>
        <row r="896">
          <cell r="D896" t="str">
            <v>HTJA030097</v>
          </cell>
          <cell r="E896" t="str">
            <v>10226750</v>
          </cell>
          <cell r="F896" t="str">
            <v>AC-2300i DNA (Preforma)</v>
          </cell>
          <cell r="G896">
            <v>300000</v>
          </cell>
          <cell r="H896" t="str">
            <v>Profirrol</v>
          </cell>
          <cell r="I896">
            <v>30</v>
          </cell>
          <cell r="J896" t="str">
            <v>STD</v>
          </cell>
          <cell r="L896">
            <v>52509.599999999999</v>
          </cell>
          <cell r="M896">
            <v>2283.0260869565218</v>
          </cell>
          <cell r="O896" t="str">
            <v>SEPARADOR DE RODILLO SUPERIOR</v>
          </cell>
        </row>
        <row r="897">
          <cell r="D897" t="str">
            <v>HTJA030097</v>
          </cell>
          <cell r="E897" t="str">
            <v>7553050217</v>
          </cell>
          <cell r="F897" t="str">
            <v>AC-2600i PT-Turbo</v>
          </cell>
          <cell r="G897">
            <v>300000</v>
          </cell>
          <cell r="H897" t="str">
            <v>Profirrol</v>
          </cell>
          <cell r="I897">
            <v>30</v>
          </cell>
          <cell r="J897" t="str">
            <v>STD</v>
          </cell>
          <cell r="L897">
            <v>37981.199999999997</v>
          </cell>
          <cell r="M897">
            <v>1651.3565217391304</v>
          </cell>
          <cell r="O897" t="str">
            <v>SEPARADOR DE RODILLO SUPERIOR</v>
          </cell>
        </row>
        <row r="898">
          <cell r="D898" t="str">
            <v>HTJA030097</v>
          </cell>
          <cell r="E898" t="str">
            <v>10001024R</v>
          </cell>
          <cell r="F898" t="str">
            <v>AC-2600i Ford Escape</v>
          </cell>
          <cell r="G898">
            <v>300000</v>
          </cell>
          <cell r="H898" t="str">
            <v>Profirrol</v>
          </cell>
          <cell r="I898">
            <v>30</v>
          </cell>
          <cell r="J898" t="str">
            <v>STD</v>
          </cell>
          <cell r="L898">
            <v>59203</v>
          </cell>
          <cell r="M898">
            <v>2574.0434782608695</v>
          </cell>
          <cell r="O898" t="str">
            <v>SEPARADOR DE RODILLO SUPERIOR</v>
          </cell>
        </row>
        <row r="899">
          <cell r="D899" t="str">
            <v>HTJA030097</v>
          </cell>
          <cell r="E899" t="str">
            <v>10226752</v>
          </cell>
          <cell r="F899" t="str">
            <v>AC-2600i DNA (Preforma)</v>
          </cell>
          <cell r="G899">
            <v>300000</v>
          </cell>
          <cell r="H899" t="str">
            <v>Profirrol</v>
          </cell>
          <cell r="I899">
            <v>30</v>
          </cell>
          <cell r="J899" t="str">
            <v>STD</v>
          </cell>
          <cell r="L899">
            <v>31536</v>
          </cell>
          <cell r="M899">
            <v>1371.1304347826087</v>
          </cell>
          <cell r="O899" t="str">
            <v>SEPARADOR DE RODILLO SUPERIOR</v>
          </cell>
        </row>
        <row r="900">
          <cell r="D900" t="str">
            <v>HTJA030097</v>
          </cell>
          <cell r="E900" t="str">
            <v>10054551</v>
          </cell>
          <cell r="F900" t="str">
            <v>AC-2650 JC49 / GS PLT / DNA</v>
          </cell>
          <cell r="G900">
            <v>300000</v>
          </cell>
          <cell r="H900" t="str">
            <v>Profirrol</v>
          </cell>
          <cell r="I900">
            <v>30</v>
          </cell>
          <cell r="J900" t="str">
            <v>STD</v>
          </cell>
          <cell r="L900">
            <v>11932</v>
          </cell>
          <cell r="M900">
            <v>518.78260869565213</v>
          </cell>
          <cell r="O900" t="str">
            <v>SEPARADOR DE RODILLO SUPERIOR</v>
          </cell>
        </row>
        <row r="901">
          <cell r="D901" t="str">
            <v>HTJA030097</v>
          </cell>
          <cell r="E901" t="str">
            <v>10226751</v>
          </cell>
          <cell r="F901" t="str">
            <v>AC-2650 DNA</v>
          </cell>
          <cell r="G901">
            <v>300000</v>
          </cell>
          <cell r="H901" t="str">
            <v>Profirrol</v>
          </cell>
          <cell r="I901">
            <v>30</v>
          </cell>
          <cell r="J901" t="str">
            <v>STD</v>
          </cell>
          <cell r="L901">
            <v>24453</v>
          </cell>
          <cell r="M901">
            <v>1063.1739130434783</v>
          </cell>
          <cell r="O901" t="str">
            <v>SEPARADOR DE RODILLO SUPERIOR</v>
          </cell>
        </row>
        <row r="902">
          <cell r="D902" t="str">
            <v>HTJA030097</v>
          </cell>
          <cell r="E902" t="str">
            <v>8152050226</v>
          </cell>
          <cell r="F902" t="str">
            <v>UF-2600i PQ-35 VW</v>
          </cell>
          <cell r="G902">
            <v>300000</v>
          </cell>
          <cell r="H902" t="str">
            <v>Profirrol</v>
          </cell>
          <cell r="I902">
            <v>30</v>
          </cell>
          <cell r="J902" t="str">
            <v>STD</v>
          </cell>
          <cell r="L902">
            <v>38227.399999999994</v>
          </cell>
          <cell r="M902">
            <v>1662.0608695652172</v>
          </cell>
          <cell r="O902" t="str">
            <v>SEPARADOR DE RODILLO SUPERIOR</v>
          </cell>
        </row>
        <row r="903">
          <cell r="D903" t="str">
            <v>HTJA030097</v>
          </cell>
          <cell r="E903" t="str">
            <v>10060762</v>
          </cell>
          <cell r="F903" t="str">
            <v>UF-2600i Ford Explorer</v>
          </cell>
          <cell r="G903">
            <v>300000</v>
          </cell>
          <cell r="H903" t="str">
            <v>Profirrol</v>
          </cell>
          <cell r="I903">
            <v>30</v>
          </cell>
          <cell r="J903" t="str">
            <v>STD</v>
          </cell>
          <cell r="L903">
            <v>0</v>
          </cell>
          <cell r="M903">
            <v>0</v>
          </cell>
          <cell r="O903" t="str">
            <v>SEPARADOR DE RODILLO SUPERIOR</v>
          </cell>
        </row>
        <row r="904">
          <cell r="D904" t="str">
            <v>HTJA030097</v>
          </cell>
          <cell r="E904" t="str">
            <v>00806088</v>
          </cell>
          <cell r="F904" t="str">
            <v>UF-2600i Hyundai</v>
          </cell>
          <cell r="G904">
            <v>300000</v>
          </cell>
          <cell r="H904" t="str">
            <v>Profirrol</v>
          </cell>
          <cell r="I904">
            <v>30</v>
          </cell>
          <cell r="J904" t="str">
            <v>STD</v>
          </cell>
          <cell r="L904">
            <v>0</v>
          </cell>
          <cell r="M904">
            <v>0</v>
          </cell>
          <cell r="O904" t="str">
            <v>SEPARADOR DE RODILLO SUPERIOR</v>
          </cell>
        </row>
        <row r="905">
          <cell r="D905" t="str">
            <v>HTJA030097</v>
          </cell>
          <cell r="E905" t="str">
            <v>10235857</v>
          </cell>
          <cell r="F905" t="str">
            <v>UF-2600i DNA (Preforma)</v>
          </cell>
          <cell r="G905">
            <v>300000</v>
          </cell>
          <cell r="H905" t="str">
            <v>Profirrol</v>
          </cell>
          <cell r="I905">
            <v>30</v>
          </cell>
          <cell r="J905" t="str">
            <v>STD</v>
          </cell>
          <cell r="L905">
            <v>0</v>
          </cell>
          <cell r="M905">
            <v>0</v>
          </cell>
          <cell r="O905" t="str">
            <v>SEPARADOR DE RODILLO SUPERIOR</v>
          </cell>
        </row>
        <row r="906">
          <cell r="D906" t="str">
            <v>HTJA030097</v>
          </cell>
          <cell r="E906" t="str">
            <v>10018041</v>
          </cell>
          <cell r="F906" t="str">
            <v>UF-3300i W</v>
          </cell>
          <cell r="G906">
            <v>300000</v>
          </cell>
          <cell r="H906" t="str">
            <v>Profirrol</v>
          </cell>
          <cell r="I906">
            <v>30</v>
          </cell>
          <cell r="J906" t="str">
            <v>STD</v>
          </cell>
          <cell r="L906">
            <v>13520.454678603319</v>
          </cell>
          <cell r="M906">
            <v>587.84585559144864</v>
          </cell>
          <cell r="O906" t="str">
            <v>SEPARADOR DE RODILLO SUPERIOR</v>
          </cell>
        </row>
        <row r="907">
          <cell r="D907" t="str">
            <v>HTJA030097</v>
          </cell>
          <cell r="E907" t="str">
            <v>10009621</v>
          </cell>
          <cell r="F907" t="str">
            <v>UF-4600i W</v>
          </cell>
          <cell r="G907">
            <v>300000</v>
          </cell>
          <cell r="H907" t="str">
            <v>Profirrol</v>
          </cell>
          <cell r="I907">
            <v>30</v>
          </cell>
          <cell r="J907" t="str">
            <v>STD</v>
          </cell>
          <cell r="L907">
            <v>33932.483034337194</v>
          </cell>
          <cell r="M907">
            <v>1475.3253493190084</v>
          </cell>
          <cell r="O907" t="str">
            <v>SEPARADOR DE RODILLO SUPERIOR</v>
          </cell>
        </row>
        <row r="908">
          <cell r="D908" t="str">
            <v>HTJA030097</v>
          </cell>
          <cell r="E908" t="str">
            <v>7056050202</v>
          </cell>
          <cell r="F908" t="str">
            <v>A4 RF-91 Concept One</v>
          </cell>
          <cell r="G908">
            <v>300000</v>
          </cell>
          <cell r="H908" t="str">
            <v>Profirrol</v>
          </cell>
          <cell r="I908">
            <v>30</v>
          </cell>
          <cell r="J908" t="str">
            <v>STD</v>
          </cell>
          <cell r="L908">
            <v>0</v>
          </cell>
          <cell r="M908">
            <v>0</v>
          </cell>
          <cell r="O908" t="str">
            <v>SEPARADOR DE RODILLO SUPERIOR</v>
          </cell>
        </row>
        <row r="909">
          <cell r="D909" t="str">
            <v>HTJA030097</v>
          </cell>
          <cell r="E909" t="str">
            <v>7174050203</v>
          </cell>
          <cell r="F909" t="str">
            <v>A4 RF-95</v>
          </cell>
          <cell r="G909">
            <v>300000</v>
          </cell>
          <cell r="H909" t="str">
            <v>Profirrol</v>
          </cell>
          <cell r="I909">
            <v>30</v>
          </cell>
          <cell r="J909" t="str">
            <v>STD</v>
          </cell>
          <cell r="L909">
            <v>8133.6</v>
          </cell>
          <cell r="M909">
            <v>353.63478260869567</v>
          </cell>
          <cell r="O909" t="str">
            <v>SEPARADOR DE RODILLO SUPERIOR</v>
          </cell>
        </row>
        <row r="910">
          <cell r="D910" t="str">
            <v>HTJA030099</v>
          </cell>
          <cell r="E910" t="str">
            <v>8647050233</v>
          </cell>
          <cell r="F910" t="str">
            <v>AC-2000i Honda Acura</v>
          </cell>
          <cell r="G910">
            <v>50000</v>
          </cell>
          <cell r="H910" t="str">
            <v>Nacional</v>
          </cell>
          <cell r="I910">
            <v>10</v>
          </cell>
          <cell r="J910" t="str">
            <v>STD</v>
          </cell>
          <cell r="L910">
            <v>74729.200000000012</v>
          </cell>
          <cell r="M910">
            <v>3249.0956521739135</v>
          </cell>
          <cell r="O910" t="str">
            <v>BASE RODILLO</v>
          </cell>
        </row>
        <row r="911">
          <cell r="D911" t="str">
            <v>HTJA030099</v>
          </cell>
          <cell r="E911" t="str">
            <v>10232841</v>
          </cell>
          <cell r="F911" t="str">
            <v>AC-2000i DNA (Preforma)</v>
          </cell>
          <cell r="G911">
            <v>50000</v>
          </cell>
          <cell r="H911" t="str">
            <v>Nacional</v>
          </cell>
          <cell r="I911">
            <v>10</v>
          </cell>
          <cell r="J911" t="str">
            <v>STD</v>
          </cell>
          <cell r="L911">
            <v>99000</v>
          </cell>
          <cell r="M911">
            <v>4304.347826086957</v>
          </cell>
          <cell r="O911" t="str">
            <v>BASE RODILLO</v>
          </cell>
        </row>
        <row r="912">
          <cell r="D912" t="str">
            <v>HTJA030099</v>
          </cell>
          <cell r="E912" t="str">
            <v>4302091005</v>
          </cell>
          <cell r="F912" t="str">
            <v>C-2000 PL-BODY</v>
          </cell>
          <cell r="G912">
            <v>50000</v>
          </cell>
          <cell r="H912" t="str">
            <v>Nacional</v>
          </cell>
          <cell r="I912">
            <v>10</v>
          </cell>
          <cell r="J912" t="str">
            <v>STD</v>
          </cell>
          <cell r="L912">
            <v>0</v>
          </cell>
          <cell r="M912">
            <v>0</v>
          </cell>
          <cell r="O912" t="str">
            <v>BASE RODILLO</v>
          </cell>
        </row>
        <row r="913">
          <cell r="D913" t="str">
            <v>HTJA030099</v>
          </cell>
          <cell r="E913" t="str">
            <v>7324050215</v>
          </cell>
          <cell r="F913" t="str">
            <v>AC-2300i PT-44</v>
          </cell>
          <cell r="G913">
            <v>50000</v>
          </cell>
          <cell r="H913" t="str">
            <v>Nacional</v>
          </cell>
          <cell r="I913">
            <v>10</v>
          </cell>
          <cell r="J913" t="str">
            <v>STD</v>
          </cell>
          <cell r="L913">
            <v>58512.600000000006</v>
          </cell>
          <cell r="M913">
            <v>2544.0260869565218</v>
          </cell>
          <cell r="O913" t="str">
            <v>BASE RODILLO</v>
          </cell>
        </row>
        <row r="914">
          <cell r="D914" t="str">
            <v>HTJA030099</v>
          </cell>
          <cell r="E914" t="str">
            <v>10226750</v>
          </cell>
          <cell r="F914" t="str">
            <v>AC-2300i DNA (Preforma)</v>
          </cell>
          <cell r="G914">
            <v>50000</v>
          </cell>
          <cell r="H914" t="str">
            <v>Nacional</v>
          </cell>
          <cell r="I914">
            <v>10</v>
          </cell>
          <cell r="J914" t="str">
            <v>STD</v>
          </cell>
          <cell r="L914">
            <v>52509.599999999999</v>
          </cell>
          <cell r="M914">
            <v>2283.0260869565218</v>
          </cell>
          <cell r="O914" t="str">
            <v>BASE RODILLO</v>
          </cell>
        </row>
        <row r="915">
          <cell r="D915" t="str">
            <v>HTJA030099</v>
          </cell>
          <cell r="E915" t="str">
            <v>7553050217</v>
          </cell>
          <cell r="F915" t="str">
            <v>AC-2600i PT-Turbo</v>
          </cell>
          <cell r="G915">
            <v>50000</v>
          </cell>
          <cell r="H915" t="str">
            <v>Nacional</v>
          </cell>
          <cell r="I915">
            <v>10</v>
          </cell>
          <cell r="J915" t="str">
            <v>STD</v>
          </cell>
          <cell r="L915">
            <v>37981.199999999997</v>
          </cell>
          <cell r="M915">
            <v>1651.3565217391304</v>
          </cell>
          <cell r="O915" t="str">
            <v>BASE RODILLO</v>
          </cell>
        </row>
        <row r="916">
          <cell r="D916" t="str">
            <v>HTJA030099</v>
          </cell>
          <cell r="E916" t="str">
            <v>10001024R</v>
          </cell>
          <cell r="F916" t="str">
            <v>AC-2600i Ford Escape</v>
          </cell>
          <cell r="G916">
            <v>50000</v>
          </cell>
          <cell r="H916" t="str">
            <v>Nacional</v>
          </cell>
          <cell r="I916">
            <v>10</v>
          </cell>
          <cell r="J916" t="str">
            <v>STD</v>
          </cell>
          <cell r="L916">
            <v>59203</v>
          </cell>
          <cell r="M916">
            <v>2574.0434782608695</v>
          </cell>
          <cell r="O916" t="str">
            <v>BASE RODILLO</v>
          </cell>
        </row>
        <row r="917">
          <cell r="D917" t="str">
            <v>HTJA030099</v>
          </cell>
          <cell r="E917" t="str">
            <v>10226752</v>
          </cell>
          <cell r="F917" t="str">
            <v>AC-2600i DNA (Preforma)</v>
          </cell>
          <cell r="G917">
            <v>50000</v>
          </cell>
          <cell r="H917" t="str">
            <v>Nacional</v>
          </cell>
          <cell r="I917">
            <v>10</v>
          </cell>
          <cell r="J917" t="str">
            <v>STD</v>
          </cell>
          <cell r="L917">
            <v>31536</v>
          </cell>
          <cell r="M917">
            <v>1371.1304347826087</v>
          </cell>
          <cell r="O917" t="str">
            <v>BASE RODILLO</v>
          </cell>
        </row>
        <row r="918">
          <cell r="D918" t="str">
            <v>HTJA030099</v>
          </cell>
          <cell r="E918" t="str">
            <v>10054551</v>
          </cell>
          <cell r="F918" t="str">
            <v>AC-2650 JC49 / GS PLT / DNA</v>
          </cell>
          <cell r="G918">
            <v>50000</v>
          </cell>
          <cell r="H918" t="str">
            <v>Nacional</v>
          </cell>
          <cell r="I918">
            <v>10</v>
          </cell>
          <cell r="J918" t="str">
            <v>STD</v>
          </cell>
          <cell r="L918">
            <v>11932</v>
          </cell>
          <cell r="M918">
            <v>518.78260869565213</v>
          </cell>
          <cell r="O918" t="str">
            <v>BASE RODILLO</v>
          </cell>
        </row>
        <row r="919">
          <cell r="D919" t="str">
            <v>HTJA030099</v>
          </cell>
          <cell r="E919" t="str">
            <v>10226751</v>
          </cell>
          <cell r="F919" t="str">
            <v>AC-2650 DNA</v>
          </cell>
          <cell r="G919">
            <v>50000</v>
          </cell>
          <cell r="H919" t="str">
            <v>Nacional</v>
          </cell>
          <cell r="I919">
            <v>10</v>
          </cell>
          <cell r="J919" t="str">
            <v>STD</v>
          </cell>
          <cell r="L919">
            <v>24453</v>
          </cell>
          <cell r="M919">
            <v>1063.1739130434783</v>
          </cell>
          <cell r="O919" t="str">
            <v>BASE RODILLO</v>
          </cell>
        </row>
        <row r="920">
          <cell r="D920" t="str">
            <v>HTJA030099</v>
          </cell>
          <cell r="E920" t="str">
            <v>8152050226</v>
          </cell>
          <cell r="F920" t="str">
            <v>UF-2600i PQ-35 VW</v>
          </cell>
          <cell r="G920">
            <v>50000</v>
          </cell>
          <cell r="H920" t="str">
            <v>Nacional</v>
          </cell>
          <cell r="I920">
            <v>10</v>
          </cell>
          <cell r="J920" t="str">
            <v>STD</v>
          </cell>
          <cell r="L920">
            <v>38227.399999999994</v>
          </cell>
          <cell r="M920">
            <v>1662.0608695652172</v>
          </cell>
          <cell r="O920" t="str">
            <v>BASE RODILLO</v>
          </cell>
        </row>
        <row r="921">
          <cell r="D921" t="str">
            <v>HTJA030099</v>
          </cell>
          <cell r="E921" t="str">
            <v>10060762</v>
          </cell>
          <cell r="F921" t="str">
            <v>UF-2600i Ford Explorer</v>
          </cell>
          <cell r="G921">
            <v>50000</v>
          </cell>
          <cell r="H921" t="str">
            <v>Nacional</v>
          </cell>
          <cell r="I921">
            <v>10</v>
          </cell>
          <cell r="J921" t="str">
            <v>STD</v>
          </cell>
          <cell r="L921">
            <v>0</v>
          </cell>
          <cell r="M921">
            <v>0</v>
          </cell>
          <cell r="O921" t="str">
            <v>BASE RODILLO</v>
          </cell>
        </row>
        <row r="922">
          <cell r="D922" t="str">
            <v>HTJA030099</v>
          </cell>
          <cell r="E922" t="str">
            <v>00806088</v>
          </cell>
          <cell r="F922" t="str">
            <v>UF-2600i Hyundai</v>
          </cell>
          <cell r="G922">
            <v>50000</v>
          </cell>
          <cell r="H922" t="str">
            <v>Nacional</v>
          </cell>
          <cell r="I922">
            <v>10</v>
          </cell>
          <cell r="J922" t="str">
            <v>STD</v>
          </cell>
          <cell r="L922">
            <v>0</v>
          </cell>
          <cell r="M922">
            <v>0</v>
          </cell>
          <cell r="O922" t="str">
            <v>BASE RODILLO</v>
          </cell>
        </row>
        <row r="923">
          <cell r="D923" t="str">
            <v>HTJA030099</v>
          </cell>
          <cell r="E923" t="str">
            <v>10235857</v>
          </cell>
          <cell r="F923" t="str">
            <v>UF-2600i DNA (Preforma)</v>
          </cell>
          <cell r="G923">
            <v>50000</v>
          </cell>
          <cell r="H923" t="str">
            <v>Nacional</v>
          </cell>
          <cell r="I923">
            <v>10</v>
          </cell>
          <cell r="J923" t="str">
            <v>STD</v>
          </cell>
          <cell r="L923">
            <v>0</v>
          </cell>
          <cell r="M923">
            <v>0</v>
          </cell>
          <cell r="O923" t="str">
            <v>BASE RODILLO</v>
          </cell>
        </row>
        <row r="924">
          <cell r="D924" t="str">
            <v>HTJA030099</v>
          </cell>
          <cell r="E924" t="str">
            <v>10018041</v>
          </cell>
          <cell r="F924" t="str">
            <v>UF-3300i W</v>
          </cell>
          <cell r="G924">
            <v>50000</v>
          </cell>
          <cell r="H924" t="str">
            <v>Nacional</v>
          </cell>
          <cell r="I924">
            <v>10</v>
          </cell>
          <cell r="J924" t="str">
            <v>STD</v>
          </cell>
          <cell r="L924">
            <v>13520.454678603319</v>
          </cell>
          <cell r="M924">
            <v>587.84585559144864</v>
          </cell>
          <cell r="O924" t="str">
            <v>BASE RODILLO</v>
          </cell>
        </row>
        <row r="925">
          <cell r="D925" t="str">
            <v>HTJA030099</v>
          </cell>
          <cell r="E925" t="str">
            <v>10009621</v>
          </cell>
          <cell r="F925" t="str">
            <v>UF-4600i W</v>
          </cell>
          <cell r="G925">
            <v>50000</v>
          </cell>
          <cell r="H925" t="str">
            <v>Nacional</v>
          </cell>
          <cell r="I925">
            <v>10</v>
          </cell>
          <cell r="J925" t="str">
            <v>STD</v>
          </cell>
          <cell r="L925">
            <v>33932.483034337194</v>
          </cell>
          <cell r="M925">
            <v>1475.3253493190084</v>
          </cell>
          <cell r="O925" t="str">
            <v>BASE RODILLO</v>
          </cell>
        </row>
        <row r="926">
          <cell r="D926" t="str">
            <v>HTJA030099</v>
          </cell>
          <cell r="E926" t="str">
            <v>7056050202</v>
          </cell>
          <cell r="F926" t="str">
            <v>A4 RF-91 Concept One</v>
          </cell>
          <cell r="G926">
            <v>50000</v>
          </cell>
          <cell r="H926" t="str">
            <v>Nacional</v>
          </cell>
          <cell r="I926">
            <v>10</v>
          </cell>
          <cell r="J926" t="str">
            <v>STD</v>
          </cell>
          <cell r="L926">
            <v>0</v>
          </cell>
          <cell r="M926">
            <v>0</v>
          </cell>
          <cell r="O926" t="str">
            <v>BASE RODILLO</v>
          </cell>
        </row>
        <row r="927">
          <cell r="D927" t="str">
            <v>HTJA030099</v>
          </cell>
          <cell r="E927" t="str">
            <v>7174050203</v>
          </cell>
          <cell r="F927" t="str">
            <v>A4 RF-95</v>
          </cell>
          <cell r="G927">
            <v>50000</v>
          </cell>
          <cell r="H927" t="str">
            <v>Nacional</v>
          </cell>
          <cell r="I927">
            <v>10</v>
          </cell>
          <cell r="J927" t="str">
            <v>STD</v>
          </cell>
          <cell r="L927">
            <v>8133.6</v>
          </cell>
          <cell r="M927">
            <v>353.63478260869567</v>
          </cell>
          <cell r="O927" t="str">
            <v>BASE RODILLO</v>
          </cell>
        </row>
        <row r="928">
          <cell r="D928" t="str">
            <v>HTJA030103</v>
          </cell>
          <cell r="E928" t="str">
            <v>8647050233</v>
          </cell>
          <cell r="F928" t="str">
            <v>AC-2000i Honda Acura</v>
          </cell>
          <cell r="G928">
            <v>300000</v>
          </cell>
          <cell r="H928" t="str">
            <v>Profirrol</v>
          </cell>
          <cell r="I928">
            <v>30</v>
          </cell>
          <cell r="J928" t="str">
            <v>STD</v>
          </cell>
          <cell r="L928">
            <v>74729.200000000012</v>
          </cell>
          <cell r="M928">
            <v>3249.0956521739135</v>
          </cell>
          <cell r="O928" t="str">
            <v>TUERCA DE TORNILLO DE CANAL</v>
          </cell>
        </row>
        <row r="929">
          <cell r="D929" t="str">
            <v>HTJA030103</v>
          </cell>
          <cell r="E929" t="str">
            <v>10232841</v>
          </cell>
          <cell r="F929" t="str">
            <v>AC-2000i DNA (Preforma)</v>
          </cell>
          <cell r="G929">
            <v>300000</v>
          </cell>
          <cell r="H929" t="str">
            <v>Profirrol</v>
          </cell>
          <cell r="I929">
            <v>30</v>
          </cell>
          <cell r="J929" t="str">
            <v>STD</v>
          </cell>
          <cell r="L929">
            <v>99000</v>
          </cell>
          <cell r="M929">
            <v>4304.347826086957</v>
          </cell>
          <cell r="O929" t="str">
            <v>TUERCA DE TORNILLO DE CANAL</v>
          </cell>
        </row>
        <row r="930">
          <cell r="D930" t="str">
            <v>HTJA030103</v>
          </cell>
          <cell r="E930" t="str">
            <v>4302091005</v>
          </cell>
          <cell r="F930" t="str">
            <v>C-2000 PL-BODY</v>
          </cell>
          <cell r="G930">
            <v>300000</v>
          </cell>
          <cell r="H930" t="str">
            <v>Profirrol</v>
          </cell>
          <cell r="I930">
            <v>30</v>
          </cell>
          <cell r="J930" t="str">
            <v>STD</v>
          </cell>
          <cell r="L930">
            <v>0</v>
          </cell>
          <cell r="M930">
            <v>0</v>
          </cell>
          <cell r="O930" t="str">
            <v>TUERCA DE TORNILLO DE CANAL</v>
          </cell>
        </row>
        <row r="931">
          <cell r="D931" t="str">
            <v>HTJA030103</v>
          </cell>
          <cell r="E931" t="str">
            <v>7324050215</v>
          </cell>
          <cell r="F931" t="str">
            <v>AC-2300i PT-44</v>
          </cell>
          <cell r="G931">
            <v>300000</v>
          </cell>
          <cell r="H931" t="str">
            <v>Profirrol</v>
          </cell>
          <cell r="I931">
            <v>30</v>
          </cell>
          <cell r="J931" t="str">
            <v>STD</v>
          </cell>
          <cell r="L931">
            <v>58512.600000000006</v>
          </cell>
          <cell r="M931">
            <v>2544.0260869565218</v>
          </cell>
          <cell r="O931" t="str">
            <v>TUERCA DE TORNILLO DE CANAL</v>
          </cell>
        </row>
        <row r="932">
          <cell r="D932" t="str">
            <v>HTJA030103</v>
          </cell>
          <cell r="E932" t="str">
            <v>10226750</v>
          </cell>
          <cell r="F932" t="str">
            <v>AC-2300i DNA (Preforma)</v>
          </cell>
          <cell r="G932">
            <v>300000</v>
          </cell>
          <cell r="H932" t="str">
            <v>Profirrol</v>
          </cell>
          <cell r="I932">
            <v>30</v>
          </cell>
          <cell r="J932" t="str">
            <v>STD</v>
          </cell>
          <cell r="L932">
            <v>52509.599999999999</v>
          </cell>
          <cell r="M932">
            <v>2283.0260869565218</v>
          </cell>
          <cell r="O932" t="str">
            <v>TUERCA DE TORNILLO DE CANAL</v>
          </cell>
        </row>
        <row r="933">
          <cell r="D933" t="str">
            <v>HTJA030103</v>
          </cell>
          <cell r="E933" t="str">
            <v>7553050217</v>
          </cell>
          <cell r="F933" t="str">
            <v>AC-2600i PT-Turbo</v>
          </cell>
          <cell r="G933">
            <v>300000</v>
          </cell>
          <cell r="H933" t="str">
            <v>Profirrol</v>
          </cell>
          <cell r="I933">
            <v>30</v>
          </cell>
          <cell r="J933" t="str">
            <v>STD</v>
          </cell>
          <cell r="L933">
            <v>37981.199999999997</v>
          </cell>
          <cell r="M933">
            <v>1651.3565217391304</v>
          </cell>
          <cell r="O933" t="str">
            <v>TUERCA DE TORNILLO DE CANAL</v>
          </cell>
        </row>
        <row r="934">
          <cell r="D934" t="str">
            <v>HTJA030103</v>
          </cell>
          <cell r="E934" t="str">
            <v>10001024R</v>
          </cell>
          <cell r="F934" t="str">
            <v>AC-2600i Ford Escape</v>
          </cell>
          <cell r="G934">
            <v>300000</v>
          </cell>
          <cell r="H934" t="str">
            <v>Profirrol</v>
          </cell>
          <cell r="I934">
            <v>30</v>
          </cell>
          <cell r="J934" t="str">
            <v>STD</v>
          </cell>
          <cell r="L934">
            <v>59203</v>
          </cell>
          <cell r="M934">
            <v>2574.0434782608695</v>
          </cell>
          <cell r="O934" t="str">
            <v>TUERCA DE TORNILLO DE CANAL</v>
          </cell>
        </row>
        <row r="935">
          <cell r="D935" t="str">
            <v>HTJA030103</v>
          </cell>
          <cell r="E935" t="str">
            <v>10226752</v>
          </cell>
          <cell r="F935" t="str">
            <v>AC-2600i DNA (Preforma)</v>
          </cell>
          <cell r="G935">
            <v>300000</v>
          </cell>
          <cell r="H935" t="str">
            <v>Profirrol</v>
          </cell>
          <cell r="I935">
            <v>30</v>
          </cell>
          <cell r="J935" t="str">
            <v>STD</v>
          </cell>
          <cell r="L935">
            <v>31536</v>
          </cell>
          <cell r="M935">
            <v>1371.1304347826087</v>
          </cell>
          <cell r="O935" t="str">
            <v>TUERCA DE TORNILLO DE CANAL</v>
          </cell>
        </row>
        <row r="936">
          <cell r="D936" t="str">
            <v>HTJA030103</v>
          </cell>
          <cell r="E936" t="str">
            <v>10054551</v>
          </cell>
          <cell r="F936" t="str">
            <v>AC-2650 JC49 / GS PLT / DNA</v>
          </cell>
          <cell r="G936">
            <v>300000</v>
          </cell>
          <cell r="H936" t="str">
            <v>Profirrol</v>
          </cell>
          <cell r="I936">
            <v>30</v>
          </cell>
          <cell r="J936" t="str">
            <v>STD</v>
          </cell>
          <cell r="L936">
            <v>11932</v>
          </cell>
          <cell r="M936">
            <v>518.78260869565213</v>
          </cell>
          <cell r="O936" t="str">
            <v>TUERCA DE TORNILLO DE CANAL</v>
          </cell>
        </row>
        <row r="937">
          <cell r="D937" t="str">
            <v>HTJA030103</v>
          </cell>
          <cell r="E937" t="str">
            <v>10226751</v>
          </cell>
          <cell r="F937" t="str">
            <v>AC-2650 DNA</v>
          </cell>
          <cell r="G937">
            <v>300000</v>
          </cell>
          <cell r="H937" t="str">
            <v>Profirrol</v>
          </cell>
          <cell r="I937">
            <v>30</v>
          </cell>
          <cell r="J937" t="str">
            <v>STD</v>
          </cell>
          <cell r="L937">
            <v>24453</v>
          </cell>
          <cell r="M937">
            <v>1063.1739130434783</v>
          </cell>
          <cell r="O937" t="str">
            <v>TUERCA DE TORNILLO DE CANAL</v>
          </cell>
        </row>
        <row r="938">
          <cell r="D938" t="str">
            <v>HTJA030103</v>
          </cell>
          <cell r="E938" t="str">
            <v>8152050226</v>
          </cell>
          <cell r="F938" t="str">
            <v>UF-2600i PQ-35 VW</v>
          </cell>
          <cell r="G938">
            <v>300000</v>
          </cell>
          <cell r="H938" t="str">
            <v>Profirrol</v>
          </cell>
          <cell r="I938">
            <v>30</v>
          </cell>
          <cell r="J938" t="str">
            <v>STD</v>
          </cell>
          <cell r="L938">
            <v>38227.399999999994</v>
          </cell>
          <cell r="M938">
            <v>1662.0608695652172</v>
          </cell>
          <cell r="O938" t="str">
            <v>TUERCA DE TORNILLO DE CANAL</v>
          </cell>
        </row>
        <row r="939">
          <cell r="D939" t="str">
            <v>HTJA030103</v>
          </cell>
          <cell r="E939" t="str">
            <v>10060762</v>
          </cell>
          <cell r="F939" t="str">
            <v>UF-2600i Ford Explorer</v>
          </cell>
          <cell r="G939">
            <v>300000</v>
          </cell>
          <cell r="H939" t="str">
            <v>Profirrol</v>
          </cell>
          <cell r="I939">
            <v>30</v>
          </cell>
          <cell r="J939" t="str">
            <v>STD</v>
          </cell>
          <cell r="L939">
            <v>0</v>
          </cell>
          <cell r="M939">
            <v>0</v>
          </cell>
          <cell r="O939" t="str">
            <v>TUERCA DE TORNILLO DE CANAL</v>
          </cell>
        </row>
        <row r="940">
          <cell r="D940" t="str">
            <v>HTJA030103</v>
          </cell>
          <cell r="E940" t="str">
            <v>00806088</v>
          </cell>
          <cell r="F940" t="str">
            <v>UF-2600i Hyundai</v>
          </cell>
          <cell r="G940">
            <v>300000</v>
          </cell>
          <cell r="H940" t="str">
            <v>Profirrol</v>
          </cell>
          <cell r="I940">
            <v>30</v>
          </cell>
          <cell r="J940" t="str">
            <v>STD</v>
          </cell>
          <cell r="L940">
            <v>0</v>
          </cell>
          <cell r="M940">
            <v>0</v>
          </cell>
          <cell r="O940" t="str">
            <v>TUERCA DE TORNILLO DE CANAL</v>
          </cell>
        </row>
        <row r="941">
          <cell r="D941" t="str">
            <v>HTJA030103</v>
          </cell>
          <cell r="E941" t="str">
            <v>10235857</v>
          </cell>
          <cell r="F941" t="str">
            <v>UF-2600i DNA (Preforma)</v>
          </cell>
          <cell r="G941">
            <v>300000</v>
          </cell>
          <cell r="H941" t="str">
            <v>Profirrol</v>
          </cell>
          <cell r="I941">
            <v>30</v>
          </cell>
          <cell r="J941" t="str">
            <v>STD</v>
          </cell>
          <cell r="L941">
            <v>0</v>
          </cell>
          <cell r="M941">
            <v>0</v>
          </cell>
          <cell r="O941" t="str">
            <v>TUERCA DE TORNILLO DE CANAL</v>
          </cell>
        </row>
        <row r="942">
          <cell r="D942" t="str">
            <v>HTJA030103</v>
          </cell>
          <cell r="E942" t="str">
            <v>10018041</v>
          </cell>
          <cell r="F942" t="str">
            <v>UF-3300i W</v>
          </cell>
          <cell r="G942">
            <v>300000</v>
          </cell>
          <cell r="H942" t="str">
            <v>Profirrol</v>
          </cell>
          <cell r="I942">
            <v>30</v>
          </cell>
          <cell r="J942" t="str">
            <v>STD</v>
          </cell>
          <cell r="L942">
            <v>13520.454678603319</v>
          </cell>
          <cell r="M942">
            <v>587.84585559144864</v>
          </cell>
          <cell r="O942" t="str">
            <v>TUERCA DE TORNILLO DE CANAL</v>
          </cell>
        </row>
        <row r="943">
          <cell r="D943" t="str">
            <v>HTJA030103</v>
          </cell>
          <cell r="E943" t="str">
            <v>10009621</v>
          </cell>
          <cell r="F943" t="str">
            <v>UF-4600i W</v>
          </cell>
          <cell r="G943">
            <v>300000</v>
          </cell>
          <cell r="H943" t="str">
            <v>Profirrol</v>
          </cell>
          <cell r="I943">
            <v>30</v>
          </cell>
          <cell r="J943" t="str">
            <v>STD</v>
          </cell>
          <cell r="L943">
            <v>33932.483034337194</v>
          </cell>
          <cell r="M943">
            <v>1475.3253493190084</v>
          </cell>
          <cell r="O943" t="str">
            <v>TUERCA DE TORNILLO DE CANAL</v>
          </cell>
        </row>
        <row r="944">
          <cell r="D944" t="str">
            <v>HTJA030103</v>
          </cell>
          <cell r="E944" t="str">
            <v>7056050202</v>
          </cell>
          <cell r="F944" t="str">
            <v>A4 RF-91 Concept One</v>
          </cell>
          <cell r="G944">
            <v>300000</v>
          </cell>
          <cell r="H944" t="str">
            <v>Profirrol</v>
          </cell>
          <cell r="I944">
            <v>30</v>
          </cell>
          <cell r="J944" t="str">
            <v>STD</v>
          </cell>
          <cell r="L944">
            <v>0</v>
          </cell>
          <cell r="M944">
            <v>0</v>
          </cell>
          <cell r="O944" t="str">
            <v>TUERCA DE TORNILLO DE CANAL</v>
          </cell>
        </row>
        <row r="945">
          <cell r="D945" t="str">
            <v>HTJA030103</v>
          </cell>
          <cell r="E945" t="str">
            <v>7174050203</v>
          </cell>
          <cell r="F945" t="str">
            <v>A4 RF-95</v>
          </cell>
          <cell r="G945">
            <v>300000</v>
          </cell>
          <cell r="H945" t="str">
            <v>Profirrol</v>
          </cell>
          <cell r="I945">
            <v>30</v>
          </cell>
          <cell r="J945" t="str">
            <v>STD</v>
          </cell>
          <cell r="L945">
            <v>8133.6</v>
          </cell>
          <cell r="M945">
            <v>353.63478260869567</v>
          </cell>
          <cell r="O945" t="str">
            <v>TUERCA DE TORNILLO DE CANAL</v>
          </cell>
        </row>
        <row r="946">
          <cell r="D946" t="str">
            <v>HTJA030104</v>
          </cell>
          <cell r="E946" t="str">
            <v>10018041</v>
          </cell>
          <cell r="F946" t="str">
            <v>UF-3300i W</v>
          </cell>
          <cell r="G946">
            <v>20000</v>
          </cell>
          <cell r="H946" t="str">
            <v>Profirrol</v>
          </cell>
          <cell r="I946">
            <v>30</v>
          </cell>
          <cell r="J946" t="str">
            <v>UF-3300i</v>
          </cell>
          <cell r="L946">
            <v>13520.454678603319</v>
          </cell>
          <cell r="M946">
            <v>587.84585559144864</v>
          </cell>
          <cell r="O946" t="str">
            <v>Mandril</v>
          </cell>
        </row>
        <row r="947">
          <cell r="D947" t="str">
            <v>HTJA030105</v>
          </cell>
          <cell r="E947" t="str">
            <v>10018041</v>
          </cell>
          <cell r="F947" t="str">
            <v>UF-3300i W</v>
          </cell>
          <cell r="G947">
            <v>40000</v>
          </cell>
          <cell r="H947" t="str">
            <v>Profirrol</v>
          </cell>
          <cell r="I947">
            <v>30</v>
          </cell>
          <cell r="J947" t="str">
            <v>UF-3300i</v>
          </cell>
          <cell r="L947">
            <v>13520.454678603319</v>
          </cell>
          <cell r="M947">
            <v>587.84585559144864</v>
          </cell>
          <cell r="O947" t="str">
            <v>Rodillo Superior</v>
          </cell>
        </row>
        <row r="948">
          <cell r="D948" t="str">
            <v>HTJA030106</v>
          </cell>
          <cell r="E948" t="str">
            <v>00806769V</v>
          </cell>
          <cell r="F948" t="str">
            <v>WD  UF-3700i</v>
          </cell>
          <cell r="G948" t="str">
            <v>PENDIENTE</v>
          </cell>
          <cell r="H948" t="str">
            <v>Nacional</v>
          </cell>
          <cell r="J948" t="str">
            <v>UF-3700</v>
          </cell>
          <cell r="L948">
            <v>26461.240903134531</v>
          </cell>
          <cell r="M948">
            <v>1150.4887349188925</v>
          </cell>
          <cell r="O948" t="str">
            <v>MANDRIL</v>
          </cell>
        </row>
        <row r="949">
          <cell r="D949" t="str">
            <v>HTJA030107</v>
          </cell>
          <cell r="E949" t="str">
            <v>00806769V</v>
          </cell>
          <cell r="F949" t="str">
            <v>WD  UF-3700i</v>
          </cell>
          <cell r="G949" t="str">
            <v>PENDIENTE</v>
          </cell>
          <cell r="H949" t="str">
            <v>Nacional</v>
          </cell>
          <cell r="J949" t="str">
            <v>UF-3700</v>
          </cell>
          <cell r="L949">
            <v>26461.240903134531</v>
          </cell>
          <cell r="M949">
            <v>1150.4887349188925</v>
          </cell>
          <cell r="O949" t="str">
            <v>RODILLO SUPERIOR</v>
          </cell>
        </row>
        <row r="950">
          <cell r="D950" t="str">
            <v>HTJA030108</v>
          </cell>
          <cell r="E950" t="str">
            <v>10009621</v>
          </cell>
          <cell r="F950" t="str">
            <v>UF-4600i W</v>
          </cell>
          <cell r="G950">
            <v>20000</v>
          </cell>
          <cell r="H950" t="str">
            <v>Profirrol</v>
          </cell>
          <cell r="I950">
            <v>30</v>
          </cell>
          <cell r="J950" t="str">
            <v>UF-4600</v>
          </cell>
          <cell r="L950">
            <v>33932.483034337194</v>
          </cell>
          <cell r="M950">
            <v>1475.3253493190084</v>
          </cell>
          <cell r="O950" t="str">
            <v>Mandril</v>
          </cell>
        </row>
        <row r="951">
          <cell r="D951" t="str">
            <v>HTJA030109</v>
          </cell>
          <cell r="E951" t="str">
            <v>10009621</v>
          </cell>
          <cell r="F951" t="str">
            <v>UF-4600i W</v>
          </cell>
          <cell r="G951">
            <v>40000</v>
          </cell>
          <cell r="H951" t="str">
            <v>Profirrol</v>
          </cell>
          <cell r="I951">
            <v>30</v>
          </cell>
          <cell r="J951" t="str">
            <v>UF-4600</v>
          </cell>
          <cell r="L951">
            <v>33932.483034337194</v>
          </cell>
          <cell r="M951">
            <v>1475.3253493190084</v>
          </cell>
          <cell r="O951" t="str">
            <v>Rodillo Superior</v>
          </cell>
        </row>
        <row r="952">
          <cell r="D952" t="str">
            <v>HTJA030110</v>
          </cell>
          <cell r="E952" t="str">
            <v>7324050215</v>
          </cell>
          <cell r="F952" t="str">
            <v>AC-2300i PT-44</v>
          </cell>
          <cell r="G952" t="str">
            <v>PENDIENTE</v>
          </cell>
          <cell r="H952" t="str">
            <v>Nacional</v>
          </cell>
          <cell r="J952" t="str">
            <v>AC-2300i</v>
          </cell>
          <cell r="L952">
            <v>58512.600000000006</v>
          </cell>
          <cell r="M952">
            <v>2544.0260869565218</v>
          </cell>
          <cell r="O952" t="str">
            <v>Rodillo Superior</v>
          </cell>
        </row>
        <row r="953">
          <cell r="D953" t="str">
            <v>HTJA030110</v>
          </cell>
          <cell r="E953" t="str">
            <v>10226750</v>
          </cell>
          <cell r="F953" t="str">
            <v>AC-2300i DNA (Preforma)</v>
          </cell>
          <cell r="G953" t="str">
            <v>PENDIENTE</v>
          </cell>
          <cell r="H953" t="str">
            <v>Nacional</v>
          </cell>
          <cell r="J953" t="str">
            <v>AC-2300i</v>
          </cell>
          <cell r="L953">
            <v>52509.599999999999</v>
          </cell>
          <cell r="M953">
            <v>2283.0260869565218</v>
          </cell>
          <cell r="O953" t="str">
            <v>RODILLO SUPERIOR</v>
          </cell>
        </row>
        <row r="954">
          <cell r="D954" t="str">
            <v>HTJA030111</v>
          </cell>
          <cell r="E954" t="str">
            <v>7324050215</v>
          </cell>
          <cell r="F954" t="str">
            <v>AC-2300i PT-44</v>
          </cell>
          <cell r="G954" t="str">
            <v>PENDIENTE</v>
          </cell>
          <cell r="H954" t="str">
            <v>Nacional</v>
          </cell>
          <cell r="J954" t="str">
            <v>AC-2300i</v>
          </cell>
          <cell r="L954">
            <v>58512.600000000006</v>
          </cell>
          <cell r="M954">
            <v>2544.0260869565218</v>
          </cell>
          <cell r="O954" t="str">
            <v>MANDRIL</v>
          </cell>
        </row>
        <row r="955">
          <cell r="D955" t="str">
            <v>HTJA030111</v>
          </cell>
          <cell r="E955" t="str">
            <v>10226750</v>
          </cell>
          <cell r="F955" t="str">
            <v>AC-2300i DNA (Preforma)</v>
          </cell>
          <cell r="G955" t="str">
            <v>PENDIENTE</v>
          </cell>
          <cell r="H955" t="str">
            <v>Nacional</v>
          </cell>
          <cell r="J955" t="str">
            <v>AC-2300i</v>
          </cell>
          <cell r="L955">
            <v>52509.599999999999</v>
          </cell>
          <cell r="M955">
            <v>2283.0260869565218</v>
          </cell>
          <cell r="O955" t="str">
            <v>Mandril</v>
          </cell>
        </row>
        <row r="956">
          <cell r="D956" t="str">
            <v>HTJA030112</v>
          </cell>
          <cell r="E956" t="str">
            <v>8647050233</v>
          </cell>
          <cell r="F956" t="str">
            <v>AC-2000i Honda Acura</v>
          </cell>
          <cell r="G956">
            <v>10000</v>
          </cell>
          <cell r="H956" t="str">
            <v>Nacional</v>
          </cell>
          <cell r="I956">
            <v>8</v>
          </cell>
          <cell r="J956" t="str">
            <v>STD</v>
          </cell>
          <cell r="L956">
            <v>74729.200000000012</v>
          </cell>
          <cell r="M956">
            <v>3249.0956521739135</v>
          </cell>
          <cell r="O956" t="str">
            <v>LAINA DE DESCARGA</v>
          </cell>
        </row>
        <row r="957">
          <cell r="D957" t="str">
            <v>HTJA030112</v>
          </cell>
          <cell r="E957" t="str">
            <v>10232841</v>
          </cell>
          <cell r="F957" t="str">
            <v>AC-2000i DNA (Preforma)</v>
          </cell>
          <cell r="G957">
            <v>10000</v>
          </cell>
          <cell r="H957" t="str">
            <v>Nacional</v>
          </cell>
          <cell r="I957">
            <v>8</v>
          </cell>
          <cell r="J957" t="str">
            <v>STD</v>
          </cell>
          <cell r="L957">
            <v>99000</v>
          </cell>
          <cell r="M957">
            <v>4304.347826086957</v>
          </cell>
          <cell r="O957" t="str">
            <v>LAINA DE DESCARGA</v>
          </cell>
        </row>
        <row r="958">
          <cell r="D958" t="str">
            <v>HTJA030112</v>
          </cell>
          <cell r="E958" t="str">
            <v>4302091005</v>
          </cell>
          <cell r="F958" t="str">
            <v>C-2000 PL-BODY</v>
          </cell>
          <cell r="G958">
            <v>10000</v>
          </cell>
          <cell r="H958" t="str">
            <v>Nacional</v>
          </cell>
          <cell r="I958">
            <v>8</v>
          </cell>
          <cell r="J958" t="str">
            <v>STD</v>
          </cell>
          <cell r="L958">
            <v>0</v>
          </cell>
          <cell r="M958">
            <v>0</v>
          </cell>
          <cell r="O958" t="str">
            <v>LAINA DE DESCARGA</v>
          </cell>
        </row>
        <row r="959">
          <cell r="D959" t="str">
            <v>HTJA030112</v>
          </cell>
          <cell r="E959" t="str">
            <v>7324050215</v>
          </cell>
          <cell r="F959" t="str">
            <v>AC-2300i PT-44</v>
          </cell>
          <cell r="G959">
            <v>10000</v>
          </cell>
          <cell r="H959" t="str">
            <v>Nacional</v>
          </cell>
          <cell r="I959">
            <v>8</v>
          </cell>
          <cell r="J959" t="str">
            <v>STD</v>
          </cell>
          <cell r="L959">
            <v>58512.600000000006</v>
          </cell>
          <cell r="M959">
            <v>2544.0260869565218</v>
          </cell>
          <cell r="O959" t="str">
            <v>LAINA DE DESCARGA</v>
          </cell>
        </row>
        <row r="960">
          <cell r="D960" t="str">
            <v>HTJA030112</v>
          </cell>
          <cell r="E960" t="str">
            <v>10226750</v>
          </cell>
          <cell r="F960" t="str">
            <v>AC-2300i DNA (Preforma)</v>
          </cell>
          <cell r="G960">
            <v>10000</v>
          </cell>
          <cell r="H960" t="str">
            <v>Nacional</v>
          </cell>
          <cell r="I960">
            <v>8</v>
          </cell>
          <cell r="J960" t="str">
            <v>STD</v>
          </cell>
          <cell r="L960">
            <v>52509.599999999999</v>
          </cell>
          <cell r="M960">
            <v>2283.0260869565218</v>
          </cell>
          <cell r="O960" t="str">
            <v>LAINA DE DESCARGA</v>
          </cell>
        </row>
        <row r="961">
          <cell r="D961" t="str">
            <v>HTJA030112</v>
          </cell>
          <cell r="E961" t="str">
            <v>7553050217</v>
          </cell>
          <cell r="F961" t="str">
            <v>AC-2600i PT-Turbo</v>
          </cell>
          <cell r="G961">
            <v>10000</v>
          </cell>
          <cell r="H961" t="str">
            <v>Nacional</v>
          </cell>
          <cell r="I961">
            <v>8</v>
          </cell>
          <cell r="J961" t="str">
            <v>STD</v>
          </cell>
          <cell r="L961">
            <v>37981.199999999997</v>
          </cell>
          <cell r="M961">
            <v>1651.3565217391304</v>
          </cell>
          <cell r="O961" t="str">
            <v>LAINA DE DESCARGA</v>
          </cell>
        </row>
        <row r="962">
          <cell r="D962" t="str">
            <v>HTJA030112</v>
          </cell>
          <cell r="E962" t="str">
            <v>10001024R</v>
          </cell>
          <cell r="F962" t="str">
            <v>AC-2600i Ford Escape</v>
          </cell>
          <cell r="G962">
            <v>10000</v>
          </cell>
          <cell r="H962" t="str">
            <v>Nacional</v>
          </cell>
          <cell r="I962">
            <v>8</v>
          </cell>
          <cell r="J962" t="str">
            <v>STD</v>
          </cell>
          <cell r="L962">
            <v>59203</v>
          </cell>
          <cell r="M962">
            <v>2574.0434782608695</v>
          </cell>
          <cell r="O962" t="str">
            <v>LAINA DE DESCARGA</v>
          </cell>
        </row>
        <row r="963">
          <cell r="D963" t="str">
            <v>HTJA030112</v>
          </cell>
          <cell r="E963" t="str">
            <v>10226752</v>
          </cell>
          <cell r="F963" t="str">
            <v>AC-2600i DNA (Preforma)</v>
          </cell>
          <cell r="G963">
            <v>10000</v>
          </cell>
          <cell r="H963" t="str">
            <v>Nacional</v>
          </cell>
          <cell r="I963">
            <v>8</v>
          </cell>
          <cell r="J963" t="str">
            <v>STD</v>
          </cell>
          <cell r="L963">
            <v>31536</v>
          </cell>
          <cell r="M963">
            <v>1371.1304347826087</v>
          </cell>
          <cell r="O963" t="str">
            <v>LAINA DE DESCARGA</v>
          </cell>
        </row>
        <row r="964">
          <cell r="D964" t="str">
            <v>HTJA030112</v>
          </cell>
          <cell r="E964" t="str">
            <v>10054551</v>
          </cell>
          <cell r="F964" t="str">
            <v>AC-2650 JC49 / GS PLT / DNA</v>
          </cell>
          <cell r="G964">
            <v>10000</v>
          </cell>
          <cell r="H964" t="str">
            <v>Nacional</v>
          </cell>
          <cell r="I964">
            <v>8</v>
          </cell>
          <cell r="J964" t="str">
            <v>STD</v>
          </cell>
          <cell r="L964">
            <v>11932</v>
          </cell>
          <cell r="M964">
            <v>518.78260869565213</v>
          </cell>
          <cell r="O964" t="str">
            <v>LAINA DE DESCARGA</v>
          </cell>
        </row>
        <row r="965">
          <cell r="D965" t="str">
            <v>HTJA030112</v>
          </cell>
          <cell r="E965" t="str">
            <v>10226751</v>
          </cell>
          <cell r="F965" t="str">
            <v>AC-2650 DNA</v>
          </cell>
          <cell r="G965">
            <v>10000</v>
          </cell>
          <cell r="H965" t="str">
            <v>Nacional</v>
          </cell>
          <cell r="I965">
            <v>8</v>
          </cell>
          <cell r="J965" t="str">
            <v>STD</v>
          </cell>
          <cell r="L965">
            <v>24453</v>
          </cell>
          <cell r="M965">
            <v>1063.1739130434783</v>
          </cell>
          <cell r="O965" t="str">
            <v>LAINA DE DESCARGA</v>
          </cell>
        </row>
        <row r="966">
          <cell r="D966" t="str">
            <v>HTJA030112</v>
          </cell>
          <cell r="E966" t="str">
            <v>8152050226</v>
          </cell>
          <cell r="F966" t="str">
            <v>UF-2600i PQ-35 VW</v>
          </cell>
          <cell r="G966">
            <v>10000</v>
          </cell>
          <cell r="H966" t="str">
            <v>Nacional</v>
          </cell>
          <cell r="I966">
            <v>8</v>
          </cell>
          <cell r="J966" t="str">
            <v>STD</v>
          </cell>
          <cell r="L966">
            <v>38227.399999999994</v>
          </cell>
          <cell r="M966">
            <v>1662.0608695652172</v>
          </cell>
          <cell r="O966" t="str">
            <v>LAINA DE DESCARGA</v>
          </cell>
        </row>
        <row r="967">
          <cell r="D967" t="str">
            <v>HTJA030112</v>
          </cell>
          <cell r="E967" t="str">
            <v>10060762</v>
          </cell>
          <cell r="F967" t="str">
            <v>UF-2600i Ford Explorer</v>
          </cell>
          <cell r="G967">
            <v>10000</v>
          </cell>
          <cell r="H967" t="str">
            <v>Nacional</v>
          </cell>
          <cell r="I967">
            <v>8</v>
          </cell>
          <cell r="J967" t="str">
            <v>STD</v>
          </cell>
          <cell r="L967">
            <v>0</v>
          </cell>
          <cell r="M967">
            <v>0</v>
          </cell>
          <cell r="O967" t="str">
            <v>LAINA DE DESCARGA</v>
          </cell>
        </row>
        <row r="968">
          <cell r="D968" t="str">
            <v>HTJA030112</v>
          </cell>
          <cell r="E968" t="str">
            <v>00806088</v>
          </cell>
          <cell r="F968" t="str">
            <v>UF-2600i Hyundai</v>
          </cell>
          <cell r="G968">
            <v>10000</v>
          </cell>
          <cell r="H968" t="str">
            <v>Nacional</v>
          </cell>
          <cell r="I968">
            <v>8</v>
          </cell>
          <cell r="J968" t="str">
            <v>STD</v>
          </cell>
          <cell r="L968">
            <v>0</v>
          </cell>
          <cell r="M968">
            <v>0</v>
          </cell>
          <cell r="O968" t="str">
            <v>LAINA DE DESCARGA</v>
          </cell>
        </row>
        <row r="969">
          <cell r="D969" t="str">
            <v>HTJA030112</v>
          </cell>
          <cell r="E969" t="str">
            <v>10235857</v>
          </cell>
          <cell r="F969" t="str">
            <v>UF-2600i DNA (Preforma)</v>
          </cell>
          <cell r="G969">
            <v>10000</v>
          </cell>
          <cell r="H969" t="str">
            <v>Nacional</v>
          </cell>
          <cell r="I969">
            <v>8</v>
          </cell>
          <cell r="J969" t="str">
            <v>STD</v>
          </cell>
          <cell r="L969">
            <v>0</v>
          </cell>
          <cell r="M969">
            <v>0</v>
          </cell>
          <cell r="O969" t="str">
            <v>LAINA DE DESCARGA</v>
          </cell>
        </row>
        <row r="970">
          <cell r="D970" t="str">
            <v>HTJA030112</v>
          </cell>
          <cell r="E970" t="str">
            <v>10018041</v>
          </cell>
          <cell r="F970" t="str">
            <v>UF-3300i W</v>
          </cell>
          <cell r="G970">
            <v>10000</v>
          </cell>
          <cell r="H970" t="str">
            <v>Nacional</v>
          </cell>
          <cell r="I970">
            <v>8</v>
          </cell>
          <cell r="J970" t="str">
            <v>STD</v>
          </cell>
          <cell r="L970">
            <v>13520.454678603319</v>
          </cell>
          <cell r="M970">
            <v>587.84585559144864</v>
          </cell>
          <cell r="O970" t="str">
            <v>LAINA DE DESCARGA</v>
          </cell>
        </row>
        <row r="971">
          <cell r="D971" t="str">
            <v>HTJA030112</v>
          </cell>
          <cell r="E971" t="str">
            <v>10009621</v>
          </cell>
          <cell r="F971" t="str">
            <v>UF-4600i W</v>
          </cell>
          <cell r="G971">
            <v>10000</v>
          </cell>
          <cell r="H971" t="str">
            <v>Nacional</v>
          </cell>
          <cell r="I971">
            <v>8</v>
          </cell>
          <cell r="J971" t="str">
            <v>STD</v>
          </cell>
          <cell r="L971">
            <v>33932.483034337194</v>
          </cell>
          <cell r="M971">
            <v>1475.3253493190084</v>
          </cell>
          <cell r="O971" t="str">
            <v>LAINA DE DESCARGA</v>
          </cell>
        </row>
        <row r="972">
          <cell r="D972" t="str">
            <v>HTJA030112</v>
          </cell>
          <cell r="E972" t="str">
            <v>7056050202</v>
          </cell>
          <cell r="F972" t="str">
            <v>A4 RF-91 Concept One</v>
          </cell>
          <cell r="G972">
            <v>10000</v>
          </cell>
          <cell r="H972" t="str">
            <v>Nacional</v>
          </cell>
          <cell r="I972">
            <v>8</v>
          </cell>
          <cell r="J972" t="str">
            <v>STD</v>
          </cell>
          <cell r="L972">
            <v>0</v>
          </cell>
          <cell r="M972">
            <v>0</v>
          </cell>
          <cell r="O972" t="str">
            <v>LAINA DE DESCARGA</v>
          </cell>
        </row>
        <row r="973">
          <cell r="D973" t="str">
            <v>HTJA030112</v>
          </cell>
          <cell r="E973" t="str">
            <v>7174050203</v>
          </cell>
          <cell r="F973" t="str">
            <v>A4 RF-95</v>
          </cell>
          <cell r="G973">
            <v>10000</v>
          </cell>
          <cell r="H973" t="str">
            <v>Nacional</v>
          </cell>
          <cell r="I973">
            <v>8</v>
          </cell>
          <cell r="J973" t="str">
            <v>STD</v>
          </cell>
          <cell r="L973">
            <v>8133.6</v>
          </cell>
          <cell r="M973">
            <v>353.63478260869567</v>
          </cell>
          <cell r="O973" t="str">
            <v>LAINA DE DESCARGA</v>
          </cell>
        </row>
        <row r="974">
          <cell r="D974" t="str">
            <v>HTJA030130</v>
          </cell>
          <cell r="E974" t="str">
            <v>8647050233</v>
          </cell>
          <cell r="F974" t="str">
            <v>AC-2000i Honda Acura</v>
          </cell>
          <cell r="G974">
            <v>30000</v>
          </cell>
          <cell r="H974" t="str">
            <v>Nacional</v>
          </cell>
          <cell r="I974">
            <v>8</v>
          </cell>
          <cell r="J974" t="str">
            <v>STD</v>
          </cell>
          <cell r="L974">
            <v>74729.200000000012</v>
          </cell>
          <cell r="M974">
            <v>3249.0956521739135</v>
          </cell>
          <cell r="O974" t="str">
            <v>RODILLO INFERIOR STD</v>
          </cell>
        </row>
        <row r="975">
          <cell r="D975" t="str">
            <v>HTJA030130</v>
          </cell>
          <cell r="E975" t="str">
            <v>10232841</v>
          </cell>
          <cell r="F975" t="str">
            <v>AC-2000i DNA (Preforma)</v>
          </cell>
          <cell r="G975">
            <v>30000</v>
          </cell>
          <cell r="H975" t="str">
            <v>Nacional</v>
          </cell>
          <cell r="I975">
            <v>8</v>
          </cell>
          <cell r="J975" t="str">
            <v>STD</v>
          </cell>
          <cell r="L975">
            <v>99000</v>
          </cell>
          <cell r="M975">
            <v>4304.347826086957</v>
          </cell>
          <cell r="O975" t="str">
            <v>RODILLO INFERIOR STD</v>
          </cell>
        </row>
        <row r="976">
          <cell r="D976" t="str">
            <v>HTJA030130</v>
          </cell>
          <cell r="E976" t="str">
            <v>4302091005</v>
          </cell>
          <cell r="F976" t="str">
            <v>C-2000 PL-BODY</v>
          </cell>
          <cell r="G976">
            <v>30000</v>
          </cell>
          <cell r="H976" t="str">
            <v>Nacional</v>
          </cell>
          <cell r="I976">
            <v>8</v>
          </cell>
          <cell r="J976" t="str">
            <v>STD</v>
          </cell>
          <cell r="L976">
            <v>0</v>
          </cell>
          <cell r="M976">
            <v>0</v>
          </cell>
          <cell r="O976" t="str">
            <v>RODILLO INFERIOR STD</v>
          </cell>
        </row>
        <row r="977">
          <cell r="D977" t="str">
            <v>HTJA030130</v>
          </cell>
          <cell r="E977" t="str">
            <v>7324050215</v>
          </cell>
          <cell r="F977" t="str">
            <v>AC-2300i PT-44</v>
          </cell>
          <cell r="G977">
            <v>30000</v>
          </cell>
          <cell r="H977" t="str">
            <v>Nacional</v>
          </cell>
          <cell r="I977">
            <v>8</v>
          </cell>
          <cell r="J977" t="str">
            <v>STD</v>
          </cell>
          <cell r="L977">
            <v>58512.600000000006</v>
          </cell>
          <cell r="M977">
            <v>2544.0260869565218</v>
          </cell>
          <cell r="O977" t="str">
            <v>RODILLO INFERIOR STD</v>
          </cell>
        </row>
        <row r="978">
          <cell r="D978" t="str">
            <v>HTJA030130</v>
          </cell>
          <cell r="E978" t="str">
            <v>10226750</v>
          </cell>
          <cell r="F978" t="str">
            <v>AC-2300i DNA (Preforma)</v>
          </cell>
          <cell r="G978">
            <v>30000</v>
          </cell>
          <cell r="H978" t="str">
            <v>Nacional</v>
          </cell>
          <cell r="I978">
            <v>8</v>
          </cell>
          <cell r="J978" t="str">
            <v>STD</v>
          </cell>
          <cell r="L978">
            <v>52509.599999999999</v>
          </cell>
          <cell r="M978">
            <v>2283.0260869565218</v>
          </cell>
          <cell r="O978" t="str">
            <v>RODILLO INFERIOR STD</v>
          </cell>
        </row>
        <row r="979">
          <cell r="D979" t="str">
            <v>HTJA030130</v>
          </cell>
          <cell r="E979" t="str">
            <v>7553050217</v>
          </cell>
          <cell r="F979" t="str">
            <v>AC-2600i PT-Turbo</v>
          </cell>
          <cell r="G979">
            <v>30000</v>
          </cell>
          <cell r="H979" t="str">
            <v>Nacional</v>
          </cell>
          <cell r="I979">
            <v>8</v>
          </cell>
          <cell r="J979" t="str">
            <v>STD</v>
          </cell>
          <cell r="L979">
            <v>37981.199999999997</v>
          </cell>
          <cell r="M979">
            <v>1651.3565217391304</v>
          </cell>
          <cell r="O979" t="str">
            <v>RODILLO INFERIOR STD</v>
          </cell>
        </row>
        <row r="980">
          <cell r="D980" t="str">
            <v>HTJA030130</v>
          </cell>
          <cell r="E980" t="str">
            <v>10001024R</v>
          </cell>
          <cell r="F980" t="str">
            <v>AC-2600i Ford Escape</v>
          </cell>
          <cell r="G980">
            <v>30000</v>
          </cell>
          <cell r="H980" t="str">
            <v>Nacional</v>
          </cell>
          <cell r="I980">
            <v>8</v>
          </cell>
          <cell r="J980" t="str">
            <v>STD</v>
          </cell>
          <cell r="L980">
            <v>59203</v>
          </cell>
          <cell r="M980">
            <v>2574.0434782608695</v>
          </cell>
          <cell r="O980" t="str">
            <v>RODILLO INFERIOR STD</v>
          </cell>
        </row>
        <row r="981">
          <cell r="D981" t="str">
            <v>HTJA030130</v>
          </cell>
          <cell r="E981" t="str">
            <v>10226752</v>
          </cell>
          <cell r="F981" t="str">
            <v>AC-2600i DNA (Preforma)</v>
          </cell>
          <cell r="G981">
            <v>30000</v>
          </cell>
          <cell r="H981" t="str">
            <v>Nacional</v>
          </cell>
          <cell r="I981">
            <v>8</v>
          </cell>
          <cell r="J981" t="str">
            <v>STD</v>
          </cell>
          <cell r="L981">
            <v>31536</v>
          </cell>
          <cell r="M981">
            <v>1371.1304347826087</v>
          </cell>
          <cell r="O981" t="str">
            <v>RODILLO INFERIOR STD</v>
          </cell>
        </row>
        <row r="982">
          <cell r="D982" t="str">
            <v>HTJA030130</v>
          </cell>
          <cell r="E982" t="str">
            <v>10054551</v>
          </cell>
          <cell r="F982" t="str">
            <v>AC-2650 JC49 / GS PLT / DNA</v>
          </cell>
          <cell r="G982">
            <v>30000</v>
          </cell>
          <cell r="H982" t="str">
            <v>Nacional</v>
          </cell>
          <cell r="I982">
            <v>8</v>
          </cell>
          <cell r="J982" t="str">
            <v>STD</v>
          </cell>
          <cell r="L982">
            <v>11932</v>
          </cell>
          <cell r="M982">
            <v>518.78260869565213</v>
          </cell>
          <cell r="O982" t="str">
            <v>RODILLO INFERIOR STD</v>
          </cell>
        </row>
        <row r="983">
          <cell r="D983" t="str">
            <v>HTJA030130</v>
          </cell>
          <cell r="E983" t="str">
            <v>10226751</v>
          </cell>
          <cell r="F983" t="str">
            <v>AC-2650 DNA</v>
          </cell>
          <cell r="G983">
            <v>30000</v>
          </cell>
          <cell r="H983" t="str">
            <v>Nacional</v>
          </cell>
          <cell r="I983">
            <v>8</v>
          </cell>
          <cell r="J983" t="str">
            <v>STD</v>
          </cell>
          <cell r="L983">
            <v>24453</v>
          </cell>
          <cell r="M983">
            <v>1063.1739130434783</v>
          </cell>
          <cell r="O983" t="str">
            <v>RODILLO INFERIOR STD</v>
          </cell>
        </row>
        <row r="984">
          <cell r="D984" t="str">
            <v>HTJA030130</v>
          </cell>
          <cell r="E984" t="str">
            <v>10018041</v>
          </cell>
          <cell r="F984" t="str">
            <v>UF-3300i W</v>
          </cell>
          <cell r="G984">
            <v>30000</v>
          </cell>
          <cell r="H984" t="str">
            <v>Nacional</v>
          </cell>
          <cell r="I984">
            <v>8</v>
          </cell>
          <cell r="J984" t="str">
            <v>STD</v>
          </cell>
          <cell r="L984">
            <v>13520.454678603319</v>
          </cell>
          <cell r="M984">
            <v>587.84585559144864</v>
          </cell>
          <cell r="O984" t="str">
            <v>RODILLO INFERIOR STD</v>
          </cell>
        </row>
        <row r="985">
          <cell r="D985" t="str">
            <v>HTJA030130</v>
          </cell>
          <cell r="E985" t="str">
            <v>10009621</v>
          </cell>
          <cell r="F985" t="str">
            <v>UF-4600i W</v>
          </cell>
          <cell r="G985">
            <v>30000</v>
          </cell>
          <cell r="H985" t="str">
            <v>Nacional</v>
          </cell>
          <cell r="I985">
            <v>8</v>
          </cell>
          <cell r="J985" t="str">
            <v>STD</v>
          </cell>
          <cell r="L985">
            <v>33932.483034337194</v>
          </cell>
          <cell r="M985">
            <v>1475.3253493190084</v>
          </cell>
          <cell r="O985" t="str">
            <v>RODILLO INFERIOR STD</v>
          </cell>
        </row>
        <row r="986">
          <cell r="D986" t="str">
            <v>HTJA030130</v>
          </cell>
          <cell r="E986" t="str">
            <v>7056050202</v>
          </cell>
          <cell r="F986" t="str">
            <v>A4 RF-91 Concept One</v>
          </cell>
          <cell r="G986">
            <v>30000</v>
          </cell>
          <cell r="H986" t="str">
            <v>Nacional</v>
          </cell>
          <cell r="I986">
            <v>8</v>
          </cell>
          <cell r="J986" t="str">
            <v>STD</v>
          </cell>
          <cell r="L986">
            <v>0</v>
          </cell>
          <cell r="M986">
            <v>0</v>
          </cell>
          <cell r="O986" t="str">
            <v>RODILLO INFERIOR STD</v>
          </cell>
        </row>
        <row r="987">
          <cell r="D987" t="str">
            <v>HTJA030130</v>
          </cell>
          <cell r="E987" t="str">
            <v>7174050203</v>
          </cell>
          <cell r="F987" t="str">
            <v>A4 RF-95</v>
          </cell>
          <cell r="G987">
            <v>30000</v>
          </cell>
          <cell r="H987" t="str">
            <v>Nacional</v>
          </cell>
          <cell r="I987">
            <v>8</v>
          </cell>
          <cell r="J987" t="str">
            <v>STD</v>
          </cell>
          <cell r="L987">
            <v>8133.6</v>
          </cell>
          <cell r="M987">
            <v>353.63478260869567</v>
          </cell>
          <cell r="O987" t="str">
            <v>RODILLO INFERIOR STD</v>
          </cell>
        </row>
        <row r="988">
          <cell r="D988" t="str">
            <v>HTJA030138</v>
          </cell>
          <cell r="E988" t="str">
            <v>8647050233</v>
          </cell>
          <cell r="F988" t="str">
            <v>AC-2000i Honda Acura</v>
          </cell>
          <cell r="G988">
            <v>10000</v>
          </cell>
          <cell r="H988" t="str">
            <v>Nacional</v>
          </cell>
          <cell r="I988">
            <v>8</v>
          </cell>
          <cell r="J988" t="str">
            <v>STD</v>
          </cell>
          <cell r="L988">
            <v>74729.200000000012</v>
          </cell>
          <cell r="M988">
            <v>3249.0956521739135</v>
          </cell>
          <cell r="O988" t="str">
            <v>ARANDELA SEPARADORA DE BALEROS (RODILLO DE AJUSTE)</v>
          </cell>
        </row>
        <row r="989">
          <cell r="D989" t="str">
            <v>HTJA030138</v>
          </cell>
          <cell r="E989" t="str">
            <v>10232841</v>
          </cell>
          <cell r="F989" t="str">
            <v>AC-2000i DNA (Preforma)</v>
          </cell>
          <cell r="G989">
            <v>10000</v>
          </cell>
          <cell r="H989" t="str">
            <v>Nacional</v>
          </cell>
          <cell r="I989">
            <v>8</v>
          </cell>
          <cell r="J989" t="str">
            <v>STD</v>
          </cell>
          <cell r="L989">
            <v>99000</v>
          </cell>
          <cell r="M989">
            <v>4304.347826086957</v>
          </cell>
          <cell r="O989" t="str">
            <v>ARANDELA SEPARADORA DE BALEROS (RODILLO DE AJUSTE)</v>
          </cell>
        </row>
        <row r="990">
          <cell r="D990" t="str">
            <v>HTJA030138</v>
          </cell>
          <cell r="E990" t="str">
            <v>4302091005</v>
          </cell>
          <cell r="F990" t="str">
            <v>C-2000 PL-BODY</v>
          </cell>
          <cell r="G990">
            <v>10000</v>
          </cell>
          <cell r="H990" t="str">
            <v>Nacional</v>
          </cell>
          <cell r="I990">
            <v>8</v>
          </cell>
          <cell r="J990" t="str">
            <v>STD</v>
          </cell>
          <cell r="L990">
            <v>0</v>
          </cell>
          <cell r="M990">
            <v>0</v>
          </cell>
          <cell r="O990" t="str">
            <v>ARANDELA SEPARADORA DE BALEROS (RODILLO DE AJUSTE)</v>
          </cell>
        </row>
        <row r="991">
          <cell r="D991" t="str">
            <v>HTJA030138</v>
          </cell>
          <cell r="E991" t="str">
            <v>7324050215</v>
          </cell>
          <cell r="F991" t="str">
            <v>AC-2300i PT-44</v>
          </cell>
          <cell r="G991">
            <v>10000</v>
          </cell>
          <cell r="H991" t="str">
            <v>Nacional</v>
          </cell>
          <cell r="I991">
            <v>8</v>
          </cell>
          <cell r="J991" t="str">
            <v>STD</v>
          </cell>
          <cell r="L991">
            <v>58512.600000000006</v>
          </cell>
          <cell r="M991">
            <v>2544.0260869565218</v>
          </cell>
          <cell r="O991" t="str">
            <v>ARANDELA SEPARADORA DE BALEROS (RODILLO DE AJUSTE)</v>
          </cell>
        </row>
        <row r="992">
          <cell r="D992" t="str">
            <v>HTJA030138</v>
          </cell>
          <cell r="E992" t="str">
            <v>10226750</v>
          </cell>
          <cell r="F992" t="str">
            <v>AC-2300i DNA (Preforma)</v>
          </cell>
          <cell r="G992">
            <v>10000</v>
          </cell>
          <cell r="H992" t="str">
            <v>Nacional</v>
          </cell>
          <cell r="I992">
            <v>8</v>
          </cell>
          <cell r="J992" t="str">
            <v>STD</v>
          </cell>
          <cell r="L992">
            <v>52509.599999999999</v>
          </cell>
          <cell r="M992">
            <v>2283.0260869565218</v>
          </cell>
          <cell r="O992" t="str">
            <v>ARANDELA SEPARADORA DE BALEROS (RODILLO DE AJUSTE)</v>
          </cell>
        </row>
        <row r="993">
          <cell r="D993" t="str">
            <v>HTJA030138</v>
          </cell>
          <cell r="E993" t="str">
            <v>7553050217</v>
          </cell>
          <cell r="F993" t="str">
            <v>AC-2600i PT-Turbo</v>
          </cell>
          <cell r="G993">
            <v>10000</v>
          </cell>
          <cell r="H993" t="str">
            <v>Nacional</v>
          </cell>
          <cell r="I993">
            <v>8</v>
          </cell>
          <cell r="J993" t="str">
            <v>STD</v>
          </cell>
          <cell r="L993">
            <v>37981.199999999997</v>
          </cell>
          <cell r="M993">
            <v>1651.3565217391304</v>
          </cell>
          <cell r="O993" t="str">
            <v>ARANDELA SEPARADORA DE BALEROS (RODILLO DE AJUSTE)</v>
          </cell>
        </row>
        <row r="994">
          <cell r="D994" t="str">
            <v>HTJA030138</v>
          </cell>
          <cell r="E994" t="str">
            <v>10001024R</v>
          </cell>
          <cell r="F994" t="str">
            <v>AC-2600i Ford Escape</v>
          </cell>
          <cell r="G994">
            <v>10000</v>
          </cell>
          <cell r="H994" t="str">
            <v>Nacional</v>
          </cell>
          <cell r="I994">
            <v>8</v>
          </cell>
          <cell r="J994" t="str">
            <v>STD</v>
          </cell>
          <cell r="L994">
            <v>59203</v>
          </cell>
          <cell r="M994">
            <v>2574.0434782608695</v>
          </cell>
          <cell r="O994" t="str">
            <v>ARANDELA SEPARADORA DE BALEROS (RODILLO DE AJUSTE)</v>
          </cell>
        </row>
        <row r="995">
          <cell r="D995" t="str">
            <v>HTJA030138</v>
          </cell>
          <cell r="E995" t="str">
            <v>10226752</v>
          </cell>
          <cell r="F995" t="str">
            <v>AC-2600i DNA (Preforma)</v>
          </cell>
          <cell r="G995">
            <v>10000</v>
          </cell>
          <cell r="H995" t="str">
            <v>Nacional</v>
          </cell>
          <cell r="I995">
            <v>8</v>
          </cell>
          <cell r="J995" t="str">
            <v>STD</v>
          </cell>
          <cell r="L995">
            <v>31536</v>
          </cell>
          <cell r="M995">
            <v>1371.1304347826087</v>
          </cell>
          <cell r="O995" t="str">
            <v>ARANDELA SEPARADORA DE BALEROS (RODILLO DE AJUSTE)</v>
          </cell>
        </row>
        <row r="996">
          <cell r="D996" t="str">
            <v>HTJA030138</v>
          </cell>
          <cell r="E996" t="str">
            <v>10054551</v>
          </cell>
          <cell r="F996" t="str">
            <v>AC-2650 JC49 / GS PLT / DNA</v>
          </cell>
          <cell r="G996">
            <v>10000</v>
          </cell>
          <cell r="H996" t="str">
            <v>Nacional</v>
          </cell>
          <cell r="I996">
            <v>8</v>
          </cell>
          <cell r="J996" t="str">
            <v>STD</v>
          </cell>
          <cell r="L996">
            <v>11932</v>
          </cell>
          <cell r="M996">
            <v>518.78260869565213</v>
          </cell>
          <cell r="O996" t="str">
            <v>ARANDELA SEPARADORA DE BALEROS (RODILLO DE AJUSTE)</v>
          </cell>
        </row>
        <row r="997">
          <cell r="D997" t="str">
            <v>HTJA030138</v>
          </cell>
          <cell r="E997" t="str">
            <v>10226751</v>
          </cell>
          <cell r="F997" t="str">
            <v>AC-2650 DNA</v>
          </cell>
          <cell r="G997">
            <v>10000</v>
          </cell>
          <cell r="H997" t="str">
            <v>Nacional</v>
          </cell>
          <cell r="I997">
            <v>8</v>
          </cell>
          <cell r="J997" t="str">
            <v>STD</v>
          </cell>
          <cell r="L997">
            <v>24453</v>
          </cell>
          <cell r="M997">
            <v>1063.1739130434783</v>
          </cell>
          <cell r="O997" t="str">
            <v>ARANDELA SEPARADORA DE BALEROS (RODILLO DE AJUSTE)</v>
          </cell>
        </row>
        <row r="998">
          <cell r="D998" t="str">
            <v>HTJA030138</v>
          </cell>
          <cell r="E998" t="str">
            <v>8152050226</v>
          </cell>
          <cell r="F998" t="str">
            <v>UF-2600i PQ-35 VW</v>
          </cell>
          <cell r="G998">
            <v>10000</v>
          </cell>
          <cell r="H998" t="str">
            <v>Nacional</v>
          </cell>
          <cell r="I998">
            <v>8</v>
          </cell>
          <cell r="J998" t="str">
            <v>STD</v>
          </cell>
          <cell r="L998">
            <v>38227.399999999994</v>
          </cell>
          <cell r="M998">
            <v>1662.0608695652172</v>
          </cell>
          <cell r="O998" t="str">
            <v>ARANDELA SEPARADORA DE BALEROS (RODILLO DE AJUSTE)</v>
          </cell>
        </row>
        <row r="999">
          <cell r="D999" t="str">
            <v>HTJA030138</v>
          </cell>
          <cell r="E999" t="str">
            <v>10060762</v>
          </cell>
          <cell r="F999" t="str">
            <v>UF-2600i Ford Explorer</v>
          </cell>
          <cell r="G999">
            <v>10000</v>
          </cell>
          <cell r="H999" t="str">
            <v>Nacional</v>
          </cell>
          <cell r="I999">
            <v>8</v>
          </cell>
          <cell r="J999" t="str">
            <v>STD</v>
          </cell>
          <cell r="L999">
            <v>0</v>
          </cell>
          <cell r="M999">
            <v>0</v>
          </cell>
          <cell r="O999" t="str">
            <v>ARANDELA SEPARADORA DE BALEROS (RODILLO DE AJUSTE)</v>
          </cell>
        </row>
        <row r="1000">
          <cell r="D1000" t="str">
            <v>HTJA030138</v>
          </cell>
          <cell r="E1000" t="str">
            <v>00806088</v>
          </cell>
          <cell r="F1000" t="str">
            <v>UF-2600i Hyundai</v>
          </cell>
          <cell r="G1000">
            <v>10000</v>
          </cell>
          <cell r="H1000" t="str">
            <v>Nacional</v>
          </cell>
          <cell r="I1000">
            <v>8</v>
          </cell>
          <cell r="J1000" t="str">
            <v>STD</v>
          </cell>
          <cell r="L1000">
            <v>0</v>
          </cell>
          <cell r="M1000">
            <v>0</v>
          </cell>
          <cell r="O1000" t="str">
            <v>ARANDELA SEPARADORA DE BALEROS (RODILLO DE AJUSTE)</v>
          </cell>
        </row>
        <row r="1001">
          <cell r="D1001" t="str">
            <v>HTJA030138</v>
          </cell>
          <cell r="E1001" t="str">
            <v>10235857</v>
          </cell>
          <cell r="F1001" t="str">
            <v>UF-2600i DNA (Preforma)</v>
          </cell>
          <cell r="G1001">
            <v>10000</v>
          </cell>
          <cell r="H1001" t="str">
            <v>Nacional</v>
          </cell>
          <cell r="I1001">
            <v>8</v>
          </cell>
          <cell r="J1001" t="str">
            <v>STD</v>
          </cell>
          <cell r="L1001">
            <v>0</v>
          </cell>
          <cell r="M1001">
            <v>0</v>
          </cell>
          <cell r="O1001" t="str">
            <v>ARANDELA SEPARADORA DE BALEROS (RODILLO DE AJUSTE)</v>
          </cell>
        </row>
        <row r="1002">
          <cell r="D1002" t="str">
            <v>HTJA030138</v>
          </cell>
          <cell r="E1002" t="str">
            <v>10018041</v>
          </cell>
          <cell r="F1002" t="str">
            <v>UF-3300i W</v>
          </cell>
          <cell r="G1002">
            <v>10000</v>
          </cell>
          <cell r="H1002" t="str">
            <v>Nacional</v>
          </cell>
          <cell r="I1002">
            <v>8</v>
          </cell>
          <cell r="J1002" t="str">
            <v>STD</v>
          </cell>
          <cell r="L1002">
            <v>13520.454678603319</v>
          </cell>
          <cell r="M1002">
            <v>587.84585559144864</v>
          </cell>
          <cell r="O1002" t="str">
            <v>ARANDELA SEPARADORA DE BALEROS (RODILLO DE AJUSTE)</v>
          </cell>
        </row>
        <row r="1003">
          <cell r="D1003" t="str">
            <v>HTJA030138</v>
          </cell>
          <cell r="E1003" t="str">
            <v>10009621</v>
          </cell>
          <cell r="F1003" t="str">
            <v>UF-4600i W</v>
          </cell>
          <cell r="G1003">
            <v>10000</v>
          </cell>
          <cell r="H1003" t="str">
            <v>Nacional</v>
          </cell>
          <cell r="I1003">
            <v>8</v>
          </cell>
          <cell r="J1003" t="str">
            <v>STD</v>
          </cell>
          <cell r="L1003">
            <v>33932.483034337194</v>
          </cell>
          <cell r="M1003">
            <v>1475.3253493190084</v>
          </cell>
          <cell r="O1003" t="str">
            <v>ARANDELA SEPARADORA DE BALEROS (RODILLO DE AJUSTE)</v>
          </cell>
        </row>
        <row r="1004">
          <cell r="D1004" t="str">
            <v>HTJA030138</v>
          </cell>
          <cell r="E1004" t="str">
            <v>7056050202</v>
          </cell>
          <cell r="F1004" t="str">
            <v>A4 RF-91 Concept One</v>
          </cell>
          <cell r="G1004">
            <v>10000</v>
          </cell>
          <cell r="H1004" t="str">
            <v>Nacional</v>
          </cell>
          <cell r="I1004">
            <v>8</v>
          </cell>
          <cell r="J1004" t="str">
            <v>STD</v>
          </cell>
          <cell r="L1004">
            <v>0</v>
          </cell>
          <cell r="M1004">
            <v>0</v>
          </cell>
          <cell r="O1004" t="str">
            <v>ARANDELA SEPARADORA DE BALEROS (RODILLO DE AJUSTE)</v>
          </cell>
        </row>
        <row r="1005">
          <cell r="D1005" t="str">
            <v>HTJA030138</v>
          </cell>
          <cell r="E1005" t="str">
            <v>7174050203</v>
          </cell>
          <cell r="F1005" t="str">
            <v>A4 RF-95</v>
          </cell>
          <cell r="G1005">
            <v>10000</v>
          </cell>
          <cell r="H1005" t="str">
            <v>Nacional</v>
          </cell>
          <cell r="I1005">
            <v>8</v>
          </cell>
          <cell r="J1005" t="str">
            <v>STD</v>
          </cell>
          <cell r="L1005">
            <v>8133.6</v>
          </cell>
          <cell r="M1005">
            <v>353.63478260869567</v>
          </cell>
          <cell r="O1005" t="str">
            <v>ARANDELA SEPARADORA DE BALEROS (RODILLO DE AJUSTE)</v>
          </cell>
        </row>
        <row r="1006">
          <cell r="D1006" t="str">
            <v>HTJA030139</v>
          </cell>
          <cell r="E1006" t="str">
            <v>8647050233</v>
          </cell>
          <cell r="F1006" t="str">
            <v>AC-2000i Honda Acura</v>
          </cell>
          <cell r="G1006">
            <v>300000</v>
          </cell>
          <cell r="H1006" t="str">
            <v>Profirrol</v>
          </cell>
          <cell r="I1006">
            <v>30</v>
          </cell>
          <cell r="J1006" t="str">
            <v>STD</v>
          </cell>
          <cell r="L1006">
            <v>74729.200000000012</v>
          </cell>
          <cell r="M1006">
            <v>3249.0956521739135</v>
          </cell>
          <cell r="O1006" t="str">
            <v>BUJE DE LUBRICACION</v>
          </cell>
        </row>
        <row r="1007">
          <cell r="D1007" t="str">
            <v>HTJA030139</v>
          </cell>
          <cell r="E1007" t="str">
            <v>10232841</v>
          </cell>
          <cell r="F1007" t="str">
            <v>AC-2000i DNA (Preforma)</v>
          </cell>
          <cell r="G1007">
            <v>300000</v>
          </cell>
          <cell r="H1007" t="str">
            <v>Profirrol</v>
          </cell>
          <cell r="I1007">
            <v>30</v>
          </cell>
          <cell r="J1007" t="str">
            <v>STD</v>
          </cell>
          <cell r="L1007">
            <v>99000</v>
          </cell>
          <cell r="M1007">
            <v>4304.347826086957</v>
          </cell>
          <cell r="O1007" t="str">
            <v>BUJE DE LUBRICACION</v>
          </cell>
        </row>
        <row r="1008">
          <cell r="D1008" t="str">
            <v>HTJA030139</v>
          </cell>
          <cell r="E1008" t="str">
            <v>4302091005</v>
          </cell>
          <cell r="F1008" t="str">
            <v>C-2000 PL-BODY</v>
          </cell>
          <cell r="G1008">
            <v>300000</v>
          </cell>
          <cell r="H1008" t="str">
            <v>Profirrol</v>
          </cell>
          <cell r="I1008">
            <v>30</v>
          </cell>
          <cell r="J1008" t="str">
            <v>STD</v>
          </cell>
          <cell r="L1008">
            <v>0</v>
          </cell>
          <cell r="M1008">
            <v>0</v>
          </cell>
          <cell r="O1008" t="str">
            <v>BUJE DE LUBRICACION</v>
          </cell>
        </row>
        <row r="1009">
          <cell r="D1009" t="str">
            <v>HTJA030139</v>
          </cell>
          <cell r="E1009" t="str">
            <v>7324050215</v>
          </cell>
          <cell r="F1009" t="str">
            <v>AC-2300i PT-44</v>
          </cell>
          <cell r="G1009">
            <v>300000</v>
          </cell>
          <cell r="H1009" t="str">
            <v>Profirrol</v>
          </cell>
          <cell r="I1009">
            <v>30</v>
          </cell>
          <cell r="J1009" t="str">
            <v>STD</v>
          </cell>
          <cell r="L1009">
            <v>58512.600000000006</v>
          </cell>
          <cell r="M1009">
            <v>2544.0260869565218</v>
          </cell>
          <cell r="O1009" t="str">
            <v>BUJE DE LUBRICACION</v>
          </cell>
        </row>
        <row r="1010">
          <cell r="D1010" t="str">
            <v>HTJA030139</v>
          </cell>
          <cell r="E1010" t="str">
            <v>10226750</v>
          </cell>
          <cell r="F1010" t="str">
            <v>AC-2300i DNA (Preforma)</v>
          </cell>
          <cell r="G1010">
            <v>300000</v>
          </cell>
          <cell r="H1010" t="str">
            <v>Profirrol</v>
          </cell>
          <cell r="I1010">
            <v>30</v>
          </cell>
          <cell r="J1010" t="str">
            <v>STD</v>
          </cell>
          <cell r="L1010">
            <v>52509.599999999999</v>
          </cell>
          <cell r="M1010">
            <v>2283.0260869565218</v>
          </cell>
          <cell r="O1010" t="str">
            <v>BUJE DE LUBRICACION</v>
          </cell>
        </row>
        <row r="1011">
          <cell r="D1011" t="str">
            <v>HTJA030139</v>
          </cell>
          <cell r="E1011" t="str">
            <v>7553050217</v>
          </cell>
          <cell r="F1011" t="str">
            <v>AC-2600i PT-Turbo</v>
          </cell>
          <cell r="G1011">
            <v>300000</v>
          </cell>
          <cell r="H1011" t="str">
            <v>Profirrol</v>
          </cell>
          <cell r="I1011">
            <v>30</v>
          </cell>
          <cell r="J1011" t="str">
            <v>STD</v>
          </cell>
          <cell r="L1011">
            <v>37981.199999999997</v>
          </cell>
          <cell r="M1011">
            <v>1651.3565217391304</v>
          </cell>
          <cell r="O1011" t="str">
            <v>BUJE DE LUBRICACION</v>
          </cell>
        </row>
        <row r="1012">
          <cell r="D1012" t="str">
            <v>HTJA030139</v>
          </cell>
          <cell r="E1012" t="str">
            <v>10001024R</v>
          </cell>
          <cell r="F1012" t="str">
            <v>AC-2600i Ford Escape</v>
          </cell>
          <cell r="G1012">
            <v>300000</v>
          </cell>
          <cell r="H1012" t="str">
            <v>Profirrol</v>
          </cell>
          <cell r="I1012">
            <v>30</v>
          </cell>
          <cell r="J1012" t="str">
            <v>STD</v>
          </cell>
          <cell r="L1012">
            <v>59203</v>
          </cell>
          <cell r="M1012">
            <v>2574.0434782608695</v>
          </cell>
          <cell r="O1012" t="str">
            <v>BUJE DE LUBRICACION</v>
          </cell>
        </row>
        <row r="1013">
          <cell r="D1013" t="str">
            <v>HTJA030139</v>
          </cell>
          <cell r="E1013" t="str">
            <v>10226752</v>
          </cell>
          <cell r="F1013" t="str">
            <v>AC-2600i DNA (Preforma)</v>
          </cell>
          <cell r="G1013">
            <v>300000</v>
          </cell>
          <cell r="H1013" t="str">
            <v>Profirrol</v>
          </cell>
          <cell r="I1013">
            <v>30</v>
          </cell>
          <cell r="J1013" t="str">
            <v>STD</v>
          </cell>
          <cell r="L1013">
            <v>31536</v>
          </cell>
          <cell r="M1013">
            <v>1371.1304347826087</v>
          </cell>
          <cell r="O1013" t="str">
            <v>BUJE DE LUBRICACION</v>
          </cell>
        </row>
        <row r="1014">
          <cell r="D1014" t="str">
            <v>HTJA030139</v>
          </cell>
          <cell r="E1014" t="str">
            <v>10054551</v>
          </cell>
          <cell r="F1014" t="str">
            <v>AC-2650 JC49 / GS PLT / DNA</v>
          </cell>
          <cell r="G1014">
            <v>300000</v>
          </cell>
          <cell r="H1014" t="str">
            <v>Profirrol</v>
          </cell>
          <cell r="I1014">
            <v>30</v>
          </cell>
          <cell r="J1014" t="str">
            <v>STD</v>
          </cell>
          <cell r="L1014">
            <v>11932</v>
          </cell>
          <cell r="M1014">
            <v>518.78260869565213</v>
          </cell>
          <cell r="O1014" t="str">
            <v>BUJE DE LUBRICACION</v>
          </cell>
        </row>
        <row r="1015">
          <cell r="D1015" t="str">
            <v>HTJA030139</v>
          </cell>
          <cell r="E1015" t="str">
            <v>10226751</v>
          </cell>
          <cell r="F1015" t="str">
            <v>AC-2650 DNA</v>
          </cell>
          <cell r="G1015">
            <v>300000</v>
          </cell>
          <cell r="H1015" t="str">
            <v>Profirrol</v>
          </cell>
          <cell r="I1015">
            <v>30</v>
          </cell>
          <cell r="J1015" t="str">
            <v>STD</v>
          </cell>
          <cell r="L1015">
            <v>24453</v>
          </cell>
          <cell r="M1015">
            <v>1063.1739130434783</v>
          </cell>
          <cell r="O1015" t="str">
            <v>BUJE DE LUBRICACION</v>
          </cell>
        </row>
        <row r="1016">
          <cell r="D1016" t="str">
            <v>HTJA030139</v>
          </cell>
          <cell r="E1016" t="str">
            <v>8152050226</v>
          </cell>
          <cell r="F1016" t="str">
            <v>UF-2600i PQ-35 VW</v>
          </cell>
          <cell r="G1016">
            <v>300000</v>
          </cell>
          <cell r="H1016" t="str">
            <v>Profirrol</v>
          </cell>
          <cell r="I1016">
            <v>30</v>
          </cell>
          <cell r="J1016" t="str">
            <v>STD</v>
          </cell>
          <cell r="L1016">
            <v>38227.399999999994</v>
          </cell>
          <cell r="M1016">
            <v>1662.0608695652172</v>
          </cell>
          <cell r="O1016" t="str">
            <v>BUJE DE LUBRICACION</v>
          </cell>
        </row>
        <row r="1017">
          <cell r="D1017" t="str">
            <v>HTJA030139</v>
          </cell>
          <cell r="E1017" t="str">
            <v>10060762</v>
          </cell>
          <cell r="F1017" t="str">
            <v>UF-2600i Ford Explorer</v>
          </cell>
          <cell r="G1017">
            <v>300000</v>
          </cell>
          <cell r="H1017" t="str">
            <v>Profirrol</v>
          </cell>
          <cell r="I1017">
            <v>30</v>
          </cell>
          <cell r="J1017" t="str">
            <v>STD</v>
          </cell>
          <cell r="L1017">
            <v>0</v>
          </cell>
          <cell r="M1017">
            <v>0</v>
          </cell>
          <cell r="O1017" t="str">
            <v>BUJE DE LUBRICACION</v>
          </cell>
        </row>
        <row r="1018">
          <cell r="D1018" t="str">
            <v>HTJA030139</v>
          </cell>
          <cell r="E1018" t="str">
            <v>00806088</v>
          </cell>
          <cell r="F1018" t="str">
            <v>UF-2600i Hyundai</v>
          </cell>
          <cell r="G1018">
            <v>300000</v>
          </cell>
          <cell r="H1018" t="str">
            <v>Profirrol</v>
          </cell>
          <cell r="I1018">
            <v>30</v>
          </cell>
          <cell r="J1018" t="str">
            <v>STD</v>
          </cell>
          <cell r="L1018">
            <v>0</v>
          </cell>
          <cell r="M1018">
            <v>0</v>
          </cell>
          <cell r="O1018" t="str">
            <v>BUJE DE LUBRICACION</v>
          </cell>
        </row>
        <row r="1019">
          <cell r="D1019" t="str">
            <v>HTJA030139</v>
          </cell>
          <cell r="E1019" t="str">
            <v>10235857</v>
          </cell>
          <cell r="F1019" t="str">
            <v>UF-2600i DNA (Preforma)</v>
          </cell>
          <cell r="G1019">
            <v>300000</v>
          </cell>
          <cell r="H1019" t="str">
            <v>Profirrol</v>
          </cell>
          <cell r="I1019">
            <v>30</v>
          </cell>
          <cell r="J1019" t="str">
            <v>STD</v>
          </cell>
          <cell r="L1019">
            <v>0</v>
          </cell>
          <cell r="M1019">
            <v>0</v>
          </cell>
          <cell r="O1019" t="str">
            <v>BUJE DE LUBRICACION</v>
          </cell>
        </row>
        <row r="1020">
          <cell r="D1020" t="str">
            <v>HTJA030139</v>
          </cell>
          <cell r="E1020" t="str">
            <v>10018041</v>
          </cell>
          <cell r="F1020" t="str">
            <v>UF-3300i W</v>
          </cell>
          <cell r="G1020">
            <v>300000</v>
          </cell>
          <cell r="H1020" t="str">
            <v>Profirrol</v>
          </cell>
          <cell r="I1020">
            <v>30</v>
          </cell>
          <cell r="J1020" t="str">
            <v>STD</v>
          </cell>
          <cell r="L1020">
            <v>13520.454678603319</v>
          </cell>
          <cell r="M1020">
            <v>587.84585559144864</v>
          </cell>
          <cell r="O1020" t="str">
            <v>BUJE DE LUBRICACION</v>
          </cell>
        </row>
        <row r="1021">
          <cell r="D1021" t="str">
            <v>HTJA030139</v>
          </cell>
          <cell r="E1021" t="str">
            <v>10009621</v>
          </cell>
          <cell r="F1021" t="str">
            <v>UF-4600i W</v>
          </cell>
          <cell r="G1021">
            <v>300000</v>
          </cell>
          <cell r="H1021" t="str">
            <v>Profirrol</v>
          </cell>
          <cell r="I1021">
            <v>30</v>
          </cell>
          <cell r="J1021" t="str">
            <v>STD</v>
          </cell>
          <cell r="L1021">
            <v>33932.483034337194</v>
          </cell>
          <cell r="M1021">
            <v>1475.3253493190084</v>
          </cell>
          <cell r="O1021" t="str">
            <v>BUJE DE LUBRICACION</v>
          </cell>
        </row>
        <row r="1022">
          <cell r="D1022" t="str">
            <v>HTJA030139</v>
          </cell>
          <cell r="E1022" t="str">
            <v>7056050202</v>
          </cell>
          <cell r="F1022" t="str">
            <v>A4 RF-91 Concept One</v>
          </cell>
          <cell r="G1022">
            <v>300000</v>
          </cell>
          <cell r="H1022" t="str">
            <v>Profirrol</v>
          </cell>
          <cell r="I1022">
            <v>30</v>
          </cell>
          <cell r="J1022" t="str">
            <v>STD</v>
          </cell>
          <cell r="L1022">
            <v>0</v>
          </cell>
          <cell r="M1022">
            <v>0</v>
          </cell>
          <cell r="O1022" t="str">
            <v>BUJE DE LUBRICACION</v>
          </cell>
        </row>
        <row r="1023">
          <cell r="D1023" t="str">
            <v>HTJA030139</v>
          </cell>
          <cell r="E1023" t="str">
            <v>7174050203</v>
          </cell>
          <cell r="F1023" t="str">
            <v>A4 RF-95</v>
          </cell>
          <cell r="G1023">
            <v>300000</v>
          </cell>
          <cell r="H1023" t="str">
            <v>Profirrol</v>
          </cell>
          <cell r="I1023">
            <v>30</v>
          </cell>
          <cell r="J1023" t="str">
            <v>STD</v>
          </cell>
          <cell r="L1023">
            <v>8133.6</v>
          </cell>
          <cell r="M1023">
            <v>353.63478260869567</v>
          </cell>
          <cell r="O1023" t="str">
            <v>BUJE DE LUBRICACION</v>
          </cell>
        </row>
        <row r="1024">
          <cell r="D1024" t="str">
            <v>HTJA030140</v>
          </cell>
          <cell r="E1024" t="str">
            <v>8647050233</v>
          </cell>
          <cell r="F1024" t="str">
            <v>AC-2000i Honda Acura</v>
          </cell>
          <cell r="G1024">
            <v>20000</v>
          </cell>
          <cell r="H1024" t="str">
            <v>Nacional</v>
          </cell>
          <cell r="I1024">
            <v>10</v>
          </cell>
          <cell r="J1024" t="str">
            <v>STD</v>
          </cell>
          <cell r="L1024">
            <v>74729.200000000012</v>
          </cell>
          <cell r="M1024">
            <v>3249.0956521739135</v>
          </cell>
          <cell r="O1024" t="str">
            <v>RODILLO REDONDO DE AJUSTE</v>
          </cell>
        </row>
        <row r="1025">
          <cell r="D1025" t="str">
            <v>HTJA030140</v>
          </cell>
          <cell r="E1025" t="str">
            <v>10232841</v>
          </cell>
          <cell r="F1025" t="str">
            <v>AC-2000i DNA (Preforma)</v>
          </cell>
          <cell r="G1025">
            <v>20000</v>
          </cell>
          <cell r="H1025" t="str">
            <v>Nacional</v>
          </cell>
          <cell r="I1025">
            <v>10</v>
          </cell>
          <cell r="J1025" t="str">
            <v>STD</v>
          </cell>
          <cell r="L1025">
            <v>99000</v>
          </cell>
          <cell r="M1025">
            <v>4304.347826086957</v>
          </cell>
          <cell r="O1025" t="str">
            <v>RODILLO REDONDO DE AJUSTE</v>
          </cell>
        </row>
        <row r="1026">
          <cell r="D1026" t="str">
            <v>HTJA030140</v>
          </cell>
          <cell r="E1026" t="str">
            <v>4302091005</v>
          </cell>
          <cell r="F1026" t="str">
            <v>C-2000 PL-BODY</v>
          </cell>
          <cell r="G1026">
            <v>20000</v>
          </cell>
          <cell r="H1026" t="str">
            <v>Nacional</v>
          </cell>
          <cell r="I1026">
            <v>10</v>
          </cell>
          <cell r="J1026" t="str">
            <v>STD</v>
          </cell>
          <cell r="L1026">
            <v>0</v>
          </cell>
          <cell r="M1026">
            <v>0</v>
          </cell>
          <cell r="O1026" t="str">
            <v>RODILLO REDONDO DE AJUSTE</v>
          </cell>
        </row>
        <row r="1027">
          <cell r="D1027" t="str">
            <v>HTJA030140</v>
          </cell>
          <cell r="E1027" t="str">
            <v>7324050215</v>
          </cell>
          <cell r="F1027" t="str">
            <v>AC-2300i PT-44</v>
          </cell>
          <cell r="G1027">
            <v>20000</v>
          </cell>
          <cell r="H1027" t="str">
            <v>Nacional</v>
          </cell>
          <cell r="I1027">
            <v>10</v>
          </cell>
          <cell r="J1027" t="str">
            <v>STD</v>
          </cell>
          <cell r="L1027">
            <v>58512.600000000006</v>
          </cell>
          <cell r="M1027">
            <v>2544.0260869565218</v>
          </cell>
          <cell r="O1027" t="str">
            <v>RODILLO REDONDO DE AJUSTE</v>
          </cell>
        </row>
        <row r="1028">
          <cell r="D1028" t="str">
            <v>HTJA030140</v>
          </cell>
          <cell r="E1028" t="str">
            <v>10226750</v>
          </cell>
          <cell r="F1028" t="str">
            <v>AC-2300i DNA (Preforma)</v>
          </cell>
          <cell r="G1028">
            <v>20000</v>
          </cell>
          <cell r="H1028" t="str">
            <v>Nacional</v>
          </cell>
          <cell r="I1028">
            <v>10</v>
          </cell>
          <cell r="J1028" t="str">
            <v>STD</v>
          </cell>
          <cell r="L1028">
            <v>52509.599999999999</v>
          </cell>
          <cell r="M1028">
            <v>2283.0260869565218</v>
          </cell>
          <cell r="O1028" t="str">
            <v>RODILLO REDONDO DE AJUSTE</v>
          </cell>
        </row>
        <row r="1029">
          <cell r="D1029" t="str">
            <v>HTJA030140</v>
          </cell>
          <cell r="E1029" t="str">
            <v>7553050217</v>
          </cell>
          <cell r="F1029" t="str">
            <v>AC-2600i PT-Turbo</v>
          </cell>
          <cell r="G1029">
            <v>20000</v>
          </cell>
          <cell r="H1029" t="str">
            <v>Nacional</v>
          </cell>
          <cell r="I1029">
            <v>10</v>
          </cell>
          <cell r="J1029" t="str">
            <v>STD</v>
          </cell>
          <cell r="L1029">
            <v>37981.199999999997</v>
          </cell>
          <cell r="M1029">
            <v>1651.3565217391304</v>
          </cell>
          <cell r="O1029" t="str">
            <v>RODILLO REDONDO DE AJUSTE</v>
          </cell>
        </row>
        <row r="1030">
          <cell r="D1030" t="str">
            <v>HTJA030140</v>
          </cell>
          <cell r="E1030" t="str">
            <v>10001024R</v>
          </cell>
          <cell r="F1030" t="str">
            <v>AC-2600i Ford Escape</v>
          </cell>
          <cell r="G1030">
            <v>20000</v>
          </cell>
          <cell r="H1030" t="str">
            <v>Nacional</v>
          </cell>
          <cell r="I1030">
            <v>10</v>
          </cell>
          <cell r="J1030" t="str">
            <v>STD</v>
          </cell>
          <cell r="L1030">
            <v>59203</v>
          </cell>
          <cell r="M1030">
            <v>2574.0434782608695</v>
          </cell>
          <cell r="O1030" t="str">
            <v>RODILLO REDONDO DE AJUSTE</v>
          </cell>
        </row>
        <row r="1031">
          <cell r="D1031" t="str">
            <v>HTJA030140</v>
          </cell>
          <cell r="E1031" t="str">
            <v>10226752</v>
          </cell>
          <cell r="F1031" t="str">
            <v>AC-2600i DNA (Preforma)</v>
          </cell>
          <cell r="G1031">
            <v>20000</v>
          </cell>
          <cell r="H1031" t="str">
            <v>Nacional</v>
          </cell>
          <cell r="I1031">
            <v>10</v>
          </cell>
          <cell r="J1031" t="str">
            <v>STD</v>
          </cell>
          <cell r="L1031">
            <v>31536</v>
          </cell>
          <cell r="M1031">
            <v>1371.1304347826087</v>
          </cell>
          <cell r="O1031" t="str">
            <v>RODILLO REDONDO DE AJUSTE</v>
          </cell>
        </row>
        <row r="1032">
          <cell r="D1032" t="str">
            <v>HTJA030140</v>
          </cell>
          <cell r="E1032" t="str">
            <v>10054551</v>
          </cell>
          <cell r="F1032" t="str">
            <v>AC-2650 JC49 / GS PLT / DNA</v>
          </cell>
          <cell r="G1032">
            <v>20000</v>
          </cell>
          <cell r="H1032" t="str">
            <v>Nacional</v>
          </cell>
          <cell r="I1032">
            <v>10</v>
          </cell>
          <cell r="J1032" t="str">
            <v>STD</v>
          </cell>
          <cell r="L1032">
            <v>11932</v>
          </cell>
          <cell r="M1032">
            <v>518.78260869565213</v>
          </cell>
          <cell r="O1032" t="str">
            <v>RODILLO REDONDO DE AJUSTE</v>
          </cell>
        </row>
        <row r="1033">
          <cell r="D1033" t="str">
            <v>HTJA030140</v>
          </cell>
          <cell r="E1033" t="str">
            <v>10226751</v>
          </cell>
          <cell r="F1033" t="str">
            <v>AC-2650 DNA</v>
          </cell>
          <cell r="G1033">
            <v>20000</v>
          </cell>
          <cell r="H1033" t="str">
            <v>Nacional</v>
          </cell>
          <cell r="I1033">
            <v>10</v>
          </cell>
          <cell r="J1033" t="str">
            <v>STD</v>
          </cell>
          <cell r="L1033">
            <v>24453</v>
          </cell>
          <cell r="M1033">
            <v>1063.1739130434783</v>
          </cell>
          <cell r="O1033" t="str">
            <v>RODILLO REDONDO DE AJUSTE</v>
          </cell>
        </row>
        <row r="1034">
          <cell r="D1034" t="str">
            <v>HTJA030140</v>
          </cell>
          <cell r="E1034" t="str">
            <v>8152050226</v>
          </cell>
          <cell r="F1034" t="str">
            <v>UF-2600i PQ-35 VW</v>
          </cell>
          <cell r="G1034">
            <v>20000</v>
          </cell>
          <cell r="H1034" t="str">
            <v>Nacional</v>
          </cell>
          <cell r="I1034">
            <v>10</v>
          </cell>
          <cell r="J1034" t="str">
            <v>STD</v>
          </cell>
          <cell r="L1034">
            <v>38227.399999999994</v>
          </cell>
          <cell r="M1034">
            <v>1662.0608695652172</v>
          </cell>
          <cell r="O1034" t="str">
            <v>RODILLO REDONDO DE AJUSTE</v>
          </cell>
        </row>
        <row r="1035">
          <cell r="D1035" t="str">
            <v>HTJA030140</v>
          </cell>
          <cell r="E1035" t="str">
            <v>10060762</v>
          </cell>
          <cell r="F1035" t="str">
            <v>UF-2600i Ford Explorer</v>
          </cell>
          <cell r="G1035">
            <v>20000</v>
          </cell>
          <cell r="H1035" t="str">
            <v>Nacional</v>
          </cell>
          <cell r="I1035">
            <v>10</v>
          </cell>
          <cell r="J1035" t="str">
            <v>STD</v>
          </cell>
          <cell r="L1035">
            <v>0</v>
          </cell>
          <cell r="M1035">
            <v>0</v>
          </cell>
          <cell r="O1035" t="str">
            <v>RODILLO REDONDO DE AJUSTE</v>
          </cell>
        </row>
        <row r="1036">
          <cell r="D1036" t="str">
            <v>HTJA030140</v>
          </cell>
          <cell r="E1036" t="str">
            <v>00806088</v>
          </cell>
          <cell r="F1036" t="str">
            <v>UF-2600i Hyundai</v>
          </cell>
          <cell r="G1036">
            <v>20000</v>
          </cell>
          <cell r="H1036" t="str">
            <v>Nacional</v>
          </cell>
          <cell r="I1036">
            <v>10</v>
          </cell>
          <cell r="J1036" t="str">
            <v>STD</v>
          </cell>
          <cell r="L1036">
            <v>0</v>
          </cell>
          <cell r="M1036">
            <v>0</v>
          </cell>
          <cell r="O1036" t="str">
            <v>RODILLO REDONDO DE AJUSTE</v>
          </cell>
        </row>
        <row r="1037">
          <cell r="D1037" t="str">
            <v>HTJA030140</v>
          </cell>
          <cell r="E1037" t="str">
            <v>10235857</v>
          </cell>
          <cell r="F1037" t="str">
            <v>UF-2600i DNA (Preforma)</v>
          </cell>
          <cell r="G1037">
            <v>20000</v>
          </cell>
          <cell r="H1037" t="str">
            <v>Nacional</v>
          </cell>
          <cell r="I1037">
            <v>10</v>
          </cell>
          <cell r="J1037" t="str">
            <v>STD</v>
          </cell>
          <cell r="L1037">
            <v>0</v>
          </cell>
          <cell r="M1037">
            <v>0</v>
          </cell>
          <cell r="O1037" t="str">
            <v>RODILLO REDONDO DE AJUSTE</v>
          </cell>
        </row>
        <row r="1038">
          <cell r="D1038" t="str">
            <v>HTJA030140</v>
          </cell>
          <cell r="E1038" t="str">
            <v>10018041</v>
          </cell>
          <cell r="F1038" t="str">
            <v>UF-3300i W</v>
          </cell>
          <cell r="G1038">
            <v>20000</v>
          </cell>
          <cell r="H1038" t="str">
            <v>Nacional</v>
          </cell>
          <cell r="I1038">
            <v>10</v>
          </cell>
          <cell r="J1038" t="str">
            <v>STD</v>
          </cell>
          <cell r="L1038">
            <v>13520.454678603319</v>
          </cell>
          <cell r="M1038">
            <v>587.84585559144864</v>
          </cell>
          <cell r="O1038" t="str">
            <v>RODILLO REDONDO DE AJUSTE</v>
          </cell>
        </row>
        <row r="1039">
          <cell r="D1039" t="str">
            <v>HTJA030140</v>
          </cell>
          <cell r="E1039" t="str">
            <v>10009621</v>
          </cell>
          <cell r="F1039" t="str">
            <v>UF-4600i W</v>
          </cell>
          <cell r="G1039">
            <v>20000</v>
          </cell>
          <cell r="H1039" t="str">
            <v>Nacional</v>
          </cell>
          <cell r="I1039">
            <v>10</v>
          </cell>
          <cell r="J1039" t="str">
            <v>STD</v>
          </cell>
          <cell r="L1039">
            <v>33932.483034337194</v>
          </cell>
          <cell r="M1039">
            <v>1475.3253493190084</v>
          </cell>
          <cell r="O1039" t="str">
            <v>RODILLO REDONDO DE AJUSTE</v>
          </cell>
        </row>
        <row r="1040">
          <cell r="D1040" t="str">
            <v>HTJA030140</v>
          </cell>
          <cell r="E1040" t="str">
            <v>7056050202</v>
          </cell>
          <cell r="F1040" t="str">
            <v>A4 RF-91 Concept One</v>
          </cell>
          <cell r="G1040">
            <v>20000</v>
          </cell>
          <cell r="H1040" t="str">
            <v>Nacional</v>
          </cell>
          <cell r="I1040">
            <v>10</v>
          </cell>
          <cell r="J1040" t="str">
            <v>STD</v>
          </cell>
          <cell r="L1040">
            <v>0</v>
          </cell>
          <cell r="M1040">
            <v>0</v>
          </cell>
          <cell r="O1040" t="str">
            <v>RODILLO REDONDO DE AJUSTE</v>
          </cell>
        </row>
        <row r="1041">
          <cell r="D1041" t="str">
            <v>HTJA030140</v>
          </cell>
          <cell r="E1041" t="str">
            <v>7174050203</v>
          </cell>
          <cell r="F1041" t="str">
            <v>A4 RF-95</v>
          </cell>
          <cell r="G1041">
            <v>20000</v>
          </cell>
          <cell r="H1041" t="str">
            <v>Nacional</v>
          </cell>
          <cell r="I1041">
            <v>10</v>
          </cell>
          <cell r="J1041" t="str">
            <v>STD</v>
          </cell>
          <cell r="L1041">
            <v>8133.6</v>
          </cell>
          <cell r="M1041">
            <v>353.63478260869567</v>
          </cell>
          <cell r="O1041" t="str">
            <v>RODILLO REDONDO DE AJUSTE</v>
          </cell>
        </row>
        <row r="1042">
          <cell r="D1042" t="str">
            <v>HTJA030154</v>
          </cell>
          <cell r="E1042" t="str">
            <v>8647050233</v>
          </cell>
          <cell r="F1042" t="str">
            <v>AC-2000i Honda Acura</v>
          </cell>
          <cell r="G1042">
            <v>50000</v>
          </cell>
          <cell r="H1042" t="str">
            <v>Nacional</v>
          </cell>
          <cell r="I1042">
            <v>10</v>
          </cell>
          <cell r="J1042" t="str">
            <v>STD</v>
          </cell>
          <cell r="L1042">
            <v>74729.200000000012</v>
          </cell>
          <cell r="M1042">
            <v>3249.0956521739135</v>
          </cell>
          <cell r="O1042" t="str">
            <v>BASE PORTA BUJE LOCALIZADOR</v>
          </cell>
        </row>
        <row r="1043">
          <cell r="D1043" t="str">
            <v>HTJA030154</v>
          </cell>
          <cell r="E1043" t="str">
            <v>10232841</v>
          </cell>
          <cell r="F1043" t="str">
            <v>AC-2000i DNA (Preforma)</v>
          </cell>
          <cell r="G1043">
            <v>50000</v>
          </cell>
          <cell r="H1043" t="str">
            <v>Nacional</v>
          </cell>
          <cell r="I1043">
            <v>10</v>
          </cell>
          <cell r="J1043" t="str">
            <v>STD</v>
          </cell>
          <cell r="L1043">
            <v>99000</v>
          </cell>
          <cell r="M1043">
            <v>4304.347826086957</v>
          </cell>
          <cell r="O1043" t="str">
            <v>BASE PORTA BUJE LOCALIZADOR</v>
          </cell>
        </row>
        <row r="1044">
          <cell r="D1044" t="str">
            <v>HTJA030154</v>
          </cell>
          <cell r="E1044" t="str">
            <v>4302091005</v>
          </cell>
          <cell r="F1044" t="str">
            <v>C-2000 PL-BODY</v>
          </cell>
          <cell r="G1044">
            <v>50000</v>
          </cell>
          <cell r="H1044" t="str">
            <v>Nacional</v>
          </cell>
          <cell r="I1044">
            <v>10</v>
          </cell>
          <cell r="J1044" t="str">
            <v>STD</v>
          </cell>
          <cell r="L1044">
            <v>0</v>
          </cell>
          <cell r="M1044">
            <v>0</v>
          </cell>
          <cell r="O1044" t="str">
            <v>BASE PORTA BUJE LOCALIZADOR</v>
          </cell>
        </row>
        <row r="1045">
          <cell r="D1045" t="str">
            <v>HTJA030154</v>
          </cell>
          <cell r="E1045" t="str">
            <v>7324050215</v>
          </cell>
          <cell r="F1045" t="str">
            <v>AC-2300i PT-44</v>
          </cell>
          <cell r="G1045">
            <v>50000</v>
          </cell>
          <cell r="H1045" t="str">
            <v>Nacional</v>
          </cell>
          <cell r="I1045">
            <v>10</v>
          </cell>
          <cell r="J1045" t="str">
            <v>STD</v>
          </cell>
          <cell r="L1045">
            <v>58512.600000000006</v>
          </cell>
          <cell r="M1045">
            <v>2544.0260869565218</v>
          </cell>
          <cell r="O1045" t="str">
            <v>BASE PORTA BUJE LOCALIZADOR</v>
          </cell>
        </row>
        <row r="1046">
          <cell r="D1046" t="str">
            <v>HTJA030154</v>
          </cell>
          <cell r="E1046" t="str">
            <v>10226750</v>
          </cell>
          <cell r="F1046" t="str">
            <v>AC-2300i DNA (Preforma)</v>
          </cell>
          <cell r="G1046">
            <v>50000</v>
          </cell>
          <cell r="H1046" t="str">
            <v>Nacional</v>
          </cell>
          <cell r="I1046">
            <v>10</v>
          </cell>
          <cell r="J1046" t="str">
            <v>STD</v>
          </cell>
          <cell r="L1046">
            <v>52509.599999999999</v>
          </cell>
          <cell r="M1046">
            <v>2283.0260869565218</v>
          </cell>
          <cell r="O1046" t="str">
            <v>BASE PORTA BUJE LOCALIZADOR</v>
          </cell>
        </row>
        <row r="1047">
          <cell r="D1047" t="str">
            <v>HTJA030154</v>
          </cell>
          <cell r="E1047" t="str">
            <v>7553050217</v>
          </cell>
          <cell r="F1047" t="str">
            <v>AC-2600i PT-Turbo</v>
          </cell>
          <cell r="G1047">
            <v>50000</v>
          </cell>
          <cell r="H1047" t="str">
            <v>Nacional</v>
          </cell>
          <cell r="I1047">
            <v>10</v>
          </cell>
          <cell r="J1047" t="str">
            <v>STD</v>
          </cell>
          <cell r="L1047">
            <v>37981.199999999997</v>
          </cell>
          <cell r="M1047">
            <v>1651.3565217391304</v>
          </cell>
          <cell r="O1047" t="str">
            <v>BASE PORTA BUJE LOCALIZADOR</v>
          </cell>
        </row>
        <row r="1048">
          <cell r="D1048" t="str">
            <v>HTJA030154</v>
          </cell>
          <cell r="E1048" t="str">
            <v>10001024R</v>
          </cell>
          <cell r="F1048" t="str">
            <v>AC-2600i Ford Escape</v>
          </cell>
          <cell r="G1048">
            <v>50000</v>
          </cell>
          <cell r="H1048" t="str">
            <v>Nacional</v>
          </cell>
          <cell r="I1048">
            <v>10</v>
          </cell>
          <cell r="J1048" t="str">
            <v>STD</v>
          </cell>
          <cell r="L1048">
            <v>59203</v>
          </cell>
          <cell r="M1048">
            <v>2574.0434782608695</v>
          </cell>
          <cell r="O1048" t="str">
            <v>BASE PORTA BUJE LOCALIZADOR</v>
          </cell>
        </row>
        <row r="1049">
          <cell r="D1049" t="str">
            <v>HTJA030154</v>
          </cell>
          <cell r="E1049" t="str">
            <v>10226752</v>
          </cell>
          <cell r="F1049" t="str">
            <v>AC-2600i DNA (Preforma)</v>
          </cell>
          <cell r="G1049">
            <v>50000</v>
          </cell>
          <cell r="H1049" t="str">
            <v>Nacional</v>
          </cell>
          <cell r="I1049">
            <v>10</v>
          </cell>
          <cell r="J1049" t="str">
            <v>STD</v>
          </cell>
          <cell r="L1049">
            <v>31536</v>
          </cell>
          <cell r="M1049">
            <v>1371.1304347826087</v>
          </cell>
          <cell r="O1049" t="str">
            <v>BASE PORTA BUJE LOCALIZADOR</v>
          </cell>
        </row>
        <row r="1050">
          <cell r="D1050" t="str">
            <v>HTJA030154</v>
          </cell>
          <cell r="E1050" t="str">
            <v>10054551</v>
          </cell>
          <cell r="F1050" t="str">
            <v>AC-2650 JC49 / GS PLT / DNA</v>
          </cell>
          <cell r="G1050">
            <v>50000</v>
          </cell>
          <cell r="H1050" t="str">
            <v>Nacional</v>
          </cell>
          <cell r="I1050">
            <v>10</v>
          </cell>
          <cell r="J1050" t="str">
            <v>STD</v>
          </cell>
          <cell r="L1050">
            <v>11932</v>
          </cell>
          <cell r="M1050">
            <v>518.78260869565213</v>
          </cell>
          <cell r="O1050" t="str">
            <v>BASE PORTA BUJE LOCALIZADOR</v>
          </cell>
        </row>
        <row r="1051">
          <cell r="D1051" t="str">
            <v>HTJA030154</v>
          </cell>
          <cell r="E1051" t="str">
            <v>10226751</v>
          </cell>
          <cell r="F1051" t="str">
            <v>AC-2650 DNA</v>
          </cell>
          <cell r="G1051">
            <v>50000</v>
          </cell>
          <cell r="H1051" t="str">
            <v>Nacional</v>
          </cell>
          <cell r="I1051">
            <v>10</v>
          </cell>
          <cell r="J1051" t="str">
            <v>STD</v>
          </cell>
          <cell r="L1051">
            <v>24453</v>
          </cell>
          <cell r="M1051">
            <v>1063.1739130434783</v>
          </cell>
          <cell r="O1051" t="str">
            <v>BASE PORTA BUJE LOCALIZADOR</v>
          </cell>
        </row>
        <row r="1052">
          <cell r="D1052" t="str">
            <v>HTJA030154</v>
          </cell>
          <cell r="E1052" t="str">
            <v>8152050226</v>
          </cell>
          <cell r="F1052" t="str">
            <v>UF-2600i PQ-35 VW</v>
          </cell>
          <cell r="G1052">
            <v>50000</v>
          </cell>
          <cell r="H1052" t="str">
            <v>Nacional</v>
          </cell>
          <cell r="I1052">
            <v>10</v>
          </cell>
          <cell r="J1052" t="str">
            <v>STD</v>
          </cell>
          <cell r="L1052">
            <v>38227.399999999994</v>
          </cell>
          <cell r="M1052">
            <v>1662.0608695652172</v>
          </cell>
          <cell r="O1052" t="str">
            <v>BASE PORTA BUJE LOCALIZADOR</v>
          </cell>
        </row>
        <row r="1053">
          <cell r="D1053" t="str">
            <v>HTJA030154</v>
          </cell>
          <cell r="E1053" t="str">
            <v>10060762</v>
          </cell>
          <cell r="F1053" t="str">
            <v>UF-2600i Ford Explorer</v>
          </cell>
          <cell r="G1053">
            <v>50000</v>
          </cell>
          <cell r="H1053" t="str">
            <v>Nacional</v>
          </cell>
          <cell r="I1053">
            <v>10</v>
          </cell>
          <cell r="J1053" t="str">
            <v>STD</v>
          </cell>
          <cell r="L1053">
            <v>0</v>
          </cell>
          <cell r="M1053">
            <v>0</v>
          </cell>
          <cell r="O1053" t="str">
            <v>BASE PORTA BUJE LOCALIZADOR</v>
          </cell>
        </row>
        <row r="1054">
          <cell r="D1054" t="str">
            <v>HTJA030154</v>
          </cell>
          <cell r="E1054" t="str">
            <v>00806088</v>
          </cell>
          <cell r="F1054" t="str">
            <v>UF-2600i Hyundai</v>
          </cell>
          <cell r="G1054">
            <v>50000</v>
          </cell>
          <cell r="H1054" t="str">
            <v>Nacional</v>
          </cell>
          <cell r="I1054">
            <v>10</v>
          </cell>
          <cell r="J1054" t="str">
            <v>STD</v>
          </cell>
          <cell r="L1054">
            <v>0</v>
          </cell>
          <cell r="M1054">
            <v>0</v>
          </cell>
          <cell r="O1054" t="str">
            <v>BASE PORTA BUJE LOCALIZADOR</v>
          </cell>
        </row>
        <row r="1055">
          <cell r="D1055" t="str">
            <v>HTJA030154</v>
          </cell>
          <cell r="E1055" t="str">
            <v>10235857</v>
          </cell>
          <cell r="F1055" t="str">
            <v>UF-2600i DNA (Preforma)</v>
          </cell>
          <cell r="G1055">
            <v>50000</v>
          </cell>
          <cell r="H1055" t="str">
            <v>Nacional</v>
          </cell>
          <cell r="I1055">
            <v>10</v>
          </cell>
          <cell r="J1055" t="str">
            <v>STD</v>
          </cell>
          <cell r="L1055">
            <v>0</v>
          </cell>
          <cell r="M1055">
            <v>0</v>
          </cell>
          <cell r="O1055" t="str">
            <v>BASE PORTA BUJE LOCALIZADOR</v>
          </cell>
        </row>
        <row r="1056">
          <cell r="D1056" t="str">
            <v>HTJA030154</v>
          </cell>
          <cell r="E1056" t="str">
            <v>10018041</v>
          </cell>
          <cell r="F1056" t="str">
            <v>UF-3300i W</v>
          </cell>
          <cell r="G1056">
            <v>50000</v>
          </cell>
          <cell r="H1056" t="str">
            <v>Nacional</v>
          </cell>
          <cell r="I1056">
            <v>10</v>
          </cell>
          <cell r="J1056" t="str">
            <v>STD</v>
          </cell>
          <cell r="L1056">
            <v>13520.454678603319</v>
          </cell>
          <cell r="M1056">
            <v>587.84585559144864</v>
          </cell>
          <cell r="O1056" t="str">
            <v>BASE PORTA BUJE LOCALIZADOR</v>
          </cell>
        </row>
        <row r="1057">
          <cell r="D1057" t="str">
            <v>HTJA030154</v>
          </cell>
          <cell r="E1057" t="str">
            <v>10009621</v>
          </cell>
          <cell r="F1057" t="str">
            <v>UF-4600i W</v>
          </cell>
          <cell r="G1057">
            <v>50000</v>
          </cell>
          <cell r="H1057" t="str">
            <v>Nacional</v>
          </cell>
          <cell r="I1057">
            <v>10</v>
          </cell>
          <cell r="J1057" t="str">
            <v>STD</v>
          </cell>
          <cell r="L1057">
            <v>33932.483034337194</v>
          </cell>
          <cell r="M1057">
            <v>1475.3253493190084</v>
          </cell>
          <cell r="O1057" t="str">
            <v>BASE PORTA BUJE LOCALIZADOR</v>
          </cell>
        </row>
        <row r="1058">
          <cell r="D1058" t="str">
            <v>HTJA030154</v>
          </cell>
          <cell r="E1058" t="str">
            <v>7056050202</v>
          </cell>
          <cell r="F1058" t="str">
            <v>A4 RF-91 Concept One</v>
          </cell>
          <cell r="G1058">
            <v>50000</v>
          </cell>
          <cell r="H1058" t="str">
            <v>Nacional</v>
          </cell>
          <cell r="I1058">
            <v>10</v>
          </cell>
          <cell r="J1058" t="str">
            <v>STD</v>
          </cell>
          <cell r="L1058">
            <v>0</v>
          </cell>
          <cell r="M1058">
            <v>0</v>
          </cell>
          <cell r="O1058" t="str">
            <v>BASE PORTA BUJE LOCALIZADOR</v>
          </cell>
        </row>
        <row r="1059">
          <cell r="D1059" t="str">
            <v>HTJA030154</v>
          </cell>
          <cell r="E1059" t="str">
            <v>7174050203</v>
          </cell>
          <cell r="F1059" t="str">
            <v>A4 RF-95</v>
          </cell>
          <cell r="G1059">
            <v>50000</v>
          </cell>
          <cell r="H1059" t="str">
            <v>Nacional</v>
          </cell>
          <cell r="I1059">
            <v>10</v>
          </cell>
          <cell r="J1059" t="str">
            <v>STD</v>
          </cell>
          <cell r="L1059">
            <v>8133.6</v>
          </cell>
          <cell r="M1059">
            <v>353.63478260869567</v>
          </cell>
          <cell r="O1059" t="str">
            <v>BASE PORTA BUJE LOCALIZADOR</v>
          </cell>
        </row>
        <row r="1060">
          <cell r="D1060" t="str">
            <v>HTJA030161</v>
          </cell>
          <cell r="E1060" t="str">
            <v>8647050233</v>
          </cell>
          <cell r="F1060" t="str">
            <v>AC-2000i Honda Acura</v>
          </cell>
          <cell r="G1060">
            <v>20000</v>
          </cell>
          <cell r="H1060" t="str">
            <v>Nacional</v>
          </cell>
          <cell r="I1060">
            <v>8</v>
          </cell>
          <cell r="J1060" t="str">
            <v>STD</v>
          </cell>
          <cell r="L1060">
            <v>74729.200000000012</v>
          </cell>
          <cell r="M1060">
            <v>3249.0956521739135</v>
          </cell>
          <cell r="O1060" t="str">
            <v>LAINA DE DESCARGA</v>
          </cell>
        </row>
        <row r="1061">
          <cell r="D1061" t="str">
            <v>HTJA030161</v>
          </cell>
          <cell r="E1061" t="str">
            <v>10232841</v>
          </cell>
          <cell r="F1061" t="str">
            <v>AC-2000i DNA (Preforma)</v>
          </cell>
          <cell r="G1061">
            <v>20000</v>
          </cell>
          <cell r="H1061" t="str">
            <v>Nacional</v>
          </cell>
          <cell r="I1061">
            <v>8</v>
          </cell>
          <cell r="J1061" t="str">
            <v>STD</v>
          </cell>
          <cell r="L1061">
            <v>99000</v>
          </cell>
          <cell r="M1061">
            <v>4304.347826086957</v>
          </cell>
          <cell r="O1061" t="str">
            <v>LAINA DE DESCARGA</v>
          </cell>
        </row>
        <row r="1062">
          <cell r="D1062" t="str">
            <v>HTJA030161</v>
          </cell>
          <cell r="E1062" t="str">
            <v>4302091005</v>
          </cell>
          <cell r="F1062" t="str">
            <v>C-2000 PL-BODY</v>
          </cell>
          <cell r="G1062">
            <v>20000</v>
          </cell>
          <cell r="H1062" t="str">
            <v>Nacional</v>
          </cell>
          <cell r="I1062">
            <v>8</v>
          </cell>
          <cell r="J1062" t="str">
            <v>STD</v>
          </cell>
          <cell r="L1062">
            <v>0</v>
          </cell>
          <cell r="M1062">
            <v>0</v>
          </cell>
          <cell r="O1062" t="str">
            <v>LAINA DE DESCARGA</v>
          </cell>
        </row>
        <row r="1063">
          <cell r="D1063" t="str">
            <v>HTJA030161</v>
          </cell>
          <cell r="E1063" t="str">
            <v>7324050215</v>
          </cell>
          <cell r="F1063" t="str">
            <v>AC-2300i PT-44</v>
          </cell>
          <cell r="G1063">
            <v>20000</v>
          </cell>
          <cell r="H1063" t="str">
            <v>Nacional</v>
          </cell>
          <cell r="I1063">
            <v>8</v>
          </cell>
          <cell r="J1063" t="str">
            <v>STD</v>
          </cell>
          <cell r="L1063">
            <v>58512.600000000006</v>
          </cell>
          <cell r="M1063">
            <v>2544.0260869565218</v>
          </cell>
          <cell r="O1063" t="str">
            <v>LAINA DE DESCARGA</v>
          </cell>
        </row>
        <row r="1064">
          <cell r="D1064" t="str">
            <v>HTJA030161</v>
          </cell>
          <cell r="E1064" t="str">
            <v>10226750</v>
          </cell>
          <cell r="F1064" t="str">
            <v>AC-2300i DNA (Preforma)</v>
          </cell>
          <cell r="G1064">
            <v>20000</v>
          </cell>
          <cell r="H1064" t="str">
            <v>Nacional</v>
          </cell>
          <cell r="I1064">
            <v>8</v>
          </cell>
          <cell r="J1064" t="str">
            <v>STD</v>
          </cell>
          <cell r="L1064">
            <v>52509.599999999999</v>
          </cell>
          <cell r="M1064">
            <v>2283.0260869565218</v>
          </cell>
          <cell r="O1064" t="str">
            <v>LAINA DE DESCARGA</v>
          </cell>
        </row>
        <row r="1065">
          <cell r="D1065" t="str">
            <v>HTJA030161</v>
          </cell>
          <cell r="E1065" t="str">
            <v>7553050217</v>
          </cell>
          <cell r="F1065" t="str">
            <v>AC-2600i PT-Turbo</v>
          </cell>
          <cell r="G1065">
            <v>20000</v>
          </cell>
          <cell r="H1065" t="str">
            <v>Nacional</v>
          </cell>
          <cell r="I1065">
            <v>8</v>
          </cell>
          <cell r="J1065" t="str">
            <v>STD</v>
          </cell>
          <cell r="L1065">
            <v>37981.199999999997</v>
          </cell>
          <cell r="M1065">
            <v>1651.3565217391304</v>
          </cell>
          <cell r="O1065" t="str">
            <v>LAINA DE DESCARGA</v>
          </cell>
        </row>
        <row r="1066">
          <cell r="D1066" t="str">
            <v>HTJA030161</v>
          </cell>
          <cell r="E1066" t="str">
            <v>10001024R</v>
          </cell>
          <cell r="F1066" t="str">
            <v>AC-2600i Ford Escape</v>
          </cell>
          <cell r="G1066">
            <v>20000</v>
          </cell>
          <cell r="H1066" t="str">
            <v>Nacional</v>
          </cell>
          <cell r="I1066">
            <v>8</v>
          </cell>
          <cell r="J1066" t="str">
            <v>STD</v>
          </cell>
          <cell r="L1066">
            <v>59203</v>
          </cell>
          <cell r="M1066">
            <v>2574.0434782608695</v>
          </cell>
          <cell r="O1066" t="str">
            <v>LAINA DE DESCARGA</v>
          </cell>
        </row>
        <row r="1067">
          <cell r="D1067" t="str">
            <v>HTJA030161</v>
          </cell>
          <cell r="E1067" t="str">
            <v>10226752</v>
          </cell>
          <cell r="F1067" t="str">
            <v>AC-2600i DNA (Preforma)</v>
          </cell>
          <cell r="G1067">
            <v>20000</v>
          </cell>
          <cell r="H1067" t="str">
            <v>Nacional</v>
          </cell>
          <cell r="I1067">
            <v>8</v>
          </cell>
          <cell r="J1067" t="str">
            <v>STD</v>
          </cell>
          <cell r="L1067">
            <v>31536</v>
          </cell>
          <cell r="M1067">
            <v>1371.1304347826087</v>
          </cell>
          <cell r="O1067" t="str">
            <v>LAINA DE DESCARGA</v>
          </cell>
        </row>
        <row r="1068">
          <cell r="D1068" t="str">
            <v>HTJA030161</v>
          </cell>
          <cell r="E1068" t="str">
            <v>10054551</v>
          </cell>
          <cell r="F1068" t="str">
            <v>AC-2650 JC49 / GS PLT / DNA</v>
          </cell>
          <cell r="G1068">
            <v>20000</v>
          </cell>
          <cell r="H1068" t="str">
            <v>Nacional</v>
          </cell>
          <cell r="I1068">
            <v>8</v>
          </cell>
          <cell r="J1068" t="str">
            <v>STD</v>
          </cell>
          <cell r="L1068">
            <v>11932</v>
          </cell>
          <cell r="M1068">
            <v>518.78260869565213</v>
          </cell>
          <cell r="O1068" t="str">
            <v>LAINA DE DESCARGA</v>
          </cell>
        </row>
        <row r="1069">
          <cell r="D1069" t="str">
            <v>HTJA030161</v>
          </cell>
          <cell r="E1069" t="str">
            <v>10226751</v>
          </cell>
          <cell r="F1069" t="str">
            <v>AC-2650 DNA</v>
          </cell>
          <cell r="G1069">
            <v>20000</v>
          </cell>
          <cell r="H1069" t="str">
            <v>Nacional</v>
          </cell>
          <cell r="I1069">
            <v>8</v>
          </cell>
          <cell r="J1069" t="str">
            <v>STD</v>
          </cell>
          <cell r="L1069">
            <v>24453</v>
          </cell>
          <cell r="M1069">
            <v>1063.1739130434783</v>
          </cell>
          <cell r="O1069" t="str">
            <v>LAINA DE DESCARGA</v>
          </cell>
        </row>
        <row r="1070">
          <cell r="D1070" t="str">
            <v>HTJA030161</v>
          </cell>
          <cell r="E1070" t="str">
            <v>8152050226</v>
          </cell>
          <cell r="F1070" t="str">
            <v>UF-2600i PQ-35 VW</v>
          </cell>
          <cell r="G1070">
            <v>20000</v>
          </cell>
          <cell r="H1070" t="str">
            <v>Nacional</v>
          </cell>
          <cell r="I1070">
            <v>8</v>
          </cell>
          <cell r="J1070" t="str">
            <v>STD</v>
          </cell>
          <cell r="L1070">
            <v>38227.399999999994</v>
          </cell>
          <cell r="M1070">
            <v>1662.0608695652172</v>
          </cell>
          <cell r="O1070" t="str">
            <v>LAINA DE DESCARGA</v>
          </cell>
        </row>
        <row r="1071">
          <cell r="D1071" t="str">
            <v>HTJA030161</v>
          </cell>
          <cell r="E1071" t="str">
            <v>10060762</v>
          </cell>
          <cell r="F1071" t="str">
            <v>UF-2600i Ford Explorer</v>
          </cell>
          <cell r="G1071">
            <v>20000</v>
          </cell>
          <cell r="H1071" t="str">
            <v>Nacional</v>
          </cell>
          <cell r="I1071">
            <v>8</v>
          </cell>
          <cell r="J1071" t="str">
            <v>STD</v>
          </cell>
          <cell r="L1071">
            <v>0</v>
          </cell>
          <cell r="M1071">
            <v>0</v>
          </cell>
          <cell r="O1071" t="str">
            <v>LAINA DE DESCARGA</v>
          </cell>
        </row>
        <row r="1072">
          <cell r="D1072" t="str">
            <v>HTJA030161</v>
          </cell>
          <cell r="E1072" t="str">
            <v>00806088</v>
          </cell>
          <cell r="F1072" t="str">
            <v>UF-2600i Hyundai</v>
          </cell>
          <cell r="G1072">
            <v>20000</v>
          </cell>
          <cell r="H1072" t="str">
            <v>Nacional</v>
          </cell>
          <cell r="I1072">
            <v>8</v>
          </cell>
          <cell r="J1072" t="str">
            <v>STD</v>
          </cell>
          <cell r="L1072">
            <v>0</v>
          </cell>
          <cell r="M1072">
            <v>0</v>
          </cell>
          <cell r="O1072" t="str">
            <v>LAINA DE DESCARGA</v>
          </cell>
        </row>
        <row r="1073">
          <cell r="D1073" t="str">
            <v>HTJA030161</v>
          </cell>
          <cell r="E1073" t="str">
            <v>10235857</v>
          </cell>
          <cell r="F1073" t="str">
            <v>UF-2600i DNA (Preforma)</v>
          </cell>
          <cell r="G1073">
            <v>20000</v>
          </cell>
          <cell r="H1073" t="str">
            <v>Nacional</v>
          </cell>
          <cell r="I1073">
            <v>8</v>
          </cell>
          <cell r="J1073" t="str">
            <v>STD</v>
          </cell>
          <cell r="L1073">
            <v>0</v>
          </cell>
          <cell r="M1073">
            <v>0</v>
          </cell>
          <cell r="O1073" t="str">
            <v>LAINA DE DESCARGA</v>
          </cell>
        </row>
        <row r="1074">
          <cell r="D1074" t="str">
            <v>HTJA030161</v>
          </cell>
          <cell r="E1074" t="str">
            <v>10018041</v>
          </cell>
          <cell r="F1074" t="str">
            <v>UF-3300i W</v>
          </cell>
          <cell r="G1074">
            <v>20000</v>
          </cell>
          <cell r="H1074" t="str">
            <v>Nacional</v>
          </cell>
          <cell r="I1074">
            <v>8</v>
          </cell>
          <cell r="J1074" t="str">
            <v>STD</v>
          </cell>
          <cell r="L1074">
            <v>13520.454678603319</v>
          </cell>
          <cell r="M1074">
            <v>587.84585559144864</v>
          </cell>
          <cell r="O1074" t="str">
            <v>LAINA DE DESCARGA</v>
          </cell>
        </row>
        <row r="1075">
          <cell r="D1075" t="str">
            <v>HTJA030161</v>
          </cell>
          <cell r="E1075" t="str">
            <v>10009621</v>
          </cell>
          <cell r="F1075" t="str">
            <v>UF-4600i W</v>
          </cell>
          <cell r="G1075">
            <v>20000</v>
          </cell>
          <cell r="H1075" t="str">
            <v>Nacional</v>
          </cell>
          <cell r="I1075">
            <v>8</v>
          </cell>
          <cell r="J1075" t="str">
            <v>STD</v>
          </cell>
          <cell r="L1075">
            <v>33932.483034337194</v>
          </cell>
          <cell r="M1075">
            <v>1475.3253493190084</v>
          </cell>
          <cell r="O1075" t="str">
            <v>LAINA DE DESCARGA</v>
          </cell>
        </row>
        <row r="1076">
          <cell r="D1076" t="str">
            <v>HTJA030161</v>
          </cell>
          <cell r="E1076" t="str">
            <v>7056050202</v>
          </cell>
          <cell r="F1076" t="str">
            <v>A4 RF-91 Concept One</v>
          </cell>
          <cell r="G1076">
            <v>20000</v>
          </cell>
          <cell r="H1076" t="str">
            <v>Nacional</v>
          </cell>
          <cell r="I1076">
            <v>8</v>
          </cell>
          <cell r="J1076" t="str">
            <v>STD</v>
          </cell>
          <cell r="L1076">
            <v>0</v>
          </cell>
          <cell r="M1076">
            <v>0</v>
          </cell>
          <cell r="O1076" t="str">
            <v>LAINA DE DESCARGA</v>
          </cell>
        </row>
        <row r="1077">
          <cell r="D1077" t="str">
            <v>HTJA030161</v>
          </cell>
          <cell r="E1077" t="str">
            <v>7174050203</v>
          </cell>
          <cell r="F1077" t="str">
            <v>A4 RF-95</v>
          </cell>
          <cell r="G1077">
            <v>20000</v>
          </cell>
          <cell r="H1077" t="str">
            <v>Nacional</v>
          </cell>
          <cell r="I1077">
            <v>8</v>
          </cell>
          <cell r="J1077" t="str">
            <v>STD</v>
          </cell>
          <cell r="L1077">
            <v>8133.6</v>
          </cell>
          <cell r="M1077">
            <v>353.63478260869567</v>
          </cell>
          <cell r="O1077" t="str">
            <v>LAINA DE DESCARGA</v>
          </cell>
        </row>
        <row r="1078">
          <cell r="D1078" t="str">
            <v>HTJA030162</v>
          </cell>
          <cell r="E1078" t="str">
            <v>8647050233</v>
          </cell>
          <cell r="F1078" t="str">
            <v>AC-2000i Honda Acura</v>
          </cell>
          <cell r="G1078">
            <v>100000</v>
          </cell>
          <cell r="H1078" t="str">
            <v>Nacional</v>
          </cell>
          <cell r="I1078">
            <v>10</v>
          </cell>
          <cell r="J1078" t="str">
            <v>UF-3300</v>
          </cell>
          <cell r="L1078">
            <v>74801.200000000012</v>
          </cell>
          <cell r="M1078">
            <v>3252.2260869565221</v>
          </cell>
          <cell r="O1078" t="str">
            <v>LAINA DE DESCARGA</v>
          </cell>
        </row>
        <row r="1079">
          <cell r="D1079" t="str">
            <v>HTJA030162</v>
          </cell>
          <cell r="E1079" t="str">
            <v>10232841</v>
          </cell>
          <cell r="F1079" t="str">
            <v>AC-2000i DNA (Preforma)</v>
          </cell>
          <cell r="G1079">
            <v>100000</v>
          </cell>
          <cell r="H1079" t="str">
            <v>Nacional</v>
          </cell>
          <cell r="I1079">
            <v>10</v>
          </cell>
          <cell r="J1079" t="str">
            <v>UF-3300</v>
          </cell>
          <cell r="L1079">
            <v>101200</v>
          </cell>
          <cell r="M1079">
            <v>4400</v>
          </cell>
          <cell r="O1079" t="str">
            <v>LAINA DE DESCARGA</v>
          </cell>
        </row>
        <row r="1080">
          <cell r="D1080" t="str">
            <v>HTJA030162</v>
          </cell>
          <cell r="E1080" t="str">
            <v>4302091005</v>
          </cell>
          <cell r="F1080" t="str">
            <v>C-2000 PL-BODY</v>
          </cell>
          <cell r="G1080">
            <v>100000</v>
          </cell>
          <cell r="H1080" t="str">
            <v>Nacional</v>
          </cell>
          <cell r="I1080">
            <v>10</v>
          </cell>
          <cell r="J1080" t="str">
            <v>UF-3300</v>
          </cell>
          <cell r="L1080">
            <v>1811</v>
          </cell>
          <cell r="M1080">
            <v>78.739130434782609</v>
          </cell>
          <cell r="O1080" t="str">
            <v>LAINA DE DESCARGA</v>
          </cell>
        </row>
        <row r="1081">
          <cell r="D1081" t="str">
            <v>HTJA030162</v>
          </cell>
          <cell r="E1081" t="str">
            <v>7324050215</v>
          </cell>
          <cell r="F1081" t="str">
            <v>AC-2300i PT-44</v>
          </cell>
          <cell r="G1081">
            <v>100000</v>
          </cell>
          <cell r="H1081" t="str">
            <v>Nacional</v>
          </cell>
          <cell r="I1081">
            <v>10</v>
          </cell>
          <cell r="J1081" t="str">
            <v>UF-3300</v>
          </cell>
          <cell r="L1081">
            <v>44731.400000000009</v>
          </cell>
          <cell r="M1081">
            <v>1944.8434782608699</v>
          </cell>
          <cell r="O1081" t="str">
            <v>LAINA DE DESCARGA</v>
          </cell>
        </row>
        <row r="1082">
          <cell r="D1082" t="str">
            <v>HTJA030162</v>
          </cell>
          <cell r="E1082" t="str">
            <v>10226750</v>
          </cell>
          <cell r="F1082" t="str">
            <v>AC-2300i DNA (Preforma)</v>
          </cell>
          <cell r="G1082">
            <v>100000</v>
          </cell>
          <cell r="H1082" t="str">
            <v>Nacional</v>
          </cell>
          <cell r="I1082">
            <v>10</v>
          </cell>
          <cell r="J1082" t="str">
            <v>UF-3300</v>
          </cell>
          <cell r="L1082">
            <v>49420.800000000003</v>
          </cell>
          <cell r="M1082">
            <v>2148.7304347826089</v>
          </cell>
          <cell r="O1082" t="str">
            <v>LAINA DE DESCARGA</v>
          </cell>
        </row>
        <row r="1083">
          <cell r="D1083" t="str">
            <v>HTJA030162</v>
          </cell>
          <cell r="E1083" t="str">
            <v>7553050217</v>
          </cell>
          <cell r="F1083" t="str">
            <v>AC-2600i PT-Turbo</v>
          </cell>
          <cell r="G1083">
            <v>100000</v>
          </cell>
          <cell r="H1083" t="str">
            <v>Nacional</v>
          </cell>
          <cell r="I1083">
            <v>10</v>
          </cell>
          <cell r="J1083" t="str">
            <v>UF-3300</v>
          </cell>
          <cell r="L1083">
            <v>34957.999999999993</v>
          </cell>
          <cell r="M1083">
            <v>1519.9130434782605</v>
          </cell>
          <cell r="O1083" t="str">
            <v>LAINA DE DESCARGA</v>
          </cell>
        </row>
        <row r="1084">
          <cell r="D1084" t="str">
            <v>HTJA030162</v>
          </cell>
          <cell r="E1084" t="str">
            <v>10001024R</v>
          </cell>
          <cell r="F1084" t="str">
            <v>AC-2600i Ford Escape</v>
          </cell>
          <cell r="G1084">
            <v>100000</v>
          </cell>
          <cell r="H1084" t="str">
            <v>Nacional</v>
          </cell>
          <cell r="I1084">
            <v>10</v>
          </cell>
          <cell r="J1084" t="str">
            <v>UF-3300</v>
          </cell>
          <cell r="L1084">
            <v>56501.200000000004</v>
          </cell>
          <cell r="M1084">
            <v>2456.5739130434786</v>
          </cell>
          <cell r="O1084" t="str">
            <v>LAINA DE DESCARGA</v>
          </cell>
        </row>
        <row r="1085">
          <cell r="D1085" t="str">
            <v>HTJA030162</v>
          </cell>
          <cell r="E1085" t="str">
            <v>10226752</v>
          </cell>
          <cell r="F1085" t="str">
            <v>AC-2600i DNA (Preforma)</v>
          </cell>
          <cell r="G1085">
            <v>100000</v>
          </cell>
          <cell r="H1085" t="str">
            <v>Nacional</v>
          </cell>
          <cell r="I1085">
            <v>10</v>
          </cell>
          <cell r="J1085" t="str">
            <v>UF-3300</v>
          </cell>
          <cell r="L1085">
            <v>26784</v>
          </cell>
          <cell r="M1085">
            <v>1164.5217391304348</v>
          </cell>
          <cell r="O1085" t="str">
            <v>LAINA DE DESCARGA</v>
          </cell>
        </row>
        <row r="1086">
          <cell r="D1086" t="str">
            <v>HTJA030162</v>
          </cell>
          <cell r="E1086" t="str">
            <v>10054551</v>
          </cell>
          <cell r="F1086" t="str">
            <v>AC-2650 JC49 / GS PLT / DNA</v>
          </cell>
          <cell r="G1086">
            <v>100000</v>
          </cell>
          <cell r="H1086" t="str">
            <v>Nacional</v>
          </cell>
          <cell r="I1086">
            <v>10</v>
          </cell>
          <cell r="J1086" t="str">
            <v>UF-3300</v>
          </cell>
          <cell r="L1086">
            <v>7516.4</v>
          </cell>
          <cell r="M1086">
            <v>326.8</v>
          </cell>
          <cell r="O1086" t="str">
            <v>LAINA DE DESCARGA</v>
          </cell>
        </row>
        <row r="1087">
          <cell r="D1087" t="str">
            <v>HTJA030162</v>
          </cell>
          <cell r="E1087" t="str">
            <v>10226751</v>
          </cell>
          <cell r="F1087" t="str">
            <v>AC-2650 DNA</v>
          </cell>
          <cell r="G1087">
            <v>100000</v>
          </cell>
          <cell r="H1087" t="str">
            <v>Nacional</v>
          </cell>
          <cell r="I1087">
            <v>10</v>
          </cell>
          <cell r="J1087" t="str">
            <v>UF-3300</v>
          </cell>
          <cell r="L1087">
            <v>14227.2</v>
          </cell>
          <cell r="M1087">
            <v>618.57391304347834</v>
          </cell>
          <cell r="O1087" t="str">
            <v>LAINA DE DESCARGA</v>
          </cell>
        </row>
        <row r="1088">
          <cell r="D1088" t="str">
            <v>HTJA030162</v>
          </cell>
          <cell r="E1088" t="str">
            <v>8152050226</v>
          </cell>
          <cell r="F1088" t="str">
            <v>UF-2600i PQ-35 VW</v>
          </cell>
          <cell r="G1088">
            <v>100000</v>
          </cell>
          <cell r="H1088" t="str">
            <v>Nacional</v>
          </cell>
          <cell r="I1088">
            <v>10</v>
          </cell>
          <cell r="J1088" t="str">
            <v>UF-3300</v>
          </cell>
          <cell r="L1088">
            <v>67111.400000000023</v>
          </cell>
          <cell r="M1088">
            <v>2917.8869565217401</v>
          </cell>
          <cell r="O1088" t="str">
            <v>LAINA DE DESCARGA</v>
          </cell>
        </row>
        <row r="1089">
          <cell r="D1089" t="str">
            <v>HTJA030162</v>
          </cell>
          <cell r="E1089" t="str">
            <v>10060762</v>
          </cell>
          <cell r="F1089" t="str">
            <v>UF-2600i Ford Explorer</v>
          </cell>
          <cell r="G1089">
            <v>100000</v>
          </cell>
          <cell r="H1089" t="str">
            <v>Nacional</v>
          </cell>
          <cell r="I1089">
            <v>10</v>
          </cell>
          <cell r="J1089" t="str">
            <v>UF-3300</v>
          </cell>
          <cell r="L1089">
            <v>0</v>
          </cell>
          <cell r="M1089">
            <v>0</v>
          </cell>
          <cell r="O1089" t="str">
            <v>LAINA DE DESCARGA</v>
          </cell>
        </row>
        <row r="1090">
          <cell r="D1090" t="str">
            <v>HTJA030162</v>
          </cell>
          <cell r="E1090" t="str">
            <v>00806088</v>
          </cell>
          <cell r="F1090" t="str">
            <v>UF-2600i Hyundai</v>
          </cell>
          <cell r="G1090">
            <v>100000</v>
          </cell>
          <cell r="H1090" t="str">
            <v>Nacional</v>
          </cell>
          <cell r="I1090">
            <v>10</v>
          </cell>
          <cell r="J1090" t="str">
            <v>UF-3300</v>
          </cell>
          <cell r="L1090">
            <v>0</v>
          </cell>
          <cell r="M1090">
            <v>0</v>
          </cell>
          <cell r="O1090" t="str">
            <v>LAINA DE DESCARGA</v>
          </cell>
        </row>
        <row r="1091">
          <cell r="D1091" t="str">
            <v>HTJA030162</v>
          </cell>
          <cell r="E1091" t="str">
            <v>10235857</v>
          </cell>
          <cell r="F1091" t="str">
            <v>UF-2600i DNA (Preforma)</v>
          </cell>
          <cell r="G1091">
            <v>100000</v>
          </cell>
          <cell r="H1091" t="str">
            <v>Nacional</v>
          </cell>
          <cell r="I1091">
            <v>10</v>
          </cell>
          <cell r="J1091" t="str">
            <v>UF-3300</v>
          </cell>
          <cell r="L1091">
            <v>0</v>
          </cell>
          <cell r="M1091">
            <v>0</v>
          </cell>
          <cell r="O1091" t="str">
            <v>LAINA DE DESCARGA</v>
          </cell>
        </row>
        <row r="1092">
          <cell r="D1092" t="str">
            <v>HTJA030162</v>
          </cell>
          <cell r="E1092" t="str">
            <v>10018041</v>
          </cell>
          <cell r="F1092" t="str">
            <v>UF-3300i W</v>
          </cell>
          <cell r="G1092">
            <v>100000</v>
          </cell>
          <cell r="H1092" t="str">
            <v>Nacional</v>
          </cell>
          <cell r="I1092">
            <v>10</v>
          </cell>
          <cell r="J1092" t="str">
            <v>UF-3300</v>
          </cell>
          <cell r="L1092">
            <v>14212.800000000001</v>
          </cell>
          <cell r="M1092">
            <v>617.94782608695652</v>
          </cell>
          <cell r="O1092" t="str">
            <v>LAINA DE DESCARGA</v>
          </cell>
        </row>
        <row r="1093">
          <cell r="D1093" t="str">
            <v>HTJA030162</v>
          </cell>
          <cell r="E1093" t="str">
            <v>10009621</v>
          </cell>
          <cell r="F1093" t="str">
            <v>UF-4600i W</v>
          </cell>
          <cell r="G1093">
            <v>100000</v>
          </cell>
          <cell r="H1093" t="str">
            <v>Nacional</v>
          </cell>
          <cell r="I1093">
            <v>10</v>
          </cell>
          <cell r="J1093" t="str">
            <v>UF-3300</v>
          </cell>
          <cell r="L1093">
            <v>30182.199999999997</v>
          </cell>
          <cell r="M1093">
            <v>1312.2695652173911</v>
          </cell>
          <cell r="O1093" t="str">
            <v>LAINA DE DESCARGA</v>
          </cell>
        </row>
        <row r="1094">
          <cell r="D1094" t="str">
            <v>HTJA030162</v>
          </cell>
          <cell r="E1094" t="str">
            <v>7056050202</v>
          </cell>
          <cell r="F1094" t="str">
            <v>A4 RF-91 Concept One</v>
          </cell>
          <cell r="G1094">
            <v>100000</v>
          </cell>
          <cell r="H1094" t="str">
            <v>Nacional</v>
          </cell>
          <cell r="I1094">
            <v>10</v>
          </cell>
          <cell r="J1094" t="str">
            <v>UF-3300</v>
          </cell>
          <cell r="L1094">
            <v>0</v>
          </cell>
          <cell r="M1094">
            <v>0</v>
          </cell>
          <cell r="O1094" t="str">
            <v>LAINA DE DESCARGA</v>
          </cell>
        </row>
        <row r="1095">
          <cell r="D1095" t="str">
            <v>HTJA030162</v>
          </cell>
          <cell r="E1095" t="str">
            <v>7174050203</v>
          </cell>
          <cell r="F1095" t="str">
            <v>A4 RF-95</v>
          </cell>
          <cell r="G1095">
            <v>100000</v>
          </cell>
          <cell r="H1095" t="str">
            <v>Nacional</v>
          </cell>
          <cell r="I1095">
            <v>10</v>
          </cell>
          <cell r="J1095" t="str">
            <v>UF-3300</v>
          </cell>
          <cell r="L1095">
            <v>6412.2000000000007</v>
          </cell>
          <cell r="M1095">
            <v>278.7913043478261</v>
          </cell>
          <cell r="O1095" t="str">
            <v>LAINA DE DESCARGA</v>
          </cell>
        </row>
        <row r="1096">
          <cell r="D1096" t="str">
            <v>HTJA030163</v>
          </cell>
          <cell r="E1096" t="str">
            <v>8647050233</v>
          </cell>
          <cell r="F1096" t="str">
            <v>AC-2000i Honda Acura</v>
          </cell>
          <cell r="G1096">
            <v>100000</v>
          </cell>
          <cell r="H1096" t="str">
            <v>Profirrol</v>
          </cell>
          <cell r="I1096">
            <v>30</v>
          </cell>
          <cell r="J1096" t="str">
            <v>STD</v>
          </cell>
          <cell r="L1096">
            <v>74729.200000000012</v>
          </cell>
          <cell r="M1096">
            <v>3249.0956521739135</v>
          </cell>
          <cell r="O1096" t="str">
            <v>TORNILLO DISPOSITIVO MEDIDOR</v>
          </cell>
        </row>
        <row r="1097">
          <cell r="D1097" t="str">
            <v>HTJA030163</v>
          </cell>
          <cell r="E1097" t="str">
            <v>10232841</v>
          </cell>
          <cell r="F1097" t="str">
            <v>AC-2000i DNA (Preforma)</v>
          </cell>
          <cell r="G1097">
            <v>100000</v>
          </cell>
          <cell r="H1097" t="str">
            <v>Profirrol</v>
          </cell>
          <cell r="I1097">
            <v>30</v>
          </cell>
          <cell r="J1097" t="str">
            <v>STD</v>
          </cell>
          <cell r="L1097">
            <v>99000</v>
          </cell>
          <cell r="M1097">
            <v>4304.347826086957</v>
          </cell>
          <cell r="O1097" t="str">
            <v>TORNILLO DISPOSITIVO MEDIDOR</v>
          </cell>
        </row>
        <row r="1098">
          <cell r="D1098" t="str">
            <v>HTJA030163</v>
          </cell>
          <cell r="E1098" t="str">
            <v>4302091005</v>
          </cell>
          <cell r="F1098" t="str">
            <v>C-2000 PL-BODY</v>
          </cell>
          <cell r="G1098">
            <v>100000</v>
          </cell>
          <cell r="H1098" t="str">
            <v>Profirrol</v>
          </cell>
          <cell r="I1098">
            <v>30</v>
          </cell>
          <cell r="J1098" t="str">
            <v>STD</v>
          </cell>
          <cell r="L1098">
            <v>0</v>
          </cell>
          <cell r="M1098">
            <v>0</v>
          </cell>
          <cell r="O1098" t="str">
            <v>TORNILLO DISPOSITIVO MEDIDOR</v>
          </cell>
        </row>
        <row r="1099">
          <cell r="D1099" t="str">
            <v>HTJA030163</v>
          </cell>
          <cell r="E1099" t="str">
            <v>7324050215</v>
          </cell>
          <cell r="F1099" t="str">
            <v>AC-2300i PT-44</v>
          </cell>
          <cell r="G1099">
            <v>100000</v>
          </cell>
          <cell r="H1099" t="str">
            <v>Profirrol</v>
          </cell>
          <cell r="I1099">
            <v>30</v>
          </cell>
          <cell r="J1099" t="str">
            <v>STD</v>
          </cell>
          <cell r="L1099">
            <v>58512.600000000006</v>
          </cell>
          <cell r="M1099">
            <v>2544.0260869565218</v>
          </cell>
          <cell r="O1099" t="str">
            <v>TORNILLO DISPOSITIVO MEDIDOR</v>
          </cell>
        </row>
        <row r="1100">
          <cell r="D1100" t="str">
            <v>HTJA030163</v>
          </cell>
          <cell r="E1100" t="str">
            <v>10226750</v>
          </cell>
          <cell r="F1100" t="str">
            <v>AC-2300i DNA (Preforma)</v>
          </cell>
          <cell r="G1100">
            <v>100000</v>
          </cell>
          <cell r="H1100" t="str">
            <v>Profirrol</v>
          </cell>
          <cell r="I1100">
            <v>30</v>
          </cell>
          <cell r="J1100" t="str">
            <v>STD</v>
          </cell>
          <cell r="L1100">
            <v>52509.599999999999</v>
          </cell>
          <cell r="M1100">
            <v>2283.0260869565218</v>
          </cell>
          <cell r="O1100" t="str">
            <v>TORNILLO DISPOSITIVO MEDIDOR</v>
          </cell>
        </row>
        <row r="1101">
          <cell r="D1101" t="str">
            <v>HTJA030163</v>
          </cell>
          <cell r="E1101" t="str">
            <v>7553050217</v>
          </cell>
          <cell r="F1101" t="str">
            <v>AC-2600i PT-Turbo</v>
          </cell>
          <cell r="G1101">
            <v>100000</v>
          </cell>
          <cell r="H1101" t="str">
            <v>Profirrol</v>
          </cell>
          <cell r="I1101">
            <v>30</v>
          </cell>
          <cell r="J1101" t="str">
            <v>STD</v>
          </cell>
          <cell r="L1101">
            <v>37981.199999999997</v>
          </cell>
          <cell r="M1101">
            <v>1651.3565217391304</v>
          </cell>
          <cell r="O1101" t="str">
            <v>TORNILLO DISPOSITIVO MEDIDOR</v>
          </cell>
        </row>
        <row r="1102">
          <cell r="D1102" t="str">
            <v>HTJA030163</v>
          </cell>
          <cell r="E1102" t="str">
            <v>10001024R</v>
          </cell>
          <cell r="F1102" t="str">
            <v>AC-2600i Ford Escape</v>
          </cell>
          <cell r="G1102">
            <v>100000</v>
          </cell>
          <cell r="H1102" t="str">
            <v>Profirrol</v>
          </cell>
          <cell r="I1102">
            <v>30</v>
          </cell>
          <cell r="J1102" t="str">
            <v>STD</v>
          </cell>
          <cell r="L1102">
            <v>59203</v>
          </cell>
          <cell r="M1102">
            <v>2574.0434782608695</v>
          </cell>
          <cell r="O1102" t="str">
            <v>TORNILLO DISPOSITIVO MEDIDOR</v>
          </cell>
        </row>
        <row r="1103">
          <cell r="D1103" t="str">
            <v>HTJA030163</v>
          </cell>
          <cell r="E1103" t="str">
            <v>10226752</v>
          </cell>
          <cell r="F1103" t="str">
            <v>AC-2600i DNA (Preforma)</v>
          </cell>
          <cell r="G1103">
            <v>100000</v>
          </cell>
          <cell r="H1103" t="str">
            <v>Profirrol</v>
          </cell>
          <cell r="I1103">
            <v>30</v>
          </cell>
          <cell r="J1103" t="str">
            <v>STD</v>
          </cell>
          <cell r="L1103">
            <v>31536</v>
          </cell>
          <cell r="M1103">
            <v>1371.1304347826087</v>
          </cell>
          <cell r="O1103" t="str">
            <v>TORNILLO DISPOSITIVO MEDIDOR</v>
          </cell>
        </row>
        <row r="1104">
          <cell r="D1104" t="str">
            <v>HTJA030163</v>
          </cell>
          <cell r="E1104" t="str">
            <v>10054551</v>
          </cell>
          <cell r="F1104" t="str">
            <v>AC-2650 JC49 / GS PLT / DNA</v>
          </cell>
          <cell r="G1104">
            <v>100000</v>
          </cell>
          <cell r="H1104" t="str">
            <v>Profirrol</v>
          </cell>
          <cell r="I1104">
            <v>30</v>
          </cell>
          <cell r="J1104" t="str">
            <v>STD</v>
          </cell>
          <cell r="L1104">
            <v>11932</v>
          </cell>
          <cell r="M1104">
            <v>518.78260869565213</v>
          </cell>
          <cell r="O1104" t="str">
            <v>TORNILLO DISPOSITIVO MEDIDOR</v>
          </cell>
        </row>
        <row r="1105">
          <cell r="D1105" t="str">
            <v>HTJA030163</v>
          </cell>
          <cell r="E1105" t="str">
            <v>10226751</v>
          </cell>
          <cell r="F1105" t="str">
            <v>AC-2650 DNA</v>
          </cell>
          <cell r="G1105">
            <v>100000</v>
          </cell>
          <cell r="H1105" t="str">
            <v>Profirrol</v>
          </cell>
          <cell r="I1105">
            <v>30</v>
          </cell>
          <cell r="J1105" t="str">
            <v>STD</v>
          </cell>
          <cell r="L1105">
            <v>24453</v>
          </cell>
          <cell r="M1105">
            <v>1063.1739130434783</v>
          </cell>
          <cell r="O1105" t="str">
            <v>TORNILLO DISPOSITIVO MEDIDOR</v>
          </cell>
        </row>
        <row r="1106">
          <cell r="D1106" t="str">
            <v>HTJA030163</v>
          </cell>
          <cell r="E1106" t="str">
            <v>8152050226</v>
          </cell>
          <cell r="F1106" t="str">
            <v>UF-2600i PQ-35 VW</v>
          </cell>
          <cell r="G1106">
            <v>100000</v>
          </cell>
          <cell r="H1106" t="str">
            <v>Profirrol</v>
          </cell>
          <cell r="I1106">
            <v>30</v>
          </cell>
          <cell r="J1106" t="str">
            <v>STD</v>
          </cell>
          <cell r="L1106">
            <v>38227.399999999994</v>
          </cell>
          <cell r="M1106">
            <v>1662.0608695652172</v>
          </cell>
          <cell r="O1106" t="str">
            <v>TORNILLO DISPOSITIVO MEDIDOR</v>
          </cell>
        </row>
        <row r="1107">
          <cell r="D1107" t="str">
            <v>HTJA030163</v>
          </cell>
          <cell r="E1107" t="str">
            <v>10060762</v>
          </cell>
          <cell r="F1107" t="str">
            <v>UF-2600i Ford Explorer</v>
          </cell>
          <cell r="G1107">
            <v>100000</v>
          </cell>
          <cell r="H1107" t="str">
            <v>Profirrol</v>
          </cell>
          <cell r="I1107">
            <v>30</v>
          </cell>
          <cell r="J1107" t="str">
            <v>STD</v>
          </cell>
          <cell r="L1107">
            <v>0</v>
          </cell>
          <cell r="M1107">
            <v>0</v>
          </cell>
          <cell r="O1107" t="str">
            <v>TORNILLO DISPOSITIVO MEDIDOR</v>
          </cell>
        </row>
        <row r="1108">
          <cell r="D1108" t="str">
            <v>HTJA030163</v>
          </cell>
          <cell r="E1108" t="str">
            <v>00806088</v>
          </cell>
          <cell r="F1108" t="str">
            <v>UF-2600i Hyundai</v>
          </cell>
          <cell r="G1108">
            <v>100000</v>
          </cell>
          <cell r="H1108" t="str">
            <v>Profirrol</v>
          </cell>
          <cell r="I1108">
            <v>30</v>
          </cell>
          <cell r="J1108" t="str">
            <v>STD</v>
          </cell>
          <cell r="L1108">
            <v>0</v>
          </cell>
          <cell r="M1108">
            <v>0</v>
          </cell>
          <cell r="O1108" t="str">
            <v>TORNILLO DISPOSITIVO MEDIDOR</v>
          </cell>
        </row>
        <row r="1109">
          <cell r="D1109" t="str">
            <v>HTJA030163</v>
          </cell>
          <cell r="E1109" t="str">
            <v>10235857</v>
          </cell>
          <cell r="F1109" t="str">
            <v>UF-2600i DNA (Preforma)</v>
          </cell>
          <cell r="G1109">
            <v>100000</v>
          </cell>
          <cell r="H1109" t="str">
            <v>Profirrol</v>
          </cell>
          <cell r="I1109">
            <v>30</v>
          </cell>
          <cell r="J1109" t="str">
            <v>STD</v>
          </cell>
          <cell r="L1109">
            <v>0</v>
          </cell>
          <cell r="M1109">
            <v>0</v>
          </cell>
          <cell r="O1109" t="str">
            <v>TORNILLO DISPOSITIVO MEDIDOR</v>
          </cell>
        </row>
        <row r="1110">
          <cell r="D1110" t="str">
            <v>HTJA030163</v>
          </cell>
          <cell r="E1110" t="str">
            <v>10018041</v>
          </cell>
          <cell r="F1110" t="str">
            <v>UF-3300i W</v>
          </cell>
          <cell r="G1110">
            <v>100000</v>
          </cell>
          <cell r="H1110" t="str">
            <v>Profirrol</v>
          </cell>
          <cell r="I1110">
            <v>30</v>
          </cell>
          <cell r="J1110" t="str">
            <v>STD</v>
          </cell>
          <cell r="L1110">
            <v>13520.454678603319</v>
          </cell>
          <cell r="M1110">
            <v>587.84585559144864</v>
          </cell>
          <cell r="O1110" t="str">
            <v>TORNILLO DISPOSITIVO MEDIDOR</v>
          </cell>
        </row>
        <row r="1111">
          <cell r="D1111" t="str">
            <v>HTJA030163</v>
          </cell>
          <cell r="E1111" t="str">
            <v>10009621</v>
          </cell>
          <cell r="F1111" t="str">
            <v>UF-4600i W</v>
          </cell>
          <cell r="G1111">
            <v>100000</v>
          </cell>
          <cell r="H1111" t="str">
            <v>Profirrol</v>
          </cell>
          <cell r="I1111">
            <v>30</v>
          </cell>
          <cell r="J1111" t="str">
            <v>STD</v>
          </cell>
          <cell r="L1111">
            <v>33932.483034337194</v>
          </cell>
          <cell r="M1111">
            <v>1475.3253493190084</v>
          </cell>
          <cell r="O1111" t="str">
            <v>TORNILLO DISPOSITIVO MEDIDOR</v>
          </cell>
        </row>
        <row r="1112">
          <cell r="D1112" t="str">
            <v>HTJA030163</v>
          </cell>
          <cell r="E1112" t="str">
            <v>7056050202</v>
          </cell>
          <cell r="F1112" t="str">
            <v>A4 RF-91 Concept One</v>
          </cell>
          <cell r="G1112">
            <v>100000</v>
          </cell>
          <cell r="H1112" t="str">
            <v>Profirrol</v>
          </cell>
          <cell r="I1112">
            <v>30</v>
          </cell>
          <cell r="J1112" t="str">
            <v>STD</v>
          </cell>
          <cell r="L1112">
            <v>0</v>
          </cell>
          <cell r="M1112">
            <v>0</v>
          </cell>
          <cell r="O1112" t="str">
            <v>TORNILLO DISPOSITIVO MEDIDOR</v>
          </cell>
        </row>
        <row r="1113">
          <cell r="D1113" t="str">
            <v>HTJA030163</v>
          </cell>
          <cell r="E1113" t="str">
            <v>7174050203</v>
          </cell>
          <cell r="F1113" t="str">
            <v>A4 RF-95</v>
          </cell>
          <cell r="G1113">
            <v>100000</v>
          </cell>
          <cell r="H1113" t="str">
            <v>Profirrol</v>
          </cell>
          <cell r="I1113">
            <v>30</v>
          </cell>
          <cell r="J1113" t="str">
            <v>STD</v>
          </cell>
          <cell r="L1113">
            <v>8133.6</v>
          </cell>
          <cell r="M1113">
            <v>353.63478260869567</v>
          </cell>
          <cell r="O1113" t="str">
            <v>TORNILLO DISPOSITIVO MEDIDOR</v>
          </cell>
        </row>
        <row r="1114">
          <cell r="D1114" t="str">
            <v>HTJA030164</v>
          </cell>
          <cell r="E1114" t="str">
            <v>7553050217</v>
          </cell>
          <cell r="F1114" t="str">
            <v>AC-2600i PT-Turbo</v>
          </cell>
          <cell r="G1114">
            <v>50000</v>
          </cell>
          <cell r="H1114" t="str">
            <v>Nacional</v>
          </cell>
          <cell r="I1114">
            <v>8</v>
          </cell>
          <cell r="J1114" t="str">
            <v>AC-2600i</v>
          </cell>
          <cell r="L1114">
            <v>34957.999999999993</v>
          </cell>
          <cell r="M1114">
            <v>1519.9130434782605</v>
          </cell>
          <cell r="O1114" t="str">
            <v>MANDRIL (DISEÑO PROFIROLL)</v>
          </cell>
        </row>
        <row r="1115">
          <cell r="D1115" t="str">
            <v>HTJA030164</v>
          </cell>
          <cell r="E1115" t="str">
            <v>10001024R</v>
          </cell>
          <cell r="F1115" t="str">
            <v>AC-2600i Ford Escape</v>
          </cell>
          <cell r="G1115">
            <v>50000</v>
          </cell>
          <cell r="H1115" t="str">
            <v>Nacional</v>
          </cell>
          <cell r="I1115">
            <v>8</v>
          </cell>
          <cell r="J1115" t="str">
            <v>AC-2600i</v>
          </cell>
          <cell r="L1115">
            <v>56501.200000000004</v>
          </cell>
          <cell r="M1115">
            <v>2456.5739130434786</v>
          </cell>
          <cell r="O1115" t="str">
            <v>MANDRIL (DISEÑO PROFIROLL)</v>
          </cell>
        </row>
        <row r="1116">
          <cell r="D1116" t="str">
            <v>HTJA030164</v>
          </cell>
          <cell r="E1116" t="str">
            <v>10226752</v>
          </cell>
          <cell r="F1116" t="str">
            <v>AC-2600i DNA (Preforma)</v>
          </cell>
          <cell r="G1116">
            <v>50000</v>
          </cell>
          <cell r="H1116" t="str">
            <v>Nacional</v>
          </cell>
          <cell r="I1116">
            <v>8</v>
          </cell>
          <cell r="J1116" t="str">
            <v>AC-2600i</v>
          </cell>
          <cell r="L1116">
            <v>26784</v>
          </cell>
          <cell r="M1116">
            <v>1164.5217391304348</v>
          </cell>
          <cell r="O1116" t="str">
            <v>MANDRIL (DISEÑO PROFIROLL)</v>
          </cell>
        </row>
        <row r="1117">
          <cell r="D1117" t="str">
            <v>HTJA030165</v>
          </cell>
          <cell r="E1117" t="str">
            <v>7553050217</v>
          </cell>
          <cell r="F1117" t="str">
            <v>AC-2600i PT-Turbo</v>
          </cell>
          <cell r="G1117">
            <v>25000</v>
          </cell>
          <cell r="H1117" t="str">
            <v>Nacional</v>
          </cell>
          <cell r="I1117">
            <v>8</v>
          </cell>
          <cell r="J1117" t="str">
            <v>AC-2600i</v>
          </cell>
          <cell r="L1117">
            <v>37981.199999999997</v>
          </cell>
          <cell r="M1117">
            <v>1651.3565217391304</v>
          </cell>
          <cell r="O1117" t="str">
            <v>RODILLO (DISEÑO PROFIROLL)</v>
          </cell>
        </row>
        <row r="1118">
          <cell r="D1118" t="str">
            <v>HTJA030165</v>
          </cell>
          <cell r="E1118" t="str">
            <v>10001024R</v>
          </cell>
          <cell r="F1118" t="str">
            <v>AC-2600i Ford Escape</v>
          </cell>
          <cell r="G1118">
            <v>25000</v>
          </cell>
          <cell r="H1118" t="str">
            <v>Nacional</v>
          </cell>
          <cell r="I1118">
            <v>8</v>
          </cell>
          <cell r="J1118" t="str">
            <v>AC-2600i</v>
          </cell>
          <cell r="L1118">
            <v>59203</v>
          </cell>
          <cell r="M1118">
            <v>2574.0434782608695</v>
          </cell>
          <cell r="O1118" t="str">
            <v>RODILLO (DISEÑO PROFIROLL)</v>
          </cell>
        </row>
        <row r="1119">
          <cell r="D1119" t="str">
            <v>HTJA030165</v>
          </cell>
          <cell r="E1119" t="str">
            <v>10226752</v>
          </cell>
          <cell r="F1119" t="str">
            <v>AC-2600i DNA (Preforma)</v>
          </cell>
          <cell r="G1119">
            <v>25000</v>
          </cell>
          <cell r="H1119" t="str">
            <v>Nacional</v>
          </cell>
          <cell r="I1119">
            <v>8</v>
          </cell>
          <cell r="J1119" t="str">
            <v>AC-2600i</v>
          </cell>
          <cell r="L1119">
            <v>31536</v>
          </cell>
          <cell r="M1119">
            <v>1371.1304347826087</v>
          </cell>
          <cell r="O1119" t="str">
            <v>RODILLO (DISEÑO PROFIROLL)</v>
          </cell>
        </row>
        <row r="1120">
          <cell r="D1120" t="str">
            <v>HTJA030166P</v>
          </cell>
          <cell r="E1120" t="str">
            <v>8152050226</v>
          </cell>
          <cell r="F1120" t="str">
            <v>UF-2600i PQ-35 VW</v>
          </cell>
          <cell r="G1120">
            <v>20000</v>
          </cell>
          <cell r="H1120" t="str">
            <v>Profirrol</v>
          </cell>
          <cell r="I1120">
            <v>30</v>
          </cell>
          <cell r="J1120" t="str">
            <v>UF-2600i</v>
          </cell>
          <cell r="L1120">
            <v>38227.399999999994</v>
          </cell>
          <cell r="M1120">
            <v>1662.0608695652172</v>
          </cell>
          <cell r="O1120" t="str">
            <v>MANDRIL (PROFIROLL)</v>
          </cell>
        </row>
        <row r="1121">
          <cell r="D1121" t="str">
            <v>HTJA030166P</v>
          </cell>
          <cell r="E1121" t="str">
            <v>10060762</v>
          </cell>
          <cell r="F1121" t="str">
            <v>UF-2600i Ford Explorer</v>
          </cell>
          <cell r="G1121">
            <v>20000</v>
          </cell>
          <cell r="H1121" t="str">
            <v>Profirrol</v>
          </cell>
          <cell r="I1121">
            <v>30</v>
          </cell>
          <cell r="J1121" t="str">
            <v>UF-2600i</v>
          </cell>
          <cell r="L1121">
            <v>0</v>
          </cell>
          <cell r="M1121">
            <v>0</v>
          </cell>
          <cell r="O1121" t="str">
            <v>MANDRIL (PROFIROLL)</v>
          </cell>
        </row>
        <row r="1122">
          <cell r="D1122" t="str">
            <v>HTJA030166P</v>
          </cell>
          <cell r="E1122" t="str">
            <v>00806088</v>
          </cell>
          <cell r="F1122" t="str">
            <v>UF-2600i Hyundai</v>
          </cell>
          <cell r="G1122">
            <v>20000</v>
          </cell>
          <cell r="H1122" t="str">
            <v>Profirrol</v>
          </cell>
          <cell r="I1122">
            <v>30</v>
          </cell>
          <cell r="J1122" t="str">
            <v>UF-2600i</v>
          </cell>
          <cell r="L1122">
            <v>0</v>
          </cell>
          <cell r="M1122">
            <v>0</v>
          </cell>
          <cell r="O1122" t="str">
            <v>MANDRIL (PROFIROLL)</v>
          </cell>
        </row>
        <row r="1123">
          <cell r="D1123" t="str">
            <v>HTJA030166P</v>
          </cell>
          <cell r="E1123" t="str">
            <v>10235857</v>
          </cell>
          <cell r="F1123" t="str">
            <v>UF-2600i DNA (Preforma)</v>
          </cell>
          <cell r="G1123">
            <v>20000</v>
          </cell>
          <cell r="H1123" t="str">
            <v>Profirrol</v>
          </cell>
          <cell r="I1123">
            <v>30</v>
          </cell>
          <cell r="J1123" t="str">
            <v>UF-2600i</v>
          </cell>
          <cell r="L1123">
            <v>0</v>
          </cell>
          <cell r="M1123">
            <v>0</v>
          </cell>
          <cell r="O1123" t="str">
            <v>MANDRIL (PROFIROLL)</v>
          </cell>
        </row>
        <row r="1124">
          <cell r="D1124" t="str">
            <v>HTJA030167P</v>
          </cell>
          <cell r="E1124" t="str">
            <v>8152050226</v>
          </cell>
          <cell r="F1124" t="str">
            <v>UF-2600i PQ-35 VW</v>
          </cell>
          <cell r="G1124">
            <v>40000</v>
          </cell>
          <cell r="H1124" t="str">
            <v>Nacional</v>
          </cell>
          <cell r="I1124">
            <v>10</v>
          </cell>
          <cell r="J1124" t="str">
            <v>UF-2600i</v>
          </cell>
          <cell r="L1124">
            <v>38227.399999999994</v>
          </cell>
          <cell r="M1124">
            <v>1662.0608695652172</v>
          </cell>
          <cell r="O1124" t="str">
            <v>RODILLO SUPERIOR (PROFIROLL)</v>
          </cell>
        </row>
        <row r="1125">
          <cell r="D1125" t="str">
            <v>HTJA030167P</v>
          </cell>
          <cell r="E1125" t="str">
            <v>10060762</v>
          </cell>
          <cell r="F1125" t="str">
            <v>UF-2600i Ford Explorer</v>
          </cell>
          <cell r="G1125">
            <v>40000</v>
          </cell>
          <cell r="H1125" t="str">
            <v>Nacional</v>
          </cell>
          <cell r="I1125">
            <v>10</v>
          </cell>
          <cell r="J1125" t="str">
            <v>UF-2600i</v>
          </cell>
          <cell r="L1125">
            <v>0</v>
          </cell>
          <cell r="M1125">
            <v>0</v>
          </cell>
          <cell r="O1125" t="str">
            <v>RODILLO SUPERIOR (PROFIROLL)</v>
          </cell>
        </row>
        <row r="1126">
          <cell r="D1126" t="str">
            <v>HTJA030167P</v>
          </cell>
          <cell r="E1126" t="str">
            <v>00806088</v>
          </cell>
          <cell r="F1126" t="str">
            <v>UF-2600i Hyundai</v>
          </cell>
          <cell r="G1126">
            <v>40000</v>
          </cell>
          <cell r="H1126" t="str">
            <v>Nacional</v>
          </cell>
          <cell r="I1126">
            <v>10</v>
          </cell>
          <cell r="J1126" t="str">
            <v>UF-2600i</v>
          </cell>
          <cell r="L1126">
            <v>0</v>
          </cell>
          <cell r="M1126">
            <v>0</v>
          </cell>
          <cell r="O1126" t="str">
            <v>RODILLO SUPERIOR (PROFIROLL)</v>
          </cell>
        </row>
        <row r="1127">
          <cell r="D1127" t="str">
            <v>HTJA030167P</v>
          </cell>
          <cell r="E1127" t="str">
            <v>10235857</v>
          </cell>
          <cell r="F1127" t="str">
            <v>UF-2600i DNA (Preforma)</v>
          </cell>
          <cell r="G1127">
            <v>40000</v>
          </cell>
          <cell r="H1127" t="str">
            <v>Nacional</v>
          </cell>
          <cell r="I1127">
            <v>10</v>
          </cell>
          <cell r="J1127" t="str">
            <v>UF-2600i</v>
          </cell>
          <cell r="L1127">
            <v>0</v>
          </cell>
          <cell r="M1127">
            <v>0</v>
          </cell>
          <cell r="O1127" t="str">
            <v>RODILLO SUPERIOR (PROFIROLL)</v>
          </cell>
        </row>
        <row r="1128">
          <cell r="D1128" t="str">
            <v>HTJA030168P</v>
          </cell>
          <cell r="E1128" t="str">
            <v>8152050226</v>
          </cell>
          <cell r="F1128" t="str">
            <v>UF-2600i PQ-35 VW</v>
          </cell>
          <cell r="G1128">
            <v>26000</v>
          </cell>
          <cell r="H1128" t="str">
            <v>Profirrol</v>
          </cell>
          <cell r="I1128">
            <v>30</v>
          </cell>
          <cell r="J1128" t="str">
            <v>UF-2600i</v>
          </cell>
          <cell r="L1128">
            <v>38227.399999999994</v>
          </cell>
          <cell r="M1128">
            <v>1662.0608695652172</v>
          </cell>
          <cell r="O1128" t="str">
            <v>RODILLO INFERIOR UF (PROFIROLL)</v>
          </cell>
        </row>
        <row r="1129">
          <cell r="D1129" t="str">
            <v>HTJA030168P</v>
          </cell>
          <cell r="E1129" t="str">
            <v>10060762</v>
          </cell>
          <cell r="F1129" t="str">
            <v>UF-2600i Ford Explorer</v>
          </cell>
          <cell r="G1129">
            <v>26000</v>
          </cell>
          <cell r="H1129" t="str">
            <v>Profirrol</v>
          </cell>
          <cell r="I1129">
            <v>30</v>
          </cell>
          <cell r="J1129" t="str">
            <v>UF-2600i</v>
          </cell>
          <cell r="L1129">
            <v>0</v>
          </cell>
          <cell r="M1129">
            <v>0</v>
          </cell>
          <cell r="O1129" t="str">
            <v>RODILLO INFERIOR UF (PROFIROLL)</v>
          </cell>
        </row>
        <row r="1130">
          <cell r="D1130" t="str">
            <v>HTJA030168P</v>
          </cell>
          <cell r="E1130" t="str">
            <v>00806088</v>
          </cell>
          <cell r="F1130" t="str">
            <v>UF-2600i Hyundai</v>
          </cell>
          <cell r="G1130">
            <v>26000</v>
          </cell>
          <cell r="H1130" t="str">
            <v>Profirrol</v>
          </cell>
          <cell r="I1130">
            <v>30</v>
          </cell>
          <cell r="J1130" t="str">
            <v>UF-2600i</v>
          </cell>
          <cell r="L1130">
            <v>0</v>
          </cell>
          <cell r="M1130">
            <v>0</v>
          </cell>
          <cell r="O1130" t="str">
            <v>RODILLO INFERIOR UF (PROFIROLL)</v>
          </cell>
        </row>
        <row r="1131">
          <cell r="D1131" t="str">
            <v>HTJA030168P</v>
          </cell>
          <cell r="E1131" t="str">
            <v>10235857</v>
          </cell>
          <cell r="F1131" t="str">
            <v>UF-2600i DNA (Preforma)</v>
          </cell>
          <cell r="G1131">
            <v>26000</v>
          </cell>
          <cell r="H1131" t="str">
            <v>Profirrol</v>
          </cell>
          <cell r="I1131">
            <v>30</v>
          </cell>
          <cell r="J1131" t="str">
            <v>UF-2600i</v>
          </cell>
          <cell r="L1131">
            <v>0</v>
          </cell>
          <cell r="M1131">
            <v>0</v>
          </cell>
          <cell r="O1131" t="str">
            <v>RODILLO INFERIOR UF (PROFIROLL)</v>
          </cell>
        </row>
        <row r="1132">
          <cell r="D1132" t="str">
            <v>HTJA030169P</v>
          </cell>
          <cell r="E1132" t="str">
            <v>8152050226</v>
          </cell>
          <cell r="F1132" t="str">
            <v>UF-2600i PQ-35 VW</v>
          </cell>
          <cell r="G1132">
            <v>26000</v>
          </cell>
          <cell r="H1132" t="str">
            <v>Profirrol</v>
          </cell>
          <cell r="I1132">
            <v>30</v>
          </cell>
          <cell r="J1132" t="str">
            <v>UF-2600i</v>
          </cell>
          <cell r="L1132">
            <v>38227.399999999994</v>
          </cell>
          <cell r="M1132">
            <v>1662.0608695652172</v>
          </cell>
          <cell r="O1132" t="str">
            <v>RODILLO INFERIOR (PROFIROLL)</v>
          </cell>
        </row>
        <row r="1133">
          <cell r="D1133" t="str">
            <v>HTJA030169P</v>
          </cell>
          <cell r="E1133" t="str">
            <v>10060762</v>
          </cell>
          <cell r="F1133" t="str">
            <v>UF-2600i Ford Explorer</v>
          </cell>
          <cell r="G1133">
            <v>26000</v>
          </cell>
          <cell r="H1133" t="str">
            <v>Profirrol</v>
          </cell>
          <cell r="I1133">
            <v>30</v>
          </cell>
          <cell r="J1133" t="str">
            <v>UF-2600i</v>
          </cell>
          <cell r="L1133">
            <v>0</v>
          </cell>
          <cell r="M1133">
            <v>0</v>
          </cell>
          <cell r="O1133" t="str">
            <v>RODILLO INFERIOR (PROFIROLL)</v>
          </cell>
        </row>
        <row r="1134">
          <cell r="D1134" t="str">
            <v>HTJA030169P</v>
          </cell>
          <cell r="E1134" t="str">
            <v>00806088</v>
          </cell>
          <cell r="F1134" t="str">
            <v>UF-2600i Hyundai</v>
          </cell>
          <cell r="G1134">
            <v>26000</v>
          </cell>
          <cell r="H1134" t="str">
            <v>Profirrol</v>
          </cell>
          <cell r="I1134">
            <v>30</v>
          </cell>
          <cell r="J1134" t="str">
            <v>UF-2600i</v>
          </cell>
          <cell r="L1134">
            <v>0</v>
          </cell>
          <cell r="M1134">
            <v>0</v>
          </cell>
          <cell r="O1134" t="str">
            <v>RODILLO INFERIOR (PROFIROLL)</v>
          </cell>
        </row>
        <row r="1135">
          <cell r="D1135" t="str">
            <v>HTJA030169P</v>
          </cell>
          <cell r="E1135" t="str">
            <v>10235857</v>
          </cell>
          <cell r="F1135" t="str">
            <v>UF-2600i DNA (Preforma)</v>
          </cell>
          <cell r="G1135">
            <v>26000</v>
          </cell>
          <cell r="H1135" t="str">
            <v>Profirrol</v>
          </cell>
          <cell r="I1135">
            <v>30</v>
          </cell>
          <cell r="J1135" t="str">
            <v>UF-2600i</v>
          </cell>
          <cell r="L1135">
            <v>0</v>
          </cell>
          <cell r="M1135">
            <v>0</v>
          </cell>
          <cell r="O1135" t="str">
            <v>RODILLO INFERIOR (PROFIROLL)</v>
          </cell>
        </row>
        <row r="1136">
          <cell r="D1136" t="str">
            <v>HTJA030170P</v>
          </cell>
          <cell r="E1136" t="str">
            <v>8152050226</v>
          </cell>
          <cell r="F1136" t="str">
            <v>UF-2600i PQ-35 VW</v>
          </cell>
          <cell r="G1136">
            <v>20000</v>
          </cell>
          <cell r="H1136" t="str">
            <v>Nacional</v>
          </cell>
          <cell r="I1136">
            <v>10</v>
          </cell>
          <cell r="J1136" t="str">
            <v>UF-2600i</v>
          </cell>
          <cell r="L1136">
            <v>38227.399999999994</v>
          </cell>
          <cell r="M1136">
            <v>1662.0608695652172</v>
          </cell>
          <cell r="O1136" t="str">
            <v>RODILLO REDONDO (PROFIROLL)</v>
          </cell>
        </row>
        <row r="1137">
          <cell r="D1137" t="str">
            <v>HTJA030170P</v>
          </cell>
          <cell r="E1137" t="str">
            <v>10060762</v>
          </cell>
          <cell r="F1137" t="str">
            <v>UF-2600i Ford Explorer</v>
          </cell>
          <cell r="G1137">
            <v>20000</v>
          </cell>
          <cell r="H1137" t="str">
            <v>Nacional</v>
          </cell>
          <cell r="I1137">
            <v>10</v>
          </cell>
          <cell r="J1137" t="str">
            <v>UF-2600i</v>
          </cell>
          <cell r="L1137">
            <v>0</v>
          </cell>
          <cell r="M1137">
            <v>0</v>
          </cell>
          <cell r="O1137" t="str">
            <v>RODILLO REDONDO (PROFIROLL)</v>
          </cell>
        </row>
        <row r="1138">
          <cell r="D1138" t="str">
            <v>HTJA030170P</v>
          </cell>
          <cell r="E1138" t="str">
            <v>00806088</v>
          </cell>
          <cell r="F1138" t="str">
            <v>UF-2600i Hyundai</v>
          </cell>
          <cell r="G1138">
            <v>20000</v>
          </cell>
          <cell r="H1138" t="str">
            <v>Nacional</v>
          </cell>
          <cell r="I1138">
            <v>10</v>
          </cell>
          <cell r="J1138" t="str">
            <v>UF-2600i</v>
          </cell>
          <cell r="L1138">
            <v>0</v>
          </cell>
          <cell r="M1138">
            <v>0</v>
          </cell>
          <cell r="O1138" t="str">
            <v>RODILLO REDONDO (PROFIROLL)</v>
          </cell>
        </row>
        <row r="1139">
          <cell r="D1139" t="str">
            <v>HTJA030170P</v>
          </cell>
          <cell r="E1139" t="str">
            <v>10235857</v>
          </cell>
          <cell r="F1139" t="str">
            <v>UF-2600i DNA (Preforma)</v>
          </cell>
          <cell r="G1139">
            <v>20000</v>
          </cell>
          <cell r="H1139" t="str">
            <v>Nacional</v>
          </cell>
          <cell r="I1139">
            <v>10</v>
          </cell>
          <cell r="J1139" t="str">
            <v>UF-2600i</v>
          </cell>
          <cell r="L1139">
            <v>0</v>
          </cell>
          <cell r="M1139">
            <v>0</v>
          </cell>
          <cell r="O1139" t="str">
            <v>RODILLO REDONDO (PROFIROLL)</v>
          </cell>
        </row>
        <row r="1140">
          <cell r="D1140" t="str">
            <v>HTJA030173</v>
          </cell>
          <cell r="E1140" t="str">
            <v>8647050233</v>
          </cell>
          <cell r="F1140" t="str">
            <v>AC-2000i Honda Acura</v>
          </cell>
          <cell r="G1140">
            <v>200000</v>
          </cell>
          <cell r="H1140" t="str">
            <v>Nacional</v>
          </cell>
          <cell r="I1140">
            <v>10</v>
          </cell>
          <cell r="J1140" t="str">
            <v>STD</v>
          </cell>
          <cell r="L1140">
            <v>74729.200000000012</v>
          </cell>
          <cell r="M1140">
            <v>3249.0956521739135</v>
          </cell>
          <cell r="O1140" t="str">
            <v>COPLE DEL BUJE (PORTA MANDRIL)</v>
          </cell>
        </row>
        <row r="1141">
          <cell r="D1141" t="str">
            <v>HTJA030173</v>
          </cell>
          <cell r="E1141" t="str">
            <v>10232841</v>
          </cell>
          <cell r="F1141" t="str">
            <v>AC-2000i DNA (Preforma)</v>
          </cell>
          <cell r="G1141">
            <v>200000</v>
          </cell>
          <cell r="H1141" t="str">
            <v>Nacional</v>
          </cell>
          <cell r="I1141">
            <v>10</v>
          </cell>
          <cell r="J1141" t="str">
            <v>STD</v>
          </cell>
          <cell r="L1141">
            <v>99000</v>
          </cell>
          <cell r="M1141">
            <v>4304.347826086957</v>
          </cell>
          <cell r="O1141" t="str">
            <v>COPLE DEL BUJE (PORTA MANDRIL)</v>
          </cell>
        </row>
        <row r="1142">
          <cell r="D1142" t="str">
            <v>HTJA030173</v>
          </cell>
          <cell r="E1142" t="str">
            <v>4302091005</v>
          </cell>
          <cell r="F1142" t="str">
            <v>C-2000 PL-BODY</v>
          </cell>
          <cell r="G1142">
            <v>200000</v>
          </cell>
          <cell r="H1142" t="str">
            <v>Nacional</v>
          </cell>
          <cell r="I1142">
            <v>10</v>
          </cell>
          <cell r="J1142" t="str">
            <v>STD</v>
          </cell>
          <cell r="L1142">
            <v>0</v>
          </cell>
          <cell r="M1142">
            <v>0</v>
          </cell>
          <cell r="O1142" t="str">
            <v>COPLE DEL BUJE (PORTA MANDRIL)</v>
          </cell>
        </row>
        <row r="1143">
          <cell r="D1143" t="str">
            <v>HTJA030173</v>
          </cell>
          <cell r="E1143" t="str">
            <v>7324050215</v>
          </cell>
          <cell r="F1143" t="str">
            <v>AC-2300i PT-44</v>
          </cell>
          <cell r="G1143">
            <v>200000</v>
          </cell>
          <cell r="H1143" t="str">
            <v>Nacional</v>
          </cell>
          <cell r="I1143">
            <v>10</v>
          </cell>
          <cell r="J1143" t="str">
            <v>STD</v>
          </cell>
          <cell r="L1143">
            <v>58512.600000000006</v>
          </cell>
          <cell r="M1143">
            <v>2544.0260869565218</v>
          </cell>
          <cell r="O1143" t="str">
            <v>COPLE DEL BUJE (PORTA MANDRIL)</v>
          </cell>
        </row>
        <row r="1144">
          <cell r="D1144" t="str">
            <v>HTJA030173</v>
          </cell>
          <cell r="E1144" t="str">
            <v>10226750</v>
          </cell>
          <cell r="F1144" t="str">
            <v>AC-2300i DNA (Preforma)</v>
          </cell>
          <cell r="G1144">
            <v>200000</v>
          </cell>
          <cell r="H1144" t="str">
            <v>Nacional</v>
          </cell>
          <cell r="I1144">
            <v>10</v>
          </cell>
          <cell r="J1144" t="str">
            <v>STD</v>
          </cell>
          <cell r="L1144">
            <v>52509.599999999999</v>
          </cell>
          <cell r="M1144">
            <v>2283.0260869565218</v>
          </cell>
          <cell r="O1144" t="str">
            <v>COPLE DEL BUJE (PORTA MANDRIL)</v>
          </cell>
        </row>
        <row r="1145">
          <cell r="D1145" t="str">
            <v>HTJA030173</v>
          </cell>
          <cell r="E1145" t="str">
            <v>7553050217</v>
          </cell>
          <cell r="F1145" t="str">
            <v>AC-2600i PT-Turbo</v>
          </cell>
          <cell r="G1145">
            <v>200000</v>
          </cell>
          <cell r="H1145" t="str">
            <v>Nacional</v>
          </cell>
          <cell r="I1145">
            <v>10</v>
          </cell>
          <cell r="J1145" t="str">
            <v>STD</v>
          </cell>
          <cell r="L1145">
            <v>37981.199999999997</v>
          </cell>
          <cell r="M1145">
            <v>1651.3565217391304</v>
          </cell>
          <cell r="O1145" t="str">
            <v>COPLE DEL BUJE (PORTA MANDRIL)</v>
          </cell>
        </row>
        <row r="1146">
          <cell r="D1146" t="str">
            <v>HTJA030173</v>
          </cell>
          <cell r="E1146" t="str">
            <v>10001024R</v>
          </cell>
          <cell r="F1146" t="str">
            <v>AC-2600i Ford Escape</v>
          </cell>
          <cell r="G1146">
            <v>200000</v>
          </cell>
          <cell r="H1146" t="str">
            <v>Nacional</v>
          </cell>
          <cell r="I1146">
            <v>10</v>
          </cell>
          <cell r="J1146" t="str">
            <v>STD</v>
          </cell>
          <cell r="L1146">
            <v>59203</v>
          </cell>
          <cell r="M1146">
            <v>2574.0434782608695</v>
          </cell>
          <cell r="O1146" t="str">
            <v>COPLE DEL BUJE (PORTA MANDRIL)</v>
          </cell>
        </row>
        <row r="1147">
          <cell r="D1147" t="str">
            <v>HTJA030173</v>
          </cell>
          <cell r="E1147" t="str">
            <v>10226752</v>
          </cell>
          <cell r="F1147" t="str">
            <v>AC-2600i DNA (Preforma)</v>
          </cell>
          <cell r="G1147">
            <v>200000</v>
          </cell>
          <cell r="H1147" t="str">
            <v>Nacional</v>
          </cell>
          <cell r="I1147">
            <v>10</v>
          </cell>
          <cell r="J1147" t="str">
            <v>STD</v>
          </cell>
          <cell r="L1147">
            <v>31536</v>
          </cell>
          <cell r="M1147">
            <v>1371.1304347826087</v>
          </cell>
          <cell r="O1147" t="str">
            <v>COPLE DEL BUJE (PORTA MANDRIL)</v>
          </cell>
        </row>
        <row r="1148">
          <cell r="D1148" t="str">
            <v>HTJA030173</v>
          </cell>
          <cell r="E1148" t="str">
            <v>10054551</v>
          </cell>
          <cell r="F1148" t="str">
            <v>AC-2650 JC49 / GS PLT / DNA</v>
          </cell>
          <cell r="G1148">
            <v>200000</v>
          </cell>
          <cell r="H1148" t="str">
            <v>Nacional</v>
          </cell>
          <cell r="I1148">
            <v>10</v>
          </cell>
          <cell r="J1148" t="str">
            <v>STD</v>
          </cell>
          <cell r="L1148">
            <v>11932</v>
          </cell>
          <cell r="M1148">
            <v>518.78260869565213</v>
          </cell>
          <cell r="O1148" t="str">
            <v>COPLE DEL BUJE (PORTA MANDRIL)</v>
          </cell>
        </row>
        <row r="1149">
          <cell r="D1149" t="str">
            <v>HTJA030173</v>
          </cell>
          <cell r="E1149" t="str">
            <v>10226751</v>
          </cell>
          <cell r="F1149" t="str">
            <v>AC-2650 DNA</v>
          </cell>
          <cell r="G1149">
            <v>200000</v>
          </cell>
          <cell r="H1149" t="str">
            <v>Nacional</v>
          </cell>
          <cell r="I1149">
            <v>10</v>
          </cell>
          <cell r="J1149" t="str">
            <v>STD</v>
          </cell>
          <cell r="L1149">
            <v>24453</v>
          </cell>
          <cell r="M1149">
            <v>1063.1739130434783</v>
          </cell>
          <cell r="O1149" t="str">
            <v>COPLE DEL BUJE (PORTA MANDRIL)</v>
          </cell>
        </row>
        <row r="1150">
          <cell r="D1150" t="str">
            <v>HTJA030173</v>
          </cell>
          <cell r="E1150" t="str">
            <v>8152050226</v>
          </cell>
          <cell r="F1150" t="str">
            <v>UF-2600i PQ-35 VW</v>
          </cell>
          <cell r="G1150">
            <v>200000</v>
          </cell>
          <cell r="H1150" t="str">
            <v>Nacional</v>
          </cell>
          <cell r="I1150">
            <v>10</v>
          </cell>
          <cell r="J1150" t="str">
            <v>STD</v>
          </cell>
          <cell r="L1150">
            <v>38227.399999999994</v>
          </cell>
          <cell r="M1150">
            <v>1662.0608695652172</v>
          </cell>
          <cell r="O1150" t="str">
            <v>COPLE DEL BUJE (PORTA MANDRIL)</v>
          </cell>
        </row>
        <row r="1151">
          <cell r="D1151" t="str">
            <v>HTJA030173</v>
          </cell>
          <cell r="E1151" t="str">
            <v>10060762</v>
          </cell>
          <cell r="F1151" t="str">
            <v>UF-2600i Ford Explorer</v>
          </cell>
          <cell r="G1151">
            <v>200000</v>
          </cell>
          <cell r="H1151" t="str">
            <v>Nacional</v>
          </cell>
          <cell r="I1151">
            <v>10</v>
          </cell>
          <cell r="J1151" t="str">
            <v>STD</v>
          </cell>
          <cell r="L1151">
            <v>0</v>
          </cell>
          <cell r="M1151">
            <v>0</v>
          </cell>
          <cell r="O1151" t="str">
            <v>COPLE DEL BUJE (PORTA MANDRIL)</v>
          </cell>
        </row>
        <row r="1152">
          <cell r="D1152" t="str">
            <v>HTJA030173</v>
          </cell>
          <cell r="E1152" t="str">
            <v>00806088</v>
          </cell>
          <cell r="F1152" t="str">
            <v>UF-2600i Hyundai</v>
          </cell>
          <cell r="G1152">
            <v>200000</v>
          </cell>
          <cell r="H1152" t="str">
            <v>Nacional</v>
          </cell>
          <cell r="I1152">
            <v>10</v>
          </cell>
          <cell r="J1152" t="str">
            <v>STD</v>
          </cell>
          <cell r="L1152">
            <v>0</v>
          </cell>
          <cell r="M1152">
            <v>0</v>
          </cell>
          <cell r="O1152" t="str">
            <v>COPLE DEL BUJE (PORTA MANDRIL)</v>
          </cell>
        </row>
        <row r="1153">
          <cell r="D1153" t="str">
            <v>HTJA030173</v>
          </cell>
          <cell r="E1153" t="str">
            <v>10235857</v>
          </cell>
          <cell r="F1153" t="str">
            <v>UF-2600i DNA (Preforma)</v>
          </cell>
          <cell r="G1153">
            <v>200000</v>
          </cell>
          <cell r="H1153" t="str">
            <v>Nacional</v>
          </cell>
          <cell r="I1153">
            <v>10</v>
          </cell>
          <cell r="J1153" t="str">
            <v>STD</v>
          </cell>
          <cell r="L1153">
            <v>0</v>
          </cell>
          <cell r="M1153">
            <v>0</v>
          </cell>
          <cell r="O1153" t="str">
            <v>COPLE DEL BUJE (PORTA MANDRIL)</v>
          </cell>
        </row>
        <row r="1154">
          <cell r="D1154" t="str">
            <v>HTJA030173</v>
          </cell>
          <cell r="E1154" t="str">
            <v>10018041</v>
          </cell>
          <cell r="F1154" t="str">
            <v>UF-3300i W</v>
          </cell>
          <cell r="G1154">
            <v>200000</v>
          </cell>
          <cell r="H1154" t="str">
            <v>Nacional</v>
          </cell>
          <cell r="I1154">
            <v>10</v>
          </cell>
          <cell r="J1154" t="str">
            <v>STD</v>
          </cell>
          <cell r="L1154">
            <v>13520.454678603319</v>
          </cell>
          <cell r="M1154">
            <v>587.84585559144864</v>
          </cell>
          <cell r="O1154" t="str">
            <v>COPLE DEL BUJE (PORTA MANDRIL)</v>
          </cell>
        </row>
        <row r="1155">
          <cell r="D1155" t="str">
            <v>HTJA030173</v>
          </cell>
          <cell r="E1155" t="str">
            <v>10009621</v>
          </cell>
          <cell r="F1155" t="str">
            <v>UF-4600i W</v>
          </cell>
          <cell r="G1155">
            <v>200000</v>
          </cell>
          <cell r="H1155" t="str">
            <v>Nacional</v>
          </cell>
          <cell r="I1155">
            <v>10</v>
          </cell>
          <cell r="J1155" t="str">
            <v>STD</v>
          </cell>
          <cell r="L1155">
            <v>33932.483034337194</v>
          </cell>
          <cell r="M1155">
            <v>1475.3253493190084</v>
          </cell>
          <cell r="O1155" t="str">
            <v>COPLE DEL BUJE (PORTA MANDRIL)</v>
          </cell>
        </row>
        <row r="1156">
          <cell r="D1156" t="str">
            <v>HTJA030173</v>
          </cell>
          <cell r="E1156" t="str">
            <v>7056050202</v>
          </cell>
          <cell r="F1156" t="str">
            <v>A4 RF-91 Concept One</v>
          </cell>
          <cell r="G1156">
            <v>200000</v>
          </cell>
          <cell r="H1156" t="str">
            <v>Nacional</v>
          </cell>
          <cell r="I1156">
            <v>10</v>
          </cell>
          <cell r="J1156" t="str">
            <v>STD</v>
          </cell>
          <cell r="L1156">
            <v>0</v>
          </cell>
          <cell r="M1156">
            <v>0</v>
          </cell>
          <cell r="O1156" t="str">
            <v>COPLE DEL BUJE (PORTA MANDRIL)</v>
          </cell>
        </row>
        <row r="1157">
          <cell r="D1157" t="str">
            <v>HTJA030173</v>
          </cell>
          <cell r="E1157" t="str">
            <v>7174050203</v>
          </cell>
          <cell r="F1157" t="str">
            <v>A4 RF-95</v>
          </cell>
          <cell r="G1157">
            <v>200000</v>
          </cell>
          <cell r="H1157" t="str">
            <v>Nacional</v>
          </cell>
          <cell r="I1157">
            <v>10</v>
          </cell>
          <cell r="J1157" t="str">
            <v>STD</v>
          </cell>
          <cell r="L1157">
            <v>8133.6</v>
          </cell>
          <cell r="M1157">
            <v>353.63478260869567</v>
          </cell>
          <cell r="O1157" t="str">
            <v>COPLE DEL BUJE (PORTA MANDRIL)</v>
          </cell>
        </row>
        <row r="1158">
          <cell r="D1158" t="str">
            <v>HTJA030174</v>
          </cell>
          <cell r="E1158" t="str">
            <v>8647050233</v>
          </cell>
          <cell r="F1158" t="str">
            <v>AC-2000i Honda Acura</v>
          </cell>
          <cell r="G1158">
            <v>500000</v>
          </cell>
          <cell r="H1158" t="str">
            <v>Profirrol</v>
          </cell>
          <cell r="I1158">
            <v>10</v>
          </cell>
          <cell r="J1158" t="str">
            <v>STD</v>
          </cell>
          <cell r="L1158">
            <v>74729.200000000012</v>
          </cell>
          <cell r="M1158">
            <v>3249.0956521739135</v>
          </cell>
          <cell r="O1158" t="str">
            <v>PLACA DE AJUSTE (CANAL DE CARGA)</v>
          </cell>
        </row>
        <row r="1159">
          <cell r="D1159" t="str">
            <v>HTJA030174</v>
          </cell>
          <cell r="E1159" t="str">
            <v>10232841</v>
          </cell>
          <cell r="F1159" t="str">
            <v>AC-2000i DNA (Preforma)</v>
          </cell>
          <cell r="G1159">
            <v>500000</v>
          </cell>
          <cell r="H1159" t="str">
            <v>Profirrol</v>
          </cell>
          <cell r="I1159">
            <v>10</v>
          </cell>
          <cell r="J1159" t="str">
            <v>STD</v>
          </cell>
          <cell r="L1159">
            <v>99000</v>
          </cell>
          <cell r="M1159">
            <v>4304.347826086957</v>
          </cell>
          <cell r="O1159" t="str">
            <v>PLACA DE AJUSTE (CANAL DE CARGA)</v>
          </cell>
        </row>
        <row r="1160">
          <cell r="D1160" t="str">
            <v>HTJA030174</v>
          </cell>
          <cell r="E1160" t="str">
            <v>4302091005</v>
          </cell>
          <cell r="F1160" t="str">
            <v>C-2000 PL-BODY</v>
          </cell>
          <cell r="G1160">
            <v>500000</v>
          </cell>
          <cell r="H1160" t="str">
            <v>Profirrol</v>
          </cell>
          <cell r="I1160">
            <v>10</v>
          </cell>
          <cell r="J1160" t="str">
            <v>STD</v>
          </cell>
          <cell r="L1160">
            <v>0</v>
          </cell>
          <cell r="M1160">
            <v>0</v>
          </cell>
          <cell r="O1160" t="str">
            <v>PLACA DE AJUSTE (CANAL DE CARGA)</v>
          </cell>
        </row>
        <row r="1161">
          <cell r="D1161" t="str">
            <v>HTJA030174</v>
          </cell>
          <cell r="E1161" t="str">
            <v>7324050215</v>
          </cell>
          <cell r="F1161" t="str">
            <v>AC-2300i PT-44</v>
          </cell>
          <cell r="G1161">
            <v>500000</v>
          </cell>
          <cell r="H1161" t="str">
            <v>Profirrol</v>
          </cell>
          <cell r="I1161">
            <v>10</v>
          </cell>
          <cell r="J1161" t="str">
            <v>STD</v>
          </cell>
          <cell r="L1161">
            <v>58512.600000000006</v>
          </cell>
          <cell r="M1161">
            <v>2544.0260869565218</v>
          </cell>
          <cell r="O1161" t="str">
            <v>PLACA DE AJUSTE (CANAL DE CARGA)</v>
          </cell>
        </row>
        <row r="1162">
          <cell r="D1162" t="str">
            <v>HTJA030174</v>
          </cell>
          <cell r="E1162" t="str">
            <v>10226750</v>
          </cell>
          <cell r="F1162" t="str">
            <v>AC-2300i DNA (Preforma)</v>
          </cell>
          <cell r="G1162">
            <v>500000</v>
          </cell>
          <cell r="H1162" t="str">
            <v>Profirrol</v>
          </cell>
          <cell r="I1162">
            <v>10</v>
          </cell>
          <cell r="J1162" t="str">
            <v>STD</v>
          </cell>
          <cell r="L1162">
            <v>52509.599999999999</v>
          </cell>
          <cell r="M1162">
            <v>2283.0260869565218</v>
          </cell>
          <cell r="O1162" t="str">
            <v>PLACA DE AJUSTE (CANAL DE CARGA)</v>
          </cell>
        </row>
        <row r="1163">
          <cell r="D1163" t="str">
            <v>HTJA030174</v>
          </cell>
          <cell r="E1163" t="str">
            <v>7553050217</v>
          </cell>
          <cell r="F1163" t="str">
            <v>AC-2600i PT-Turbo</v>
          </cell>
          <cell r="G1163">
            <v>500000</v>
          </cell>
          <cell r="H1163" t="str">
            <v>Profirrol</v>
          </cell>
          <cell r="I1163">
            <v>10</v>
          </cell>
          <cell r="J1163" t="str">
            <v>STD</v>
          </cell>
          <cell r="L1163">
            <v>37981.199999999997</v>
          </cell>
          <cell r="M1163">
            <v>1651.3565217391304</v>
          </cell>
          <cell r="O1163" t="str">
            <v>PLACA DE AJUSTE (CANAL DE CARGA)</v>
          </cell>
        </row>
        <row r="1164">
          <cell r="D1164" t="str">
            <v>HTJA030174</v>
          </cell>
          <cell r="E1164" t="str">
            <v>10001024R</v>
          </cell>
          <cell r="F1164" t="str">
            <v>AC-2600i Ford Escape</v>
          </cell>
          <cell r="G1164">
            <v>500000</v>
          </cell>
          <cell r="H1164" t="str">
            <v>Profirrol</v>
          </cell>
          <cell r="I1164">
            <v>10</v>
          </cell>
          <cell r="J1164" t="str">
            <v>STD</v>
          </cell>
          <cell r="L1164">
            <v>59203</v>
          </cell>
          <cell r="M1164">
            <v>2574.0434782608695</v>
          </cell>
          <cell r="O1164" t="str">
            <v>PLACA DE AJUSTE (CANAL DE CARGA)</v>
          </cell>
        </row>
        <row r="1165">
          <cell r="D1165" t="str">
            <v>HTJA030174</v>
          </cell>
          <cell r="E1165" t="str">
            <v>10226752</v>
          </cell>
          <cell r="F1165" t="str">
            <v>AC-2600i DNA (Preforma)</v>
          </cell>
          <cell r="G1165">
            <v>500000</v>
          </cell>
          <cell r="H1165" t="str">
            <v>Profirrol</v>
          </cell>
          <cell r="I1165">
            <v>10</v>
          </cell>
          <cell r="J1165" t="str">
            <v>STD</v>
          </cell>
          <cell r="L1165">
            <v>31536</v>
          </cell>
          <cell r="M1165">
            <v>1371.1304347826087</v>
          </cell>
          <cell r="O1165" t="str">
            <v>PLACA DE AJUSTE (CANAL DE CARGA)</v>
          </cell>
        </row>
        <row r="1166">
          <cell r="D1166" t="str">
            <v>HTJA030174</v>
          </cell>
          <cell r="E1166" t="str">
            <v>10054551</v>
          </cell>
          <cell r="F1166" t="str">
            <v>AC-2650 JC49 / GS PLT / DNA</v>
          </cell>
          <cell r="G1166">
            <v>500000</v>
          </cell>
          <cell r="H1166" t="str">
            <v>Profirrol</v>
          </cell>
          <cell r="I1166">
            <v>10</v>
          </cell>
          <cell r="J1166" t="str">
            <v>STD</v>
          </cell>
          <cell r="L1166">
            <v>11932</v>
          </cell>
          <cell r="M1166">
            <v>518.78260869565213</v>
          </cell>
          <cell r="O1166" t="str">
            <v>PLACA DE AJUSTE (CANAL DE CARGA)</v>
          </cell>
        </row>
        <row r="1167">
          <cell r="D1167" t="str">
            <v>HTJA030174</v>
          </cell>
          <cell r="E1167" t="str">
            <v>10226751</v>
          </cell>
          <cell r="F1167" t="str">
            <v>AC-2650 DNA</v>
          </cell>
          <cell r="G1167">
            <v>500000</v>
          </cell>
          <cell r="H1167" t="str">
            <v>Profirrol</v>
          </cell>
          <cell r="I1167">
            <v>10</v>
          </cell>
          <cell r="J1167" t="str">
            <v>STD</v>
          </cell>
          <cell r="L1167">
            <v>24453</v>
          </cell>
          <cell r="M1167">
            <v>1063.1739130434783</v>
          </cell>
          <cell r="O1167" t="str">
            <v>PLACA DE AJUSTE (CANAL DE CARGA)</v>
          </cell>
        </row>
        <row r="1168">
          <cell r="D1168" t="str">
            <v>HTJA030174</v>
          </cell>
          <cell r="E1168" t="str">
            <v>8152050226</v>
          </cell>
          <cell r="F1168" t="str">
            <v>UF-2600i PQ-35 VW</v>
          </cell>
          <cell r="G1168">
            <v>500000</v>
          </cell>
          <cell r="H1168" t="str">
            <v>Profirrol</v>
          </cell>
          <cell r="I1168">
            <v>10</v>
          </cell>
          <cell r="J1168" t="str">
            <v>STD</v>
          </cell>
          <cell r="L1168">
            <v>38227.399999999994</v>
          </cell>
          <cell r="M1168">
            <v>1662.0608695652172</v>
          </cell>
          <cell r="O1168" t="str">
            <v>PLACA DE AJUSTE (CANAL DE CARGA)</v>
          </cell>
        </row>
        <row r="1169">
          <cell r="D1169" t="str">
            <v>HTJA030174</v>
          </cell>
          <cell r="E1169" t="str">
            <v>10060762</v>
          </cell>
          <cell r="F1169" t="str">
            <v>UF-2600i Ford Explorer</v>
          </cell>
          <cell r="G1169">
            <v>500000</v>
          </cell>
          <cell r="H1169" t="str">
            <v>Profirrol</v>
          </cell>
          <cell r="I1169">
            <v>10</v>
          </cell>
          <cell r="J1169" t="str">
            <v>STD</v>
          </cell>
          <cell r="L1169">
            <v>0</v>
          </cell>
          <cell r="M1169">
            <v>0</v>
          </cell>
          <cell r="O1169" t="str">
            <v>PLACA DE AJUSTE (CANAL DE CARGA)</v>
          </cell>
        </row>
        <row r="1170">
          <cell r="D1170" t="str">
            <v>HTJA030174</v>
          </cell>
          <cell r="E1170" t="str">
            <v>00806088</v>
          </cell>
          <cell r="F1170" t="str">
            <v>UF-2600i Hyundai</v>
          </cell>
          <cell r="G1170">
            <v>500000</v>
          </cell>
          <cell r="H1170" t="str">
            <v>Profirrol</v>
          </cell>
          <cell r="I1170">
            <v>10</v>
          </cell>
          <cell r="J1170" t="str">
            <v>STD</v>
          </cell>
          <cell r="L1170">
            <v>0</v>
          </cell>
          <cell r="M1170">
            <v>0</v>
          </cell>
          <cell r="O1170" t="str">
            <v>PLACA DE AJUSTE (CANAL DE CARGA)</v>
          </cell>
        </row>
        <row r="1171">
          <cell r="D1171" t="str">
            <v>HTJA030174</v>
          </cell>
          <cell r="E1171" t="str">
            <v>10235857</v>
          </cell>
          <cell r="F1171" t="str">
            <v>UF-2600i DNA (Preforma)</v>
          </cell>
          <cell r="G1171">
            <v>500000</v>
          </cell>
          <cell r="H1171" t="str">
            <v>Profirrol</v>
          </cell>
          <cell r="I1171">
            <v>10</v>
          </cell>
          <cell r="J1171" t="str">
            <v>STD</v>
          </cell>
          <cell r="L1171">
            <v>0</v>
          </cell>
          <cell r="M1171">
            <v>0</v>
          </cell>
          <cell r="O1171" t="str">
            <v>PLACA DE AJUSTE (CANAL DE CARGA)</v>
          </cell>
        </row>
        <row r="1172">
          <cell r="D1172" t="str">
            <v>HTJA030174</v>
          </cell>
          <cell r="E1172" t="str">
            <v>10018041</v>
          </cell>
          <cell r="F1172" t="str">
            <v>UF-3300i W</v>
          </cell>
          <cell r="G1172">
            <v>500000</v>
          </cell>
          <cell r="H1172" t="str">
            <v>Profirrol</v>
          </cell>
          <cell r="I1172">
            <v>10</v>
          </cell>
          <cell r="J1172" t="str">
            <v>STD</v>
          </cell>
          <cell r="L1172">
            <v>13520.454678603319</v>
          </cell>
          <cell r="M1172">
            <v>587.84585559144864</v>
          </cell>
          <cell r="O1172" t="str">
            <v>PLACA DE AJUSTE (CANAL DE CARGA)</v>
          </cell>
        </row>
        <row r="1173">
          <cell r="D1173" t="str">
            <v>HTJA030174</v>
          </cell>
          <cell r="E1173" t="str">
            <v>10009621</v>
          </cell>
          <cell r="F1173" t="str">
            <v>UF-4600i W</v>
          </cell>
          <cell r="G1173">
            <v>500000</v>
          </cell>
          <cell r="H1173" t="str">
            <v>Profirrol</v>
          </cell>
          <cell r="I1173">
            <v>10</v>
          </cell>
          <cell r="J1173" t="str">
            <v>STD</v>
          </cell>
          <cell r="L1173">
            <v>33932.483034337194</v>
          </cell>
          <cell r="M1173">
            <v>1475.3253493190084</v>
          </cell>
          <cell r="O1173" t="str">
            <v>PLACA DE AJUSTE (CANAL DE CARGA)</v>
          </cell>
        </row>
        <row r="1174">
          <cell r="D1174" t="str">
            <v>HTJA030174</v>
          </cell>
          <cell r="E1174" t="str">
            <v>7056050202</v>
          </cell>
          <cell r="F1174" t="str">
            <v>A4 RF-91 Concept One</v>
          </cell>
          <cell r="G1174">
            <v>500000</v>
          </cell>
          <cell r="H1174" t="str">
            <v>Profirrol</v>
          </cell>
          <cell r="I1174">
            <v>10</v>
          </cell>
          <cell r="J1174" t="str">
            <v>STD</v>
          </cell>
          <cell r="L1174">
            <v>0</v>
          </cell>
          <cell r="M1174">
            <v>0</v>
          </cell>
          <cell r="O1174" t="str">
            <v>PLACA DE AJUSTE (CANAL DE CARGA)</v>
          </cell>
        </row>
        <row r="1175">
          <cell r="D1175" t="str">
            <v>HTJA030174</v>
          </cell>
          <cell r="E1175" t="str">
            <v>7174050203</v>
          </cell>
          <cell r="F1175" t="str">
            <v>A4 RF-95</v>
          </cell>
          <cell r="G1175">
            <v>500000</v>
          </cell>
          <cell r="H1175" t="str">
            <v>Profirrol</v>
          </cell>
          <cell r="I1175">
            <v>10</v>
          </cell>
          <cell r="J1175" t="str">
            <v>STD</v>
          </cell>
          <cell r="L1175">
            <v>8133.6</v>
          </cell>
          <cell r="M1175">
            <v>353.63478260869567</v>
          </cell>
          <cell r="O1175" t="str">
            <v>PLACA DE AJUSTE (CANAL DE CARGA)</v>
          </cell>
        </row>
        <row r="1176">
          <cell r="D1176" t="str">
            <v>HTJA030174</v>
          </cell>
          <cell r="E1176" t="str">
            <v>8647050233</v>
          </cell>
          <cell r="F1176" t="str">
            <v>AC-2000i Honda Acura</v>
          </cell>
          <cell r="G1176">
            <v>500000</v>
          </cell>
          <cell r="H1176" t="str">
            <v>Profirrol</v>
          </cell>
          <cell r="I1176">
            <v>10</v>
          </cell>
          <cell r="J1176" t="str">
            <v>STD</v>
          </cell>
          <cell r="L1176">
            <v>74729.200000000012</v>
          </cell>
          <cell r="M1176">
            <v>3249.0956521739135</v>
          </cell>
          <cell r="O1176" t="str">
            <v>PLACA DE AJUSTE (CANAL DE CARGA)</v>
          </cell>
        </row>
        <row r="1177">
          <cell r="D1177" t="str">
            <v>HTJA030174</v>
          </cell>
          <cell r="E1177" t="str">
            <v>10232841</v>
          </cell>
          <cell r="F1177" t="str">
            <v>AC-2000i DNA (Preforma)</v>
          </cell>
          <cell r="G1177">
            <v>500000</v>
          </cell>
          <cell r="H1177" t="str">
            <v>Profirrol</v>
          </cell>
          <cell r="I1177">
            <v>10</v>
          </cell>
          <cell r="J1177" t="str">
            <v>STD</v>
          </cell>
          <cell r="L1177">
            <v>99000</v>
          </cell>
          <cell r="M1177">
            <v>4304.347826086957</v>
          </cell>
          <cell r="O1177" t="str">
            <v>PLACA DE AJUSTE (CANAL DE CARGA)</v>
          </cell>
        </row>
        <row r="1178">
          <cell r="D1178" t="str">
            <v>HTJA030175</v>
          </cell>
          <cell r="E1178" t="str">
            <v>8647050233</v>
          </cell>
          <cell r="F1178" t="str">
            <v>AC-2000i Honda Acura</v>
          </cell>
          <cell r="G1178">
            <v>200000</v>
          </cell>
          <cell r="H1178" t="str">
            <v>Nacional</v>
          </cell>
          <cell r="I1178">
            <v>10</v>
          </cell>
          <cell r="J1178" t="str">
            <v>STD</v>
          </cell>
          <cell r="L1178">
            <v>74729.200000000012</v>
          </cell>
          <cell r="M1178">
            <v>3249.0956521739135</v>
          </cell>
          <cell r="O1178" t="str">
            <v>COMPLEMENTO PLACA DE AJUSTE (CANAL DE CARGA)</v>
          </cell>
        </row>
        <row r="1179">
          <cell r="D1179" t="str">
            <v>HTJA030175</v>
          </cell>
          <cell r="E1179" t="str">
            <v>10232841</v>
          </cell>
          <cell r="F1179" t="str">
            <v>AC-2000i DNA (Preforma)</v>
          </cell>
          <cell r="G1179">
            <v>200000</v>
          </cell>
          <cell r="H1179" t="str">
            <v>Nacional</v>
          </cell>
          <cell r="I1179">
            <v>10</v>
          </cell>
          <cell r="J1179" t="str">
            <v>STD</v>
          </cell>
          <cell r="L1179">
            <v>99000</v>
          </cell>
          <cell r="M1179">
            <v>4304.347826086957</v>
          </cell>
          <cell r="O1179" t="str">
            <v>COMPLEMENTO PLACA DE AJUSTE (CANAL DE CARGA)</v>
          </cell>
        </row>
        <row r="1180">
          <cell r="D1180" t="str">
            <v>HTJA030175</v>
          </cell>
          <cell r="E1180" t="str">
            <v>4302091005</v>
          </cell>
          <cell r="F1180" t="str">
            <v>C-2000 PL-BODY</v>
          </cell>
          <cell r="G1180">
            <v>200000</v>
          </cell>
          <cell r="H1180" t="str">
            <v>Nacional</v>
          </cell>
          <cell r="I1180">
            <v>10</v>
          </cell>
          <cell r="J1180" t="str">
            <v>STD</v>
          </cell>
          <cell r="L1180">
            <v>0</v>
          </cell>
          <cell r="M1180">
            <v>0</v>
          </cell>
          <cell r="O1180" t="str">
            <v>COMPLEMENTO PLACA DE AJUSTE (CANAL DE CARGA)</v>
          </cell>
        </row>
        <row r="1181">
          <cell r="D1181" t="str">
            <v>HTJA030175</v>
          </cell>
          <cell r="E1181" t="str">
            <v>7324050215</v>
          </cell>
          <cell r="F1181" t="str">
            <v>AC-2300i PT-44</v>
          </cell>
          <cell r="G1181">
            <v>200000</v>
          </cell>
          <cell r="H1181" t="str">
            <v>Nacional</v>
          </cell>
          <cell r="I1181">
            <v>10</v>
          </cell>
          <cell r="J1181" t="str">
            <v>STD</v>
          </cell>
          <cell r="L1181">
            <v>58512.600000000006</v>
          </cell>
          <cell r="M1181">
            <v>2544.0260869565218</v>
          </cell>
          <cell r="O1181" t="str">
            <v>COMPLEMENTO PLACA DE AJUSTE (CANAL DE CARGA)</v>
          </cell>
        </row>
        <row r="1182">
          <cell r="D1182" t="str">
            <v>HTJA030175</v>
          </cell>
          <cell r="E1182" t="str">
            <v>10226750</v>
          </cell>
          <cell r="F1182" t="str">
            <v>AC-2300i DNA (Preforma)</v>
          </cell>
          <cell r="G1182">
            <v>200000</v>
          </cell>
          <cell r="H1182" t="str">
            <v>Nacional</v>
          </cell>
          <cell r="I1182">
            <v>10</v>
          </cell>
          <cell r="J1182" t="str">
            <v>STD</v>
          </cell>
          <cell r="L1182">
            <v>52509.599999999999</v>
          </cell>
          <cell r="M1182">
            <v>2283.0260869565218</v>
          </cell>
          <cell r="O1182" t="str">
            <v>COMPLEMENTO PLACA DE AJUSTE (CANAL DE CARGA)</v>
          </cell>
        </row>
        <row r="1183">
          <cell r="D1183" t="str">
            <v>HTJA030175</v>
          </cell>
          <cell r="E1183" t="str">
            <v>7553050217</v>
          </cell>
          <cell r="F1183" t="str">
            <v>AC-2600i PT-Turbo</v>
          </cell>
          <cell r="G1183">
            <v>200000</v>
          </cell>
          <cell r="H1183" t="str">
            <v>Nacional</v>
          </cell>
          <cell r="I1183">
            <v>10</v>
          </cell>
          <cell r="J1183" t="str">
            <v>STD</v>
          </cell>
          <cell r="L1183">
            <v>37981.199999999997</v>
          </cell>
          <cell r="M1183">
            <v>1651.3565217391304</v>
          </cell>
          <cell r="O1183" t="str">
            <v>COMPLEMENTO PLACA DE AJUSTE (CANAL DE CARGA)</v>
          </cell>
        </row>
        <row r="1184">
          <cell r="D1184" t="str">
            <v>HTJA030175</v>
          </cell>
          <cell r="E1184" t="str">
            <v>10001024R</v>
          </cell>
          <cell r="F1184" t="str">
            <v>AC-2600i Ford Escape</v>
          </cell>
          <cell r="G1184">
            <v>200000</v>
          </cell>
          <cell r="H1184" t="str">
            <v>Nacional</v>
          </cell>
          <cell r="I1184">
            <v>10</v>
          </cell>
          <cell r="J1184" t="str">
            <v>STD</v>
          </cell>
          <cell r="L1184">
            <v>59203</v>
          </cell>
          <cell r="M1184">
            <v>2574.0434782608695</v>
          </cell>
          <cell r="O1184" t="str">
            <v>COMPLEMENTO PLACA DE AJUSTE (CANAL DE CARGA)</v>
          </cell>
        </row>
        <row r="1185">
          <cell r="D1185" t="str">
            <v>HTJA030175</v>
          </cell>
          <cell r="E1185" t="str">
            <v>10226752</v>
          </cell>
          <cell r="F1185" t="str">
            <v>AC-2600i DNA (Preforma)</v>
          </cell>
          <cell r="G1185">
            <v>200000</v>
          </cell>
          <cell r="H1185" t="str">
            <v>Nacional</v>
          </cell>
          <cell r="I1185">
            <v>10</v>
          </cell>
          <cell r="J1185" t="str">
            <v>STD</v>
          </cell>
          <cell r="L1185">
            <v>31536</v>
          </cell>
          <cell r="M1185">
            <v>1371.1304347826087</v>
          </cell>
          <cell r="O1185" t="str">
            <v>COMPLEMENTO PLACA DE AJUSTE (CANAL DE CARGA)</v>
          </cell>
        </row>
        <row r="1186">
          <cell r="D1186" t="str">
            <v>HTJA030175</v>
          </cell>
          <cell r="E1186" t="str">
            <v>10054551</v>
          </cell>
          <cell r="F1186" t="str">
            <v>AC-2650 JC49 / GS PLT / DNA</v>
          </cell>
          <cell r="G1186">
            <v>200000</v>
          </cell>
          <cell r="H1186" t="str">
            <v>Nacional</v>
          </cell>
          <cell r="I1186">
            <v>10</v>
          </cell>
          <cell r="J1186" t="str">
            <v>STD</v>
          </cell>
          <cell r="L1186">
            <v>11932</v>
          </cell>
          <cell r="M1186">
            <v>518.78260869565213</v>
          </cell>
          <cell r="O1186" t="str">
            <v>COMPLEMENTO PLACA DE AJUSTE (CANAL DE CARGA)</v>
          </cell>
        </row>
        <row r="1187">
          <cell r="D1187" t="str">
            <v>HTJA030175</v>
          </cell>
          <cell r="E1187" t="str">
            <v>10226751</v>
          </cell>
          <cell r="F1187" t="str">
            <v>AC-2650 DNA</v>
          </cell>
          <cell r="G1187">
            <v>200000</v>
          </cell>
          <cell r="H1187" t="str">
            <v>Nacional</v>
          </cell>
          <cell r="I1187">
            <v>10</v>
          </cell>
          <cell r="J1187" t="str">
            <v>STD</v>
          </cell>
          <cell r="L1187">
            <v>24453</v>
          </cell>
          <cell r="M1187">
            <v>1063.1739130434783</v>
          </cell>
          <cell r="O1187" t="str">
            <v>COMPLEMENTO PLACA DE AJUSTE (CANAL DE CARGA)</v>
          </cell>
        </row>
        <row r="1188">
          <cell r="D1188" t="str">
            <v>HTJA030175</v>
          </cell>
          <cell r="E1188" t="str">
            <v>8152050226</v>
          </cell>
          <cell r="F1188" t="str">
            <v>UF-2600i PQ-35 VW</v>
          </cell>
          <cell r="G1188">
            <v>200000</v>
          </cell>
          <cell r="H1188" t="str">
            <v>Nacional</v>
          </cell>
          <cell r="I1188">
            <v>10</v>
          </cell>
          <cell r="J1188" t="str">
            <v>STD</v>
          </cell>
          <cell r="L1188">
            <v>38227.399999999994</v>
          </cell>
          <cell r="M1188">
            <v>1662.0608695652172</v>
          </cell>
          <cell r="O1188" t="str">
            <v>COMPLEMENTO PLACA DE AJUSTE (CANAL DE CARGA)</v>
          </cell>
        </row>
        <row r="1189">
          <cell r="D1189" t="str">
            <v>HTJA030175</v>
          </cell>
          <cell r="E1189" t="str">
            <v>10060762</v>
          </cell>
          <cell r="F1189" t="str">
            <v>UF-2600i Ford Explorer</v>
          </cell>
          <cell r="G1189">
            <v>200000</v>
          </cell>
          <cell r="H1189" t="str">
            <v>Nacional</v>
          </cell>
          <cell r="I1189">
            <v>10</v>
          </cell>
          <cell r="J1189" t="str">
            <v>STD</v>
          </cell>
          <cell r="L1189">
            <v>0</v>
          </cell>
          <cell r="M1189">
            <v>0</v>
          </cell>
          <cell r="O1189" t="str">
            <v>COMPLEMENTO PLACA DE AJUSTE (CANAL DE CARGA)</v>
          </cell>
        </row>
        <row r="1190">
          <cell r="D1190" t="str">
            <v>HTJA030175</v>
          </cell>
          <cell r="E1190" t="str">
            <v>00806088</v>
          </cell>
          <cell r="F1190" t="str">
            <v>UF-2600i Hyundai</v>
          </cell>
          <cell r="G1190">
            <v>200000</v>
          </cell>
          <cell r="H1190" t="str">
            <v>Nacional</v>
          </cell>
          <cell r="I1190">
            <v>10</v>
          </cell>
          <cell r="J1190" t="str">
            <v>STD</v>
          </cell>
          <cell r="L1190">
            <v>0</v>
          </cell>
          <cell r="M1190">
            <v>0</v>
          </cell>
          <cell r="O1190" t="str">
            <v>COMPLEMENTO PLACA DE AJUSTE (CANAL DE CARGA)</v>
          </cell>
        </row>
        <row r="1191">
          <cell r="D1191" t="str">
            <v>HTJA030175</v>
          </cell>
          <cell r="E1191" t="str">
            <v>10235857</v>
          </cell>
          <cell r="F1191" t="str">
            <v>UF-2600i DNA (Preforma)</v>
          </cell>
          <cell r="G1191">
            <v>200000</v>
          </cell>
          <cell r="H1191" t="str">
            <v>Nacional</v>
          </cell>
          <cell r="I1191">
            <v>10</v>
          </cell>
          <cell r="J1191" t="str">
            <v>STD</v>
          </cell>
          <cell r="L1191">
            <v>0</v>
          </cell>
          <cell r="M1191">
            <v>0</v>
          </cell>
          <cell r="O1191" t="str">
            <v>COMPLEMENTO PLACA DE AJUSTE (CANAL DE CARGA)</v>
          </cell>
        </row>
        <row r="1192">
          <cell r="D1192" t="str">
            <v>HTJA030175</v>
          </cell>
          <cell r="E1192" t="str">
            <v>10018041</v>
          </cell>
          <cell r="F1192" t="str">
            <v>UF-3300i W</v>
          </cell>
          <cell r="G1192">
            <v>200000</v>
          </cell>
          <cell r="H1192" t="str">
            <v>Nacional</v>
          </cell>
          <cell r="I1192">
            <v>10</v>
          </cell>
          <cell r="J1192" t="str">
            <v>STD</v>
          </cell>
          <cell r="L1192">
            <v>13520.454678603319</v>
          </cell>
          <cell r="M1192">
            <v>587.84585559144864</v>
          </cell>
          <cell r="O1192" t="str">
            <v>COMPLEMENTO PLACA DE AJUSTE (CANAL DE CARGA)</v>
          </cell>
        </row>
        <row r="1193">
          <cell r="D1193" t="str">
            <v>HTJA030175</v>
          </cell>
          <cell r="E1193" t="str">
            <v>10009621</v>
          </cell>
          <cell r="F1193" t="str">
            <v>UF-4600i W</v>
          </cell>
          <cell r="G1193">
            <v>200000</v>
          </cell>
          <cell r="H1193" t="str">
            <v>Nacional</v>
          </cell>
          <cell r="I1193">
            <v>10</v>
          </cell>
          <cell r="J1193" t="str">
            <v>STD</v>
          </cell>
          <cell r="L1193">
            <v>33932.483034337194</v>
          </cell>
          <cell r="M1193">
            <v>1475.3253493190084</v>
          </cell>
          <cell r="O1193" t="str">
            <v>COMPLEMENTO PLACA DE AJUSTE (CANAL DE CARGA)</v>
          </cell>
        </row>
        <row r="1194">
          <cell r="D1194" t="str">
            <v>HTJA030175</v>
          </cell>
          <cell r="E1194" t="str">
            <v>7056050202</v>
          </cell>
          <cell r="F1194" t="str">
            <v>A4 RF-91 Concept One</v>
          </cell>
          <cell r="G1194">
            <v>200000</v>
          </cell>
          <cell r="H1194" t="str">
            <v>Nacional</v>
          </cell>
          <cell r="I1194">
            <v>10</v>
          </cell>
          <cell r="J1194" t="str">
            <v>STD</v>
          </cell>
          <cell r="L1194">
            <v>0</v>
          </cell>
          <cell r="M1194">
            <v>0</v>
          </cell>
          <cell r="O1194" t="str">
            <v>COMPLEMENTO PLACA DE AJUSTE (CANAL DE CARGA)</v>
          </cell>
        </row>
        <row r="1195">
          <cell r="D1195" t="str">
            <v>HTJA030175</v>
          </cell>
          <cell r="E1195" t="str">
            <v>7174050203</v>
          </cell>
          <cell r="F1195" t="str">
            <v>A4 RF-95</v>
          </cell>
          <cell r="G1195">
            <v>200000</v>
          </cell>
          <cell r="H1195" t="str">
            <v>Nacional</v>
          </cell>
          <cell r="I1195">
            <v>10</v>
          </cell>
          <cell r="J1195" t="str">
            <v>STD</v>
          </cell>
          <cell r="L1195">
            <v>8133.6</v>
          </cell>
          <cell r="M1195">
            <v>353.63478260869567</v>
          </cell>
          <cell r="O1195" t="str">
            <v>COMPLEMENTO PLACA DE AJUSTE (CANAL DE CARGA)</v>
          </cell>
        </row>
        <row r="1196">
          <cell r="D1196" t="str">
            <v>HTJA030176</v>
          </cell>
          <cell r="E1196" t="str">
            <v>8647050233</v>
          </cell>
          <cell r="F1196" t="str">
            <v>AC-2000i Honda Acura</v>
          </cell>
          <cell r="G1196">
            <v>50000</v>
          </cell>
          <cell r="H1196" t="str">
            <v>Profirrol</v>
          </cell>
          <cell r="I1196">
            <v>30</v>
          </cell>
          <cell r="J1196" t="str">
            <v>STD</v>
          </cell>
          <cell r="L1196">
            <v>74729.200000000012</v>
          </cell>
          <cell r="M1196">
            <v>3249.0956521739135</v>
          </cell>
          <cell r="O1196" t="str">
            <v>RONDANA DE AJUSTE P/RODILLO REDONDO</v>
          </cell>
        </row>
        <row r="1197">
          <cell r="D1197" t="str">
            <v>HTJA030176</v>
          </cell>
          <cell r="E1197" t="str">
            <v>10232841</v>
          </cell>
          <cell r="F1197" t="str">
            <v>AC-2000i DNA (Preforma)</v>
          </cell>
          <cell r="G1197">
            <v>500000</v>
          </cell>
          <cell r="H1197" t="str">
            <v>Nacional</v>
          </cell>
          <cell r="I1197">
            <v>15</v>
          </cell>
          <cell r="J1197" t="str">
            <v>STD</v>
          </cell>
          <cell r="L1197">
            <v>99000</v>
          </cell>
          <cell r="M1197">
            <v>4304.347826086957</v>
          </cell>
          <cell r="O1197" t="str">
            <v>RONDANA DE AJUSTE P/RODILLO REDONDO</v>
          </cell>
        </row>
        <row r="1198">
          <cell r="D1198" t="str">
            <v>HTJA030176</v>
          </cell>
          <cell r="E1198" t="str">
            <v>4302091005</v>
          </cell>
          <cell r="F1198" t="str">
            <v>C-2000 PL-BODY</v>
          </cell>
          <cell r="G1198">
            <v>500000</v>
          </cell>
          <cell r="H1198" t="str">
            <v>Nacional</v>
          </cell>
          <cell r="I1198">
            <v>16</v>
          </cell>
          <cell r="J1198" t="str">
            <v>STD</v>
          </cell>
          <cell r="L1198">
            <v>0</v>
          </cell>
          <cell r="M1198">
            <v>0</v>
          </cell>
          <cell r="O1198" t="str">
            <v>RONDANA DE AJUSTE P/RODILLO REDONDO</v>
          </cell>
        </row>
        <row r="1199">
          <cell r="D1199" t="str">
            <v>HTJA030176</v>
          </cell>
          <cell r="E1199" t="str">
            <v>7324050215</v>
          </cell>
          <cell r="F1199" t="str">
            <v>AC-2300i PT-44</v>
          </cell>
          <cell r="G1199">
            <v>500000</v>
          </cell>
          <cell r="H1199" t="str">
            <v>Nacional</v>
          </cell>
          <cell r="I1199">
            <v>17</v>
          </cell>
          <cell r="J1199" t="str">
            <v>STD</v>
          </cell>
          <cell r="L1199">
            <v>58512.600000000006</v>
          </cell>
          <cell r="M1199">
            <v>2544.0260869565218</v>
          </cell>
          <cell r="O1199" t="str">
            <v>RONDANA DE AJUSTE P/RODILLO REDONDO</v>
          </cell>
        </row>
        <row r="1200">
          <cell r="D1200" t="str">
            <v>HTJA030176</v>
          </cell>
          <cell r="E1200" t="str">
            <v>10226750</v>
          </cell>
          <cell r="F1200" t="str">
            <v>AC-2300i DNA (Preforma)</v>
          </cell>
          <cell r="G1200">
            <v>500000</v>
          </cell>
          <cell r="H1200" t="str">
            <v>Nacional</v>
          </cell>
          <cell r="I1200">
            <v>18</v>
          </cell>
          <cell r="J1200" t="str">
            <v>STD</v>
          </cell>
          <cell r="L1200">
            <v>52509.599999999999</v>
          </cell>
          <cell r="M1200">
            <v>2283.0260869565218</v>
          </cell>
          <cell r="O1200" t="str">
            <v>RONDANA DE AJUSTE P/RODILLO REDONDO</v>
          </cell>
        </row>
        <row r="1201">
          <cell r="D1201" t="str">
            <v>HTJA030176</v>
          </cell>
          <cell r="E1201" t="str">
            <v>7553050217</v>
          </cell>
          <cell r="F1201" t="str">
            <v>AC-2600i PT-Turbo</v>
          </cell>
          <cell r="G1201">
            <v>500000</v>
          </cell>
          <cell r="H1201" t="str">
            <v>Nacional</v>
          </cell>
          <cell r="I1201">
            <v>19</v>
          </cell>
          <cell r="J1201" t="str">
            <v>STD</v>
          </cell>
          <cell r="L1201">
            <v>37981.199999999997</v>
          </cell>
          <cell r="M1201">
            <v>1651.3565217391304</v>
          </cell>
          <cell r="O1201" t="str">
            <v>RONDANA DE AJUSTE P/RODILLO REDONDO</v>
          </cell>
        </row>
        <row r="1202">
          <cell r="D1202" t="str">
            <v>HTJA030176</v>
          </cell>
          <cell r="E1202" t="str">
            <v>10001024R</v>
          </cell>
          <cell r="F1202" t="str">
            <v>AC-2600i Ford Escape</v>
          </cell>
          <cell r="G1202">
            <v>500000</v>
          </cell>
          <cell r="H1202" t="str">
            <v>Nacional</v>
          </cell>
          <cell r="I1202">
            <v>20</v>
          </cell>
          <cell r="J1202" t="str">
            <v>STD</v>
          </cell>
          <cell r="L1202">
            <v>59203</v>
          </cell>
          <cell r="M1202">
            <v>2574.0434782608695</v>
          </cell>
          <cell r="O1202" t="str">
            <v>RONDANA DE AJUSTE P/RODILLO REDONDO</v>
          </cell>
        </row>
        <row r="1203">
          <cell r="D1203" t="str">
            <v>HTJA030176</v>
          </cell>
          <cell r="E1203" t="str">
            <v>10226752</v>
          </cell>
          <cell r="F1203" t="str">
            <v>AC-2600i DNA (Preforma)</v>
          </cell>
          <cell r="G1203">
            <v>500000</v>
          </cell>
          <cell r="H1203" t="str">
            <v>Nacional</v>
          </cell>
          <cell r="I1203">
            <v>21</v>
          </cell>
          <cell r="J1203" t="str">
            <v>STD</v>
          </cell>
          <cell r="L1203">
            <v>31536</v>
          </cell>
          <cell r="M1203">
            <v>1371.1304347826087</v>
          </cell>
          <cell r="O1203" t="str">
            <v>RONDANA DE AJUSTE P/RODILLO REDONDO</v>
          </cell>
        </row>
        <row r="1204">
          <cell r="D1204" t="str">
            <v>HTJA030176</v>
          </cell>
          <cell r="E1204" t="str">
            <v>10054551</v>
          </cell>
          <cell r="F1204" t="str">
            <v>AC-2650 JC49 / GS PLT / DNA</v>
          </cell>
          <cell r="G1204">
            <v>500000</v>
          </cell>
          <cell r="H1204" t="str">
            <v>Nacional</v>
          </cell>
          <cell r="I1204">
            <v>22</v>
          </cell>
          <cell r="J1204" t="str">
            <v>STD</v>
          </cell>
          <cell r="L1204">
            <v>11932</v>
          </cell>
          <cell r="M1204">
            <v>518.78260869565213</v>
          </cell>
          <cell r="O1204" t="str">
            <v>RONDANA DE AJUSTE P/RODILLO REDONDO</v>
          </cell>
        </row>
        <row r="1205">
          <cell r="D1205" t="str">
            <v>HTJA030176</v>
          </cell>
          <cell r="E1205" t="str">
            <v>10226751</v>
          </cell>
          <cell r="F1205" t="str">
            <v>AC-2650 DNA</v>
          </cell>
          <cell r="G1205">
            <v>500000</v>
          </cell>
          <cell r="H1205" t="str">
            <v>Nacional</v>
          </cell>
          <cell r="I1205">
            <v>23</v>
          </cell>
          <cell r="J1205" t="str">
            <v>STD</v>
          </cell>
          <cell r="L1205">
            <v>24453</v>
          </cell>
          <cell r="M1205">
            <v>1063.1739130434783</v>
          </cell>
          <cell r="O1205" t="str">
            <v>RONDANA DE AJUSTE P/RODILLO REDONDO</v>
          </cell>
        </row>
        <row r="1206">
          <cell r="D1206" t="str">
            <v>HTJA030176</v>
          </cell>
          <cell r="E1206" t="str">
            <v>8152050226</v>
          </cell>
          <cell r="F1206" t="str">
            <v>UF-2600i PQ-35 VW</v>
          </cell>
          <cell r="G1206">
            <v>500000</v>
          </cell>
          <cell r="H1206" t="str">
            <v>Nacional</v>
          </cell>
          <cell r="I1206">
            <v>24</v>
          </cell>
          <cell r="J1206" t="str">
            <v>STD</v>
          </cell>
          <cell r="L1206">
            <v>38227.399999999994</v>
          </cell>
          <cell r="M1206">
            <v>1662.0608695652172</v>
          </cell>
          <cell r="O1206" t="str">
            <v>RONDANA DE AJUSTE P/RODILLO REDONDO</v>
          </cell>
        </row>
        <row r="1207">
          <cell r="D1207" t="str">
            <v>HTJA030176</v>
          </cell>
          <cell r="E1207" t="str">
            <v>10060762</v>
          </cell>
          <cell r="F1207" t="str">
            <v>UF-2600i Ford Explorer</v>
          </cell>
          <cell r="G1207">
            <v>500000</v>
          </cell>
          <cell r="H1207" t="str">
            <v>Nacional</v>
          </cell>
          <cell r="I1207">
            <v>25</v>
          </cell>
          <cell r="J1207" t="str">
            <v>STD</v>
          </cell>
          <cell r="L1207">
            <v>0</v>
          </cell>
          <cell r="M1207">
            <v>0</v>
          </cell>
          <cell r="O1207" t="str">
            <v>RONDANA DE AJUSTE P/RODILLO REDONDO</v>
          </cell>
        </row>
        <row r="1208">
          <cell r="D1208" t="str">
            <v>HTJA030176</v>
          </cell>
          <cell r="E1208" t="str">
            <v>00806088</v>
          </cell>
          <cell r="F1208" t="str">
            <v>UF-2600i Hyundai</v>
          </cell>
          <cell r="G1208">
            <v>500000</v>
          </cell>
          <cell r="H1208" t="str">
            <v>Nacional</v>
          </cell>
          <cell r="I1208">
            <v>26</v>
          </cell>
          <cell r="J1208" t="str">
            <v>STD</v>
          </cell>
          <cell r="L1208">
            <v>0</v>
          </cell>
          <cell r="M1208">
            <v>0</v>
          </cell>
          <cell r="O1208" t="str">
            <v>RONDANA DE AJUSTE P/RODILLO REDONDO</v>
          </cell>
        </row>
        <row r="1209">
          <cell r="D1209" t="str">
            <v>HTJA030176</v>
          </cell>
          <cell r="E1209" t="str">
            <v>10235857</v>
          </cell>
          <cell r="F1209" t="str">
            <v>UF-2600i DNA (Preforma)</v>
          </cell>
          <cell r="G1209">
            <v>500000</v>
          </cell>
          <cell r="H1209" t="str">
            <v>Nacional</v>
          </cell>
          <cell r="I1209">
            <v>27</v>
          </cell>
          <cell r="J1209" t="str">
            <v>STD</v>
          </cell>
          <cell r="L1209">
            <v>0</v>
          </cell>
          <cell r="M1209">
            <v>0</v>
          </cell>
          <cell r="O1209" t="str">
            <v>RONDANA DE AJUSTE P/RODILLO REDONDO</v>
          </cell>
        </row>
        <row r="1210">
          <cell r="D1210" t="str">
            <v>HTJA030176</v>
          </cell>
          <cell r="E1210" t="str">
            <v>10018041</v>
          </cell>
          <cell r="F1210" t="str">
            <v>UF-3300i W</v>
          </cell>
          <cell r="G1210">
            <v>500000</v>
          </cell>
          <cell r="H1210" t="str">
            <v>Nacional</v>
          </cell>
          <cell r="I1210">
            <v>28</v>
          </cell>
          <cell r="J1210" t="str">
            <v>STD</v>
          </cell>
          <cell r="L1210">
            <v>13520.454678603319</v>
          </cell>
          <cell r="M1210">
            <v>587.84585559144864</v>
          </cell>
          <cell r="O1210" t="str">
            <v>RONDANA DE AJUSTE P/RODILLO REDONDO</v>
          </cell>
        </row>
        <row r="1211">
          <cell r="D1211" t="str">
            <v>HTJA030176</v>
          </cell>
          <cell r="E1211" t="str">
            <v>10009621</v>
          </cell>
          <cell r="F1211" t="str">
            <v>UF-4600i W</v>
          </cell>
          <cell r="G1211">
            <v>500000</v>
          </cell>
          <cell r="H1211" t="str">
            <v>Nacional</v>
          </cell>
          <cell r="I1211">
            <v>29</v>
          </cell>
          <cell r="J1211" t="str">
            <v>STD</v>
          </cell>
          <cell r="L1211">
            <v>33932.483034337194</v>
          </cell>
          <cell r="M1211">
            <v>1475.3253493190084</v>
          </cell>
          <cell r="O1211" t="str">
            <v>RONDANA DE AJUSTE P/RODILLO REDONDO</v>
          </cell>
        </row>
        <row r="1212">
          <cell r="D1212" t="str">
            <v>HTJA030176</v>
          </cell>
          <cell r="E1212" t="str">
            <v>7056050202</v>
          </cell>
          <cell r="F1212" t="str">
            <v>A4 RF-91 Concept One</v>
          </cell>
          <cell r="G1212">
            <v>500000</v>
          </cell>
          <cell r="H1212" t="str">
            <v>Nacional</v>
          </cell>
          <cell r="I1212">
            <v>30</v>
          </cell>
          <cell r="J1212" t="str">
            <v>STD</v>
          </cell>
          <cell r="L1212">
            <v>0</v>
          </cell>
          <cell r="M1212">
            <v>0</v>
          </cell>
          <cell r="O1212" t="str">
            <v>RONDANA DE AJUSTE P/RODILLO REDONDO</v>
          </cell>
        </row>
        <row r="1213">
          <cell r="D1213" t="str">
            <v>HTJA030176</v>
          </cell>
          <cell r="E1213" t="str">
            <v>7174050203</v>
          </cell>
          <cell r="F1213" t="str">
            <v>A4 RF-95</v>
          </cell>
          <cell r="G1213">
            <v>500000</v>
          </cell>
          <cell r="H1213" t="str">
            <v>Nacional</v>
          </cell>
          <cell r="I1213">
            <v>15</v>
          </cell>
          <cell r="J1213" t="str">
            <v>STD</v>
          </cell>
          <cell r="L1213">
            <v>8133.6</v>
          </cell>
          <cell r="M1213">
            <v>353.63478260869567</v>
          </cell>
          <cell r="O1213" t="str">
            <v>RONDANA DE AJUSTE P/RODILLO REDONDO</v>
          </cell>
        </row>
        <row r="1214">
          <cell r="D1214" t="str">
            <v>HTJA030184P</v>
          </cell>
          <cell r="E1214" t="str">
            <v>8152050226</v>
          </cell>
          <cell r="F1214" t="str">
            <v>UF-2600i PQ-35 VW</v>
          </cell>
          <cell r="G1214">
            <v>500000</v>
          </cell>
          <cell r="H1214" t="str">
            <v>Profirrol</v>
          </cell>
          <cell r="I1214">
            <v>30</v>
          </cell>
          <cell r="J1214" t="str">
            <v>UF-2600i</v>
          </cell>
          <cell r="L1214">
            <v>38227.399999999994</v>
          </cell>
          <cell r="M1214">
            <v>1662.0608695652172</v>
          </cell>
          <cell r="O1214" t="str">
            <v>PLATO CONICO P/RODILLO INFERIOR DERECHO ( PROFIROLL )</v>
          </cell>
        </row>
        <row r="1215">
          <cell r="D1215" t="str">
            <v>HTJA030184P</v>
          </cell>
          <cell r="E1215" t="str">
            <v>10060762</v>
          </cell>
          <cell r="F1215" t="str">
            <v>UF-2600i Ford Explorer</v>
          </cell>
          <cell r="G1215">
            <v>500000</v>
          </cell>
          <cell r="H1215" t="str">
            <v>Profirrol</v>
          </cell>
          <cell r="I1215">
            <v>30</v>
          </cell>
          <cell r="J1215" t="str">
            <v>UF-2600i</v>
          </cell>
          <cell r="L1215">
            <v>0</v>
          </cell>
          <cell r="M1215">
            <v>0</v>
          </cell>
          <cell r="O1215" t="str">
            <v>PLATO CONICO P/RODILLO INFERIOR DERECHO ( PROFIROLL )</v>
          </cell>
        </row>
        <row r="1216">
          <cell r="D1216" t="str">
            <v>HTJA030184P</v>
          </cell>
          <cell r="E1216" t="str">
            <v>00806088</v>
          </cell>
          <cell r="F1216" t="str">
            <v>UF-2600i Hyundai</v>
          </cell>
          <cell r="G1216">
            <v>500000</v>
          </cell>
          <cell r="H1216" t="str">
            <v>Profirrol</v>
          </cell>
          <cell r="I1216">
            <v>30</v>
          </cell>
          <cell r="J1216" t="str">
            <v>UF-2600i</v>
          </cell>
          <cell r="L1216">
            <v>0</v>
          </cell>
          <cell r="M1216">
            <v>0</v>
          </cell>
          <cell r="O1216" t="str">
            <v>PLATO CONICO P/RODILLO INFERIOR DERECHO ( PROFIROLL )</v>
          </cell>
        </row>
        <row r="1217">
          <cell r="D1217" t="str">
            <v>HTJA030184P</v>
          </cell>
          <cell r="E1217" t="str">
            <v>10235857</v>
          </cell>
          <cell r="F1217" t="str">
            <v>UF-2600i DNA (Preforma)</v>
          </cell>
          <cell r="G1217">
            <v>500000</v>
          </cell>
          <cell r="H1217" t="str">
            <v>Profirrol</v>
          </cell>
          <cell r="I1217">
            <v>30</v>
          </cell>
          <cell r="J1217" t="str">
            <v>UF-2600i</v>
          </cell>
          <cell r="L1217">
            <v>0</v>
          </cell>
          <cell r="M1217">
            <v>0</v>
          </cell>
          <cell r="O1217" t="str">
            <v>PLATO CONICO P/RODILLO INFERIOR DERECHO ( PROFIROLL )</v>
          </cell>
        </row>
        <row r="1218">
          <cell r="D1218" t="str">
            <v>HTJA030184P</v>
          </cell>
          <cell r="E1218" t="str">
            <v>8152050226</v>
          </cell>
          <cell r="F1218" t="str">
            <v>UF-2600i PQ-35 VW</v>
          </cell>
          <cell r="G1218">
            <v>500000</v>
          </cell>
          <cell r="H1218" t="str">
            <v>Profirrol</v>
          </cell>
          <cell r="I1218">
            <v>30</v>
          </cell>
          <cell r="J1218" t="str">
            <v>UF-2600i</v>
          </cell>
          <cell r="L1218">
            <v>38227.399999999994</v>
          </cell>
          <cell r="M1218">
            <v>1662.0608695652172</v>
          </cell>
          <cell r="O1218" t="str">
            <v>PLATO CONICO P/RODILLO INFERIOR DERECHO ( PROFIROLL )</v>
          </cell>
        </row>
        <row r="1219">
          <cell r="D1219" t="str">
            <v>HTJA030184P</v>
          </cell>
          <cell r="E1219" t="str">
            <v>10060762</v>
          </cell>
          <cell r="F1219" t="str">
            <v>UF-2600i Ford Explorer</v>
          </cell>
          <cell r="G1219">
            <v>500000</v>
          </cell>
          <cell r="H1219" t="str">
            <v>Profirrol</v>
          </cell>
          <cell r="I1219">
            <v>30</v>
          </cell>
          <cell r="J1219" t="str">
            <v>UF-2600i</v>
          </cell>
          <cell r="L1219">
            <v>0</v>
          </cell>
          <cell r="M1219">
            <v>0</v>
          </cell>
          <cell r="O1219" t="str">
            <v>PLATO CONICO P/RODILLO INFERIOR DERECHO ( PROFIROLL )</v>
          </cell>
        </row>
        <row r="1220">
          <cell r="D1220" t="str">
            <v>HTJA030184P</v>
          </cell>
          <cell r="E1220" t="str">
            <v>00806088</v>
          </cell>
          <cell r="F1220" t="str">
            <v>UF-2600i Hyundai</v>
          </cell>
          <cell r="G1220">
            <v>500000</v>
          </cell>
          <cell r="H1220" t="str">
            <v>Profirrol</v>
          </cell>
          <cell r="I1220">
            <v>30</v>
          </cell>
          <cell r="J1220" t="str">
            <v>UF-2600i</v>
          </cell>
          <cell r="L1220">
            <v>0</v>
          </cell>
          <cell r="M1220">
            <v>0</v>
          </cell>
          <cell r="O1220" t="str">
            <v>PLATO CONICO P/RODILLO INFERIOR DERECHO ( PROFIROLL )</v>
          </cell>
        </row>
        <row r="1221">
          <cell r="D1221" t="str">
            <v>HTJA030184P</v>
          </cell>
          <cell r="E1221" t="str">
            <v>10235857</v>
          </cell>
          <cell r="F1221" t="str">
            <v>UF-2600i DNA (Preforma)</v>
          </cell>
          <cell r="G1221">
            <v>500000</v>
          </cell>
          <cell r="H1221" t="str">
            <v>Profirrol</v>
          </cell>
          <cell r="I1221">
            <v>30</v>
          </cell>
          <cell r="J1221" t="str">
            <v>UF-2600i</v>
          </cell>
          <cell r="L1221">
            <v>0</v>
          </cell>
          <cell r="M1221">
            <v>0</v>
          </cell>
          <cell r="O1221" t="str">
            <v>PLATO CONICO P/RODILLO INFERIOR DERECHO ( PROFIROLL )</v>
          </cell>
        </row>
        <row r="1222">
          <cell r="D1222" t="str">
            <v>HTJA030185</v>
          </cell>
          <cell r="E1222" t="str">
            <v>8647050233</v>
          </cell>
          <cell r="F1222" t="str">
            <v>AC-2000i Honda Acura</v>
          </cell>
          <cell r="G1222">
            <v>20000</v>
          </cell>
          <cell r="H1222" t="str">
            <v>Nacional</v>
          </cell>
          <cell r="I1222">
            <v>8</v>
          </cell>
          <cell r="J1222" t="str">
            <v>STD</v>
          </cell>
          <cell r="L1222">
            <v>74729.200000000012</v>
          </cell>
          <cell r="M1222">
            <v>3249.0956521739135</v>
          </cell>
          <cell r="O1222" t="str">
            <v>LAINA DE DESCARGA</v>
          </cell>
        </row>
        <row r="1223">
          <cell r="D1223" t="str">
            <v>HTJA030185</v>
          </cell>
          <cell r="E1223" t="str">
            <v>10232841</v>
          </cell>
          <cell r="F1223" t="str">
            <v>AC-2000i DNA (Preforma)</v>
          </cell>
          <cell r="G1223">
            <v>20000</v>
          </cell>
          <cell r="H1223" t="str">
            <v>Nacional</v>
          </cell>
          <cell r="I1223">
            <v>8</v>
          </cell>
          <cell r="J1223" t="str">
            <v>STD</v>
          </cell>
          <cell r="L1223">
            <v>99000</v>
          </cell>
          <cell r="M1223">
            <v>4304.347826086957</v>
          </cell>
          <cell r="O1223" t="str">
            <v>LAINA DE DESCARGA</v>
          </cell>
        </row>
        <row r="1224">
          <cell r="D1224" t="str">
            <v>HTJA030185</v>
          </cell>
          <cell r="E1224" t="str">
            <v>4302091005</v>
          </cell>
          <cell r="F1224" t="str">
            <v>C-2000 PL-BODY</v>
          </cell>
          <cell r="G1224">
            <v>20000</v>
          </cell>
          <cell r="H1224" t="str">
            <v>Nacional</v>
          </cell>
          <cell r="I1224">
            <v>8</v>
          </cell>
          <cell r="J1224" t="str">
            <v>STD</v>
          </cell>
          <cell r="L1224">
            <v>0</v>
          </cell>
          <cell r="M1224">
            <v>0</v>
          </cell>
          <cell r="O1224" t="str">
            <v>LAINA DE DESCARGA</v>
          </cell>
        </row>
        <row r="1225">
          <cell r="D1225" t="str">
            <v>HTJA030185</v>
          </cell>
          <cell r="E1225" t="str">
            <v>7324050215</v>
          </cell>
          <cell r="F1225" t="str">
            <v>AC-2300i PT-44</v>
          </cell>
          <cell r="G1225">
            <v>20000</v>
          </cell>
          <cell r="H1225" t="str">
            <v>Nacional</v>
          </cell>
          <cell r="I1225">
            <v>8</v>
          </cell>
          <cell r="J1225" t="str">
            <v>STD</v>
          </cell>
          <cell r="L1225">
            <v>58512.600000000006</v>
          </cell>
          <cell r="M1225">
            <v>2544.0260869565218</v>
          </cell>
          <cell r="O1225" t="str">
            <v>LAINA DE DESCARGA</v>
          </cell>
        </row>
        <row r="1226">
          <cell r="D1226" t="str">
            <v>HTJA030185</v>
          </cell>
          <cell r="E1226" t="str">
            <v>10226750</v>
          </cell>
          <cell r="F1226" t="str">
            <v>AC-2300i DNA (Preforma)</v>
          </cell>
          <cell r="G1226">
            <v>20000</v>
          </cell>
          <cell r="H1226" t="str">
            <v>Nacional</v>
          </cell>
          <cell r="I1226">
            <v>8</v>
          </cell>
          <cell r="J1226" t="str">
            <v>STD</v>
          </cell>
          <cell r="L1226">
            <v>52509.599999999999</v>
          </cell>
          <cell r="M1226">
            <v>2283.0260869565218</v>
          </cell>
          <cell r="O1226" t="str">
            <v>LAINA DE DESCARGA</v>
          </cell>
        </row>
        <row r="1227">
          <cell r="D1227" t="str">
            <v>HTJA030185</v>
          </cell>
          <cell r="E1227" t="str">
            <v>7553050217</v>
          </cell>
          <cell r="F1227" t="str">
            <v>AC-2600i PT-Turbo</v>
          </cell>
          <cell r="G1227">
            <v>20000</v>
          </cell>
          <cell r="H1227" t="str">
            <v>Nacional</v>
          </cell>
          <cell r="I1227">
            <v>8</v>
          </cell>
          <cell r="J1227" t="str">
            <v>STD</v>
          </cell>
          <cell r="L1227">
            <v>37981.199999999997</v>
          </cell>
          <cell r="M1227">
            <v>1651.3565217391304</v>
          </cell>
          <cell r="O1227" t="str">
            <v>LAINA DE DESCARGA</v>
          </cell>
        </row>
        <row r="1228">
          <cell r="D1228" t="str">
            <v>HTJA030185</v>
          </cell>
          <cell r="E1228" t="str">
            <v>10001024R</v>
          </cell>
          <cell r="F1228" t="str">
            <v>AC-2600i Ford Escape</v>
          </cell>
          <cell r="G1228">
            <v>20000</v>
          </cell>
          <cell r="H1228" t="str">
            <v>Nacional</v>
          </cell>
          <cell r="I1228">
            <v>8</v>
          </cell>
          <cell r="J1228" t="str">
            <v>STD</v>
          </cell>
          <cell r="L1228">
            <v>59203</v>
          </cell>
          <cell r="M1228">
            <v>2574.0434782608695</v>
          </cell>
          <cell r="O1228" t="str">
            <v>LAINA DE DESCARGA</v>
          </cell>
        </row>
        <row r="1229">
          <cell r="D1229" t="str">
            <v>HTJA030185</v>
          </cell>
          <cell r="E1229" t="str">
            <v>10226752</v>
          </cell>
          <cell r="F1229" t="str">
            <v>AC-2600i DNA (Preforma)</v>
          </cell>
          <cell r="G1229">
            <v>20000</v>
          </cell>
          <cell r="H1229" t="str">
            <v>Nacional</v>
          </cell>
          <cell r="I1229">
            <v>8</v>
          </cell>
          <cell r="J1229" t="str">
            <v>STD</v>
          </cell>
          <cell r="L1229">
            <v>31536</v>
          </cell>
          <cell r="M1229">
            <v>1371.1304347826087</v>
          </cell>
          <cell r="O1229" t="str">
            <v>LAINA DE DESCARGA</v>
          </cell>
        </row>
        <row r="1230">
          <cell r="D1230" t="str">
            <v>HTJA030185</v>
          </cell>
          <cell r="E1230" t="str">
            <v>10054551</v>
          </cell>
          <cell r="F1230" t="str">
            <v>AC-2650 JC49 / GS PLT / DNA</v>
          </cell>
          <cell r="G1230">
            <v>20000</v>
          </cell>
          <cell r="H1230" t="str">
            <v>Nacional</v>
          </cell>
          <cell r="I1230">
            <v>8</v>
          </cell>
          <cell r="J1230" t="str">
            <v>STD</v>
          </cell>
          <cell r="L1230">
            <v>11932</v>
          </cell>
          <cell r="M1230">
            <v>518.78260869565213</v>
          </cell>
          <cell r="O1230" t="str">
            <v>LAINA DE DESCARGA</v>
          </cell>
        </row>
        <row r="1231">
          <cell r="D1231" t="str">
            <v>HTJA030185</v>
          </cell>
          <cell r="E1231" t="str">
            <v>10226751</v>
          </cell>
          <cell r="F1231" t="str">
            <v>AC-2650 DNA</v>
          </cell>
          <cell r="G1231">
            <v>20000</v>
          </cell>
          <cell r="H1231" t="str">
            <v>Nacional</v>
          </cell>
          <cell r="I1231">
            <v>8</v>
          </cell>
          <cell r="J1231" t="str">
            <v>STD</v>
          </cell>
          <cell r="L1231">
            <v>24453</v>
          </cell>
          <cell r="M1231">
            <v>1063.1739130434783</v>
          </cell>
          <cell r="O1231" t="str">
            <v>LAINA DE DESCARGA</v>
          </cell>
        </row>
        <row r="1232">
          <cell r="D1232" t="str">
            <v>HTJA030185</v>
          </cell>
          <cell r="E1232" t="str">
            <v>8152050226</v>
          </cell>
          <cell r="F1232" t="str">
            <v>UF-2600i PQ-35 VW</v>
          </cell>
          <cell r="G1232">
            <v>20000</v>
          </cell>
          <cell r="H1232" t="str">
            <v>Nacional</v>
          </cell>
          <cell r="I1232">
            <v>8</v>
          </cell>
          <cell r="J1232" t="str">
            <v>STD</v>
          </cell>
          <cell r="L1232">
            <v>38227.399999999994</v>
          </cell>
          <cell r="M1232">
            <v>1662.0608695652172</v>
          </cell>
          <cell r="O1232" t="str">
            <v>LAINA DE DESCARGA</v>
          </cell>
        </row>
        <row r="1233">
          <cell r="D1233" t="str">
            <v>HTJA030185</v>
          </cell>
          <cell r="E1233" t="str">
            <v>10060762</v>
          </cell>
          <cell r="F1233" t="str">
            <v>UF-2600i Ford Explorer</v>
          </cell>
          <cell r="G1233">
            <v>20000</v>
          </cell>
          <cell r="H1233" t="str">
            <v>Nacional</v>
          </cell>
          <cell r="I1233">
            <v>8</v>
          </cell>
          <cell r="J1233" t="str">
            <v>STD</v>
          </cell>
          <cell r="L1233">
            <v>0</v>
          </cell>
          <cell r="M1233">
            <v>0</v>
          </cell>
          <cell r="O1233" t="str">
            <v>LAINA DE DESCARGA</v>
          </cell>
        </row>
        <row r="1234">
          <cell r="D1234" t="str">
            <v>HTJA030185</v>
          </cell>
          <cell r="E1234" t="str">
            <v>00806088</v>
          </cell>
          <cell r="F1234" t="str">
            <v>UF-2600i Hyundai</v>
          </cell>
          <cell r="G1234">
            <v>20000</v>
          </cell>
          <cell r="H1234" t="str">
            <v>Nacional</v>
          </cell>
          <cell r="I1234">
            <v>8</v>
          </cell>
          <cell r="J1234" t="str">
            <v>STD</v>
          </cell>
          <cell r="L1234">
            <v>0</v>
          </cell>
          <cell r="M1234">
            <v>0</v>
          </cell>
          <cell r="O1234" t="str">
            <v>LAINA DE DESCARGA</v>
          </cell>
        </row>
        <row r="1235">
          <cell r="D1235" t="str">
            <v>HTJA030185</v>
          </cell>
          <cell r="E1235" t="str">
            <v>10235857</v>
          </cell>
          <cell r="F1235" t="str">
            <v>UF-2600i DNA (Preforma)</v>
          </cell>
          <cell r="G1235">
            <v>20000</v>
          </cell>
          <cell r="H1235" t="str">
            <v>Nacional</v>
          </cell>
          <cell r="I1235">
            <v>8</v>
          </cell>
          <cell r="J1235" t="str">
            <v>STD</v>
          </cell>
          <cell r="L1235">
            <v>0</v>
          </cell>
          <cell r="M1235">
            <v>0</v>
          </cell>
          <cell r="O1235" t="str">
            <v>LAINA DE DESCARGA</v>
          </cell>
        </row>
        <row r="1236">
          <cell r="D1236" t="str">
            <v>HTJA030185</v>
          </cell>
          <cell r="E1236" t="str">
            <v>10018041</v>
          </cell>
          <cell r="F1236" t="str">
            <v>UF-3300i W</v>
          </cell>
          <cell r="G1236">
            <v>20000</v>
          </cell>
          <cell r="H1236" t="str">
            <v>Nacional</v>
          </cell>
          <cell r="I1236">
            <v>8</v>
          </cell>
          <cell r="J1236" t="str">
            <v>STD</v>
          </cell>
          <cell r="L1236">
            <v>13520.454678603319</v>
          </cell>
          <cell r="M1236">
            <v>587.84585559144864</v>
          </cell>
          <cell r="O1236" t="str">
            <v>LAINA DE DESCARGA</v>
          </cell>
        </row>
        <row r="1237">
          <cell r="D1237" t="str">
            <v>HTJA030185</v>
          </cell>
          <cell r="E1237" t="str">
            <v>10009621</v>
          </cell>
          <cell r="F1237" t="str">
            <v>UF-4600i W</v>
          </cell>
          <cell r="G1237">
            <v>20000</v>
          </cell>
          <cell r="H1237" t="str">
            <v>Nacional</v>
          </cell>
          <cell r="I1237">
            <v>8</v>
          </cell>
          <cell r="J1237" t="str">
            <v>STD</v>
          </cell>
          <cell r="L1237">
            <v>33932.483034337194</v>
          </cell>
          <cell r="M1237">
            <v>1475.3253493190084</v>
          </cell>
          <cell r="O1237" t="str">
            <v>LAINA DE DESCARGA</v>
          </cell>
        </row>
        <row r="1238">
          <cell r="D1238" t="str">
            <v>HTJA030185</v>
          </cell>
          <cell r="E1238" t="str">
            <v>7056050202</v>
          </cell>
          <cell r="F1238" t="str">
            <v>A4 RF-91 Concept One</v>
          </cell>
          <cell r="G1238">
            <v>20000</v>
          </cell>
          <cell r="H1238" t="str">
            <v>Nacional</v>
          </cell>
          <cell r="I1238">
            <v>8</v>
          </cell>
          <cell r="J1238" t="str">
            <v>STD</v>
          </cell>
          <cell r="L1238">
            <v>0</v>
          </cell>
          <cell r="M1238">
            <v>0</v>
          </cell>
          <cell r="O1238" t="str">
            <v>LAINA DE DESCARGA</v>
          </cell>
        </row>
        <row r="1239">
          <cell r="D1239" t="str">
            <v>HTJA030185</v>
          </cell>
          <cell r="E1239" t="str">
            <v>7174050203</v>
          </cell>
          <cell r="F1239" t="str">
            <v>A4 RF-95</v>
          </cell>
          <cell r="G1239">
            <v>20000</v>
          </cell>
          <cell r="H1239" t="str">
            <v>Nacional</v>
          </cell>
          <cell r="I1239">
            <v>8</v>
          </cell>
          <cell r="J1239" t="str">
            <v>STD</v>
          </cell>
          <cell r="L1239">
            <v>8133.6</v>
          </cell>
          <cell r="M1239">
            <v>353.63478260869567</v>
          </cell>
          <cell r="O1239" t="str">
            <v>LAINA DE DESCARGA</v>
          </cell>
        </row>
        <row r="1240">
          <cell r="D1240" t="str">
            <v>HTJA030186</v>
          </cell>
          <cell r="E1240" t="str">
            <v>8647050233</v>
          </cell>
          <cell r="F1240" t="str">
            <v>AC-2000i Honda Acura</v>
          </cell>
          <cell r="G1240">
            <v>300000</v>
          </cell>
          <cell r="H1240" t="str">
            <v>Profirrol</v>
          </cell>
          <cell r="I1240">
            <v>30</v>
          </cell>
          <cell r="J1240" t="str">
            <v>STD</v>
          </cell>
          <cell r="L1240">
            <v>74729.200000000012</v>
          </cell>
          <cell r="M1240">
            <v>3249.0956521739135</v>
          </cell>
          <cell r="O1240" t="str">
            <v>TAPA DE FLECHA</v>
          </cell>
        </row>
        <row r="1241">
          <cell r="D1241" t="str">
            <v>HTJA030186</v>
          </cell>
          <cell r="E1241" t="str">
            <v>10232841</v>
          </cell>
          <cell r="F1241" t="str">
            <v>AC-2000i DNA (Preforma)</v>
          </cell>
          <cell r="G1241">
            <v>300000</v>
          </cell>
          <cell r="H1241" t="str">
            <v>Profirrol</v>
          </cell>
          <cell r="I1241">
            <v>30</v>
          </cell>
          <cell r="J1241" t="str">
            <v>STD</v>
          </cell>
          <cell r="L1241">
            <v>99000</v>
          </cell>
          <cell r="M1241">
            <v>4304.347826086957</v>
          </cell>
          <cell r="O1241" t="str">
            <v>TAPA DE FLECHA</v>
          </cell>
        </row>
        <row r="1242">
          <cell r="D1242" t="str">
            <v>HTJA030186</v>
          </cell>
          <cell r="E1242" t="str">
            <v>4302091005</v>
          </cell>
          <cell r="F1242" t="str">
            <v>C-2000 PL-BODY</v>
          </cell>
          <cell r="G1242">
            <v>300000</v>
          </cell>
          <cell r="H1242" t="str">
            <v>Profirrol</v>
          </cell>
          <cell r="I1242">
            <v>30</v>
          </cell>
          <cell r="J1242" t="str">
            <v>STD</v>
          </cell>
          <cell r="L1242">
            <v>0</v>
          </cell>
          <cell r="M1242">
            <v>0</v>
          </cell>
          <cell r="O1242" t="str">
            <v>TAPA DE FLECHA</v>
          </cell>
        </row>
        <row r="1243">
          <cell r="D1243" t="str">
            <v>HTJA030186</v>
          </cell>
          <cell r="E1243" t="str">
            <v>7324050215</v>
          </cell>
          <cell r="F1243" t="str">
            <v>AC-2300i PT-44</v>
          </cell>
          <cell r="G1243">
            <v>300000</v>
          </cell>
          <cell r="H1243" t="str">
            <v>Profirrol</v>
          </cell>
          <cell r="I1243">
            <v>30</v>
          </cell>
          <cell r="J1243" t="str">
            <v>STD</v>
          </cell>
          <cell r="L1243">
            <v>58512.600000000006</v>
          </cell>
          <cell r="M1243">
            <v>2544.0260869565218</v>
          </cell>
          <cell r="O1243" t="str">
            <v>TAPA DE FLECHA</v>
          </cell>
        </row>
        <row r="1244">
          <cell r="D1244" t="str">
            <v>HTJA030186</v>
          </cell>
          <cell r="E1244" t="str">
            <v>10226750</v>
          </cell>
          <cell r="F1244" t="str">
            <v>AC-2300i DNA (Preforma)</v>
          </cell>
          <cell r="G1244">
            <v>300000</v>
          </cell>
          <cell r="H1244" t="str">
            <v>Profirrol</v>
          </cell>
          <cell r="I1244">
            <v>30</v>
          </cell>
          <cell r="J1244" t="str">
            <v>STD</v>
          </cell>
          <cell r="L1244">
            <v>52509.599999999999</v>
          </cell>
          <cell r="M1244">
            <v>2283.0260869565218</v>
          </cell>
          <cell r="O1244" t="str">
            <v>TAPA DE FLECHA</v>
          </cell>
        </row>
        <row r="1245">
          <cell r="D1245" t="str">
            <v>HTJA030186</v>
          </cell>
          <cell r="E1245" t="str">
            <v>7553050217</v>
          </cell>
          <cell r="F1245" t="str">
            <v>AC-2600i PT-Turbo</v>
          </cell>
          <cell r="G1245">
            <v>300000</v>
          </cell>
          <cell r="H1245" t="str">
            <v>Profirrol</v>
          </cell>
          <cell r="I1245">
            <v>30</v>
          </cell>
          <cell r="J1245" t="str">
            <v>STD</v>
          </cell>
          <cell r="L1245">
            <v>37981.199999999997</v>
          </cell>
          <cell r="M1245">
            <v>1651.3565217391304</v>
          </cell>
          <cell r="O1245" t="str">
            <v>TAPA DE FLECHA</v>
          </cell>
        </row>
        <row r="1246">
          <cell r="D1246" t="str">
            <v>HTJA030186</v>
          </cell>
          <cell r="E1246" t="str">
            <v>10001024R</v>
          </cell>
          <cell r="F1246" t="str">
            <v>AC-2600i Ford Escape</v>
          </cell>
          <cell r="G1246">
            <v>300000</v>
          </cell>
          <cell r="H1246" t="str">
            <v>Profirrol</v>
          </cell>
          <cell r="I1246">
            <v>30</v>
          </cell>
          <cell r="J1246" t="str">
            <v>STD</v>
          </cell>
          <cell r="L1246">
            <v>59203</v>
          </cell>
          <cell r="M1246">
            <v>2574.0434782608695</v>
          </cell>
          <cell r="O1246" t="str">
            <v>TAPA DE FLECHA</v>
          </cell>
        </row>
        <row r="1247">
          <cell r="D1247" t="str">
            <v>HTJA030186</v>
          </cell>
          <cell r="E1247" t="str">
            <v>10226752</v>
          </cell>
          <cell r="F1247" t="str">
            <v>AC-2600i DNA (Preforma)</v>
          </cell>
          <cell r="G1247">
            <v>300000</v>
          </cell>
          <cell r="H1247" t="str">
            <v>Profirrol</v>
          </cell>
          <cell r="I1247">
            <v>30</v>
          </cell>
          <cell r="J1247" t="str">
            <v>STD</v>
          </cell>
          <cell r="L1247">
            <v>31536</v>
          </cell>
          <cell r="M1247">
            <v>1371.1304347826087</v>
          </cell>
          <cell r="O1247" t="str">
            <v>TAPA DE FLECHA</v>
          </cell>
        </row>
        <row r="1248">
          <cell r="D1248" t="str">
            <v>HTJA030186</v>
          </cell>
          <cell r="E1248" t="str">
            <v>10054551</v>
          </cell>
          <cell r="F1248" t="str">
            <v>AC-2650 JC49 / GS PLT / DNA</v>
          </cell>
          <cell r="G1248">
            <v>300000</v>
          </cell>
          <cell r="H1248" t="str">
            <v>Profirrol</v>
          </cell>
          <cell r="I1248">
            <v>30</v>
          </cell>
          <cell r="J1248" t="str">
            <v>STD</v>
          </cell>
          <cell r="L1248">
            <v>11932</v>
          </cell>
          <cell r="M1248">
            <v>518.78260869565213</v>
          </cell>
          <cell r="O1248" t="str">
            <v>TAPA DE FLECHA</v>
          </cell>
        </row>
        <row r="1249">
          <cell r="D1249" t="str">
            <v>HTJA030186</v>
          </cell>
          <cell r="E1249" t="str">
            <v>10226751</v>
          </cell>
          <cell r="F1249" t="str">
            <v>AC-2650 DNA</v>
          </cell>
          <cell r="G1249">
            <v>300000</v>
          </cell>
          <cell r="H1249" t="str">
            <v>Profirrol</v>
          </cell>
          <cell r="I1249">
            <v>30</v>
          </cell>
          <cell r="J1249" t="str">
            <v>STD</v>
          </cell>
          <cell r="L1249">
            <v>24453</v>
          </cell>
          <cell r="M1249">
            <v>1063.1739130434783</v>
          </cell>
          <cell r="O1249" t="str">
            <v>TAPA DE FLECHA</v>
          </cell>
        </row>
        <row r="1250">
          <cell r="D1250" t="str">
            <v>HTJA030186</v>
          </cell>
          <cell r="E1250" t="str">
            <v>8152050226</v>
          </cell>
          <cell r="F1250" t="str">
            <v>UF-2600i PQ-35 VW</v>
          </cell>
          <cell r="G1250">
            <v>300000</v>
          </cell>
          <cell r="H1250" t="str">
            <v>Profirrol</v>
          </cell>
          <cell r="I1250">
            <v>30</v>
          </cell>
          <cell r="J1250" t="str">
            <v>STD</v>
          </cell>
          <cell r="L1250">
            <v>38227.399999999994</v>
          </cell>
          <cell r="M1250">
            <v>1662.0608695652172</v>
          </cell>
          <cell r="O1250" t="str">
            <v>TAPA DE FLECHA</v>
          </cell>
        </row>
        <row r="1251">
          <cell r="D1251" t="str">
            <v>HTJA030186</v>
          </cell>
          <cell r="E1251" t="str">
            <v>10060762</v>
          </cell>
          <cell r="F1251" t="str">
            <v>UF-2600i Ford Explorer</v>
          </cell>
          <cell r="G1251">
            <v>300000</v>
          </cell>
          <cell r="H1251" t="str">
            <v>Profirrol</v>
          </cell>
          <cell r="I1251">
            <v>30</v>
          </cell>
          <cell r="J1251" t="str">
            <v>STD</v>
          </cell>
          <cell r="L1251">
            <v>0</v>
          </cell>
          <cell r="M1251">
            <v>0</v>
          </cell>
          <cell r="O1251" t="str">
            <v>TAPA DE FLECHA</v>
          </cell>
        </row>
        <row r="1252">
          <cell r="D1252" t="str">
            <v>HTJA030186</v>
          </cell>
          <cell r="E1252" t="str">
            <v>00806088</v>
          </cell>
          <cell r="F1252" t="str">
            <v>UF-2600i Hyundai</v>
          </cell>
          <cell r="G1252">
            <v>300000</v>
          </cell>
          <cell r="H1252" t="str">
            <v>Profirrol</v>
          </cell>
          <cell r="I1252">
            <v>30</v>
          </cell>
          <cell r="J1252" t="str">
            <v>STD</v>
          </cell>
          <cell r="L1252">
            <v>0</v>
          </cell>
          <cell r="M1252">
            <v>0</v>
          </cell>
          <cell r="O1252" t="str">
            <v>TAPA DE FLECHA</v>
          </cell>
        </row>
        <row r="1253">
          <cell r="D1253" t="str">
            <v>HTJA030186</v>
          </cell>
          <cell r="E1253" t="str">
            <v>10235857</v>
          </cell>
          <cell r="F1253" t="str">
            <v>UF-2600i DNA (Preforma)</v>
          </cell>
          <cell r="G1253">
            <v>300000</v>
          </cell>
          <cell r="H1253" t="str">
            <v>Profirrol</v>
          </cell>
          <cell r="I1253">
            <v>30</v>
          </cell>
          <cell r="J1253" t="str">
            <v>STD</v>
          </cell>
          <cell r="L1253">
            <v>0</v>
          </cell>
          <cell r="M1253">
            <v>0</v>
          </cell>
          <cell r="O1253" t="str">
            <v>TAPA DE FLECHA</v>
          </cell>
        </row>
        <row r="1254">
          <cell r="D1254" t="str">
            <v>HTJA030186</v>
          </cell>
          <cell r="E1254" t="str">
            <v>10018041</v>
          </cell>
          <cell r="F1254" t="str">
            <v>UF-3300i W</v>
          </cell>
          <cell r="G1254">
            <v>300000</v>
          </cell>
          <cell r="H1254" t="str">
            <v>Profirrol</v>
          </cell>
          <cell r="I1254">
            <v>30</v>
          </cell>
          <cell r="J1254" t="str">
            <v>STD</v>
          </cell>
          <cell r="L1254">
            <v>13520.454678603319</v>
          </cell>
          <cell r="M1254">
            <v>587.84585559144864</v>
          </cell>
          <cell r="O1254" t="str">
            <v>TAPA DE FLECHA</v>
          </cell>
        </row>
        <row r="1255">
          <cell r="D1255" t="str">
            <v>HTJA030186</v>
          </cell>
          <cell r="E1255" t="str">
            <v>10009621</v>
          </cell>
          <cell r="F1255" t="str">
            <v>UF-4600i W</v>
          </cell>
          <cell r="G1255">
            <v>300000</v>
          </cell>
          <cell r="H1255" t="str">
            <v>Profirrol</v>
          </cell>
          <cell r="I1255">
            <v>30</v>
          </cell>
          <cell r="J1255" t="str">
            <v>STD</v>
          </cell>
          <cell r="L1255">
            <v>33932.483034337194</v>
          </cell>
          <cell r="M1255">
            <v>1475.3253493190084</v>
          </cell>
          <cell r="O1255" t="str">
            <v>TAPA DE FLECHA</v>
          </cell>
        </row>
        <row r="1256">
          <cell r="D1256" t="str">
            <v>HTJA030186</v>
          </cell>
          <cell r="E1256" t="str">
            <v>7056050202</v>
          </cell>
          <cell r="F1256" t="str">
            <v>A4 RF-91 Concept One</v>
          </cell>
          <cell r="G1256">
            <v>300000</v>
          </cell>
          <cell r="H1256" t="str">
            <v>Profirrol</v>
          </cell>
          <cell r="I1256">
            <v>30</v>
          </cell>
          <cell r="J1256" t="str">
            <v>STD</v>
          </cell>
          <cell r="L1256">
            <v>0</v>
          </cell>
          <cell r="M1256">
            <v>0</v>
          </cell>
          <cell r="O1256" t="str">
            <v>TAPA DE FLECHA</v>
          </cell>
        </row>
        <row r="1257">
          <cell r="D1257" t="str">
            <v>HTJA030186</v>
          </cell>
          <cell r="E1257" t="str">
            <v>7174050203</v>
          </cell>
          <cell r="F1257" t="str">
            <v>A4 RF-95</v>
          </cell>
          <cell r="G1257">
            <v>300000</v>
          </cell>
          <cell r="H1257" t="str">
            <v>Profirrol</v>
          </cell>
          <cell r="I1257">
            <v>30</v>
          </cell>
          <cell r="J1257" t="str">
            <v>STD</v>
          </cell>
          <cell r="L1257">
            <v>8133.6</v>
          </cell>
          <cell r="M1257">
            <v>353.63478260869567</v>
          </cell>
          <cell r="O1257" t="str">
            <v>TAPA DE FLECHA</v>
          </cell>
        </row>
        <row r="1258">
          <cell r="D1258" t="str">
            <v>HTJA030187</v>
          </cell>
          <cell r="E1258" t="str">
            <v>8647050233</v>
          </cell>
          <cell r="F1258" t="str">
            <v>AC-2000i Honda Acura</v>
          </cell>
          <cell r="G1258">
            <v>300000</v>
          </cell>
          <cell r="H1258" t="str">
            <v>Profirrol</v>
          </cell>
          <cell r="I1258">
            <v>30</v>
          </cell>
          <cell r="J1258" t="str">
            <v>STD</v>
          </cell>
          <cell r="L1258">
            <v>74729.200000000012</v>
          </cell>
          <cell r="M1258">
            <v>3249.0956521739135</v>
          </cell>
          <cell r="O1258" t="str">
            <v>TUERCA PARA RODILLO (DEMO)</v>
          </cell>
        </row>
        <row r="1259">
          <cell r="D1259" t="str">
            <v>HTJA030187</v>
          </cell>
          <cell r="E1259" t="str">
            <v>10232841</v>
          </cell>
          <cell r="F1259" t="str">
            <v>AC-2000i DNA (Preforma)</v>
          </cell>
          <cell r="G1259">
            <v>300000</v>
          </cell>
          <cell r="H1259" t="str">
            <v>Profirrol</v>
          </cell>
          <cell r="I1259">
            <v>30</v>
          </cell>
          <cell r="J1259" t="str">
            <v>STD</v>
          </cell>
          <cell r="L1259">
            <v>99000</v>
          </cell>
          <cell r="M1259">
            <v>4304.347826086957</v>
          </cell>
          <cell r="O1259" t="str">
            <v>TUERCA PARA RODILLO (DEMO)</v>
          </cell>
        </row>
        <row r="1260">
          <cell r="D1260" t="str">
            <v>HTJA030187</v>
          </cell>
          <cell r="E1260" t="str">
            <v>4302091005</v>
          </cell>
          <cell r="F1260" t="str">
            <v>C-2000 PL-BODY</v>
          </cell>
          <cell r="G1260">
            <v>300000</v>
          </cell>
          <cell r="H1260" t="str">
            <v>Profirrol</v>
          </cell>
          <cell r="I1260">
            <v>30</v>
          </cell>
          <cell r="J1260" t="str">
            <v>STD</v>
          </cell>
          <cell r="L1260">
            <v>0</v>
          </cell>
          <cell r="M1260">
            <v>0</v>
          </cell>
          <cell r="O1260" t="str">
            <v>TUERCA PARA RODILLO (DEMO)</v>
          </cell>
        </row>
        <row r="1261">
          <cell r="D1261" t="str">
            <v>HTJA030187</v>
          </cell>
          <cell r="E1261" t="str">
            <v>7324050215</v>
          </cell>
          <cell r="F1261" t="str">
            <v>AC-2300i PT-44</v>
          </cell>
          <cell r="G1261">
            <v>300000</v>
          </cell>
          <cell r="H1261" t="str">
            <v>Profirrol</v>
          </cell>
          <cell r="I1261">
            <v>30</v>
          </cell>
          <cell r="J1261" t="str">
            <v>STD</v>
          </cell>
          <cell r="L1261">
            <v>58512.600000000006</v>
          </cell>
          <cell r="M1261">
            <v>2544.0260869565218</v>
          </cell>
          <cell r="O1261" t="str">
            <v>TUERCA PARA RODILLO (DEMO)</v>
          </cell>
        </row>
        <row r="1262">
          <cell r="D1262" t="str">
            <v>HTJA030187</v>
          </cell>
          <cell r="E1262" t="str">
            <v>10226750</v>
          </cell>
          <cell r="F1262" t="str">
            <v>AC-2300i DNA (Preforma)</v>
          </cell>
          <cell r="G1262">
            <v>300000</v>
          </cell>
          <cell r="H1262" t="str">
            <v>Profirrol</v>
          </cell>
          <cell r="I1262">
            <v>30</v>
          </cell>
          <cell r="J1262" t="str">
            <v>STD</v>
          </cell>
          <cell r="L1262">
            <v>52509.599999999999</v>
          </cell>
          <cell r="M1262">
            <v>2283.0260869565218</v>
          </cell>
          <cell r="O1262" t="str">
            <v>TUERCA PARA RODILLO (DEMO)</v>
          </cell>
        </row>
        <row r="1263">
          <cell r="D1263" t="str">
            <v>HTJA030187</v>
          </cell>
          <cell r="E1263" t="str">
            <v>7553050217</v>
          </cell>
          <cell r="F1263" t="str">
            <v>AC-2600i PT-Turbo</v>
          </cell>
          <cell r="G1263">
            <v>300000</v>
          </cell>
          <cell r="H1263" t="str">
            <v>Profirrol</v>
          </cell>
          <cell r="I1263">
            <v>30</v>
          </cell>
          <cell r="J1263" t="str">
            <v>STD</v>
          </cell>
          <cell r="L1263">
            <v>37981.199999999997</v>
          </cell>
          <cell r="M1263">
            <v>1651.3565217391304</v>
          </cell>
          <cell r="O1263" t="str">
            <v>TUERCA PARA RODILLO (DEMO)</v>
          </cell>
        </row>
        <row r="1264">
          <cell r="D1264" t="str">
            <v>HTJA030187</v>
          </cell>
          <cell r="E1264" t="str">
            <v>10001024R</v>
          </cell>
          <cell r="F1264" t="str">
            <v>AC-2600i Ford Escape</v>
          </cell>
          <cell r="G1264">
            <v>300000</v>
          </cell>
          <cell r="H1264" t="str">
            <v>Profirrol</v>
          </cell>
          <cell r="I1264">
            <v>30</v>
          </cell>
          <cell r="J1264" t="str">
            <v>STD</v>
          </cell>
          <cell r="L1264">
            <v>59203</v>
          </cell>
          <cell r="M1264">
            <v>2574.0434782608695</v>
          </cell>
          <cell r="O1264" t="str">
            <v>TUERCA PARA RODILLO (DEMO)</v>
          </cell>
        </row>
        <row r="1265">
          <cell r="D1265" t="str">
            <v>HTJA030187</v>
          </cell>
          <cell r="E1265" t="str">
            <v>10226752</v>
          </cell>
          <cell r="F1265" t="str">
            <v>AC-2600i DNA (Preforma)</v>
          </cell>
          <cell r="G1265">
            <v>300000</v>
          </cell>
          <cell r="H1265" t="str">
            <v>Profirrol</v>
          </cell>
          <cell r="I1265">
            <v>30</v>
          </cell>
          <cell r="J1265" t="str">
            <v>STD</v>
          </cell>
          <cell r="L1265">
            <v>31536</v>
          </cell>
          <cell r="M1265">
            <v>1371.1304347826087</v>
          </cell>
          <cell r="O1265" t="str">
            <v>TUERCA PARA RODILLO (DEMO)</v>
          </cell>
        </row>
        <row r="1266">
          <cell r="D1266" t="str">
            <v>HTJA030187</v>
          </cell>
          <cell r="E1266" t="str">
            <v>10054551</v>
          </cell>
          <cell r="F1266" t="str">
            <v>AC-2650 JC49 / GS PLT / DNA</v>
          </cell>
          <cell r="G1266">
            <v>300000</v>
          </cell>
          <cell r="H1266" t="str">
            <v>Profirrol</v>
          </cell>
          <cell r="I1266">
            <v>30</v>
          </cell>
          <cell r="J1266" t="str">
            <v>STD</v>
          </cell>
          <cell r="L1266">
            <v>11932</v>
          </cell>
          <cell r="M1266">
            <v>518.78260869565213</v>
          </cell>
          <cell r="O1266" t="str">
            <v>TUERCA PARA RODILLO (DEMO)</v>
          </cell>
        </row>
        <row r="1267">
          <cell r="D1267" t="str">
            <v>HTJA030187</v>
          </cell>
          <cell r="E1267" t="str">
            <v>10226751</v>
          </cell>
          <cell r="F1267" t="str">
            <v>AC-2650 DNA</v>
          </cell>
          <cell r="G1267">
            <v>300000</v>
          </cell>
          <cell r="H1267" t="str">
            <v>Profirrol</v>
          </cell>
          <cell r="I1267">
            <v>30</v>
          </cell>
          <cell r="J1267" t="str">
            <v>STD</v>
          </cell>
          <cell r="L1267">
            <v>24453</v>
          </cell>
          <cell r="M1267">
            <v>1063.1739130434783</v>
          </cell>
          <cell r="O1267" t="str">
            <v>TUERCA PARA RODILLO (DEMO)</v>
          </cell>
        </row>
        <row r="1268">
          <cell r="D1268" t="str">
            <v>HTJA030187</v>
          </cell>
          <cell r="E1268" t="str">
            <v>8152050226</v>
          </cell>
          <cell r="F1268" t="str">
            <v>UF-2600i PQ-35 VW</v>
          </cell>
          <cell r="G1268">
            <v>300000</v>
          </cell>
          <cell r="H1268" t="str">
            <v>Profirrol</v>
          </cell>
          <cell r="I1268">
            <v>30</v>
          </cell>
          <cell r="J1268" t="str">
            <v>STD</v>
          </cell>
          <cell r="L1268">
            <v>38227.399999999994</v>
          </cell>
          <cell r="M1268">
            <v>1662.0608695652172</v>
          </cell>
          <cell r="O1268" t="str">
            <v>TUERCA PARA RODILLO (DEMO)</v>
          </cell>
        </row>
        <row r="1269">
          <cell r="D1269" t="str">
            <v>HTJA030187</v>
          </cell>
          <cell r="E1269" t="str">
            <v>10060762</v>
          </cell>
          <cell r="F1269" t="str">
            <v>UF-2600i Ford Explorer</v>
          </cell>
          <cell r="G1269">
            <v>300000</v>
          </cell>
          <cell r="H1269" t="str">
            <v>Profirrol</v>
          </cell>
          <cell r="I1269">
            <v>30</v>
          </cell>
          <cell r="J1269" t="str">
            <v>STD</v>
          </cell>
          <cell r="L1269">
            <v>0</v>
          </cell>
          <cell r="M1269">
            <v>0</v>
          </cell>
          <cell r="O1269" t="str">
            <v>TUERCA PARA RODILLO (DEMO)</v>
          </cell>
        </row>
        <row r="1270">
          <cell r="D1270" t="str">
            <v>HTJA030187</v>
          </cell>
          <cell r="E1270" t="str">
            <v>00806088</v>
          </cell>
          <cell r="F1270" t="str">
            <v>UF-2600i Hyundai</v>
          </cell>
          <cell r="G1270">
            <v>300000</v>
          </cell>
          <cell r="H1270" t="str">
            <v>Profirrol</v>
          </cell>
          <cell r="I1270">
            <v>30</v>
          </cell>
          <cell r="J1270" t="str">
            <v>STD</v>
          </cell>
          <cell r="L1270">
            <v>0</v>
          </cell>
          <cell r="M1270">
            <v>0</v>
          </cell>
          <cell r="O1270" t="str">
            <v>TUERCA PARA RODILLO (DEMO)</v>
          </cell>
        </row>
        <row r="1271">
          <cell r="D1271" t="str">
            <v>HTJA030187</v>
          </cell>
          <cell r="E1271" t="str">
            <v>10235857</v>
          </cell>
          <cell r="F1271" t="str">
            <v>UF-2600i DNA (Preforma)</v>
          </cell>
          <cell r="G1271">
            <v>300000</v>
          </cell>
          <cell r="H1271" t="str">
            <v>Profirrol</v>
          </cell>
          <cell r="I1271">
            <v>30</v>
          </cell>
          <cell r="J1271" t="str">
            <v>STD</v>
          </cell>
          <cell r="L1271">
            <v>0</v>
          </cell>
          <cell r="M1271">
            <v>0</v>
          </cell>
          <cell r="O1271" t="str">
            <v>TUERCA PARA RODILLO (DEMO)</v>
          </cell>
        </row>
        <row r="1272">
          <cell r="D1272" t="str">
            <v>HTJA030187</v>
          </cell>
          <cell r="E1272" t="str">
            <v>10018041</v>
          </cell>
          <cell r="F1272" t="str">
            <v>UF-3300i W</v>
          </cell>
          <cell r="G1272">
            <v>300000</v>
          </cell>
          <cell r="H1272" t="str">
            <v>Profirrol</v>
          </cell>
          <cell r="I1272">
            <v>30</v>
          </cell>
          <cell r="J1272" t="str">
            <v>STD</v>
          </cell>
          <cell r="L1272">
            <v>13520.454678603319</v>
          </cell>
          <cell r="M1272">
            <v>587.84585559144864</v>
          </cell>
          <cell r="O1272" t="str">
            <v>TUERCA PARA RODILLO (DEMO)</v>
          </cell>
        </row>
        <row r="1273">
          <cell r="D1273" t="str">
            <v>HTJA030187</v>
          </cell>
          <cell r="E1273" t="str">
            <v>10009621</v>
          </cell>
          <cell r="F1273" t="str">
            <v>UF-4600i W</v>
          </cell>
          <cell r="G1273">
            <v>300000</v>
          </cell>
          <cell r="H1273" t="str">
            <v>Profirrol</v>
          </cell>
          <cell r="I1273">
            <v>30</v>
          </cell>
          <cell r="J1273" t="str">
            <v>STD</v>
          </cell>
          <cell r="L1273">
            <v>33932.483034337194</v>
          </cell>
          <cell r="M1273">
            <v>1475.3253493190084</v>
          </cell>
          <cell r="O1273" t="str">
            <v>TUERCA PARA RODILLO (DEMO)</v>
          </cell>
        </row>
        <row r="1274">
          <cell r="D1274" t="str">
            <v>HTJA030187</v>
          </cell>
          <cell r="E1274" t="str">
            <v>7056050202</v>
          </cell>
          <cell r="F1274" t="str">
            <v>A4 RF-91 Concept One</v>
          </cell>
          <cell r="G1274">
            <v>300000</v>
          </cell>
          <cell r="H1274" t="str">
            <v>Profirrol</v>
          </cell>
          <cell r="I1274">
            <v>30</v>
          </cell>
          <cell r="J1274" t="str">
            <v>STD</v>
          </cell>
          <cell r="L1274">
            <v>0</v>
          </cell>
          <cell r="M1274">
            <v>0</v>
          </cell>
          <cell r="O1274" t="str">
            <v>TUERCA PARA RODILLO (DEMO)</v>
          </cell>
        </row>
        <row r="1275">
          <cell r="D1275" t="str">
            <v>HTJA030187</v>
          </cell>
          <cell r="E1275" t="str">
            <v>7174050203</v>
          </cell>
          <cell r="F1275" t="str">
            <v>A4 RF-95</v>
          </cell>
          <cell r="G1275">
            <v>300000</v>
          </cell>
          <cell r="H1275" t="str">
            <v>Profirrol</v>
          </cell>
          <cell r="I1275">
            <v>30</v>
          </cell>
          <cell r="J1275" t="str">
            <v>STD</v>
          </cell>
          <cell r="L1275">
            <v>8133.6</v>
          </cell>
          <cell r="M1275">
            <v>353.63478260869567</v>
          </cell>
          <cell r="O1275" t="str">
            <v>TUERCA PARA RODILLO (DEMO)</v>
          </cell>
        </row>
        <row r="1276">
          <cell r="D1276" t="str">
            <v>HTJA030188</v>
          </cell>
          <cell r="E1276" t="str">
            <v>8647050233</v>
          </cell>
          <cell r="F1276" t="str">
            <v>AC-2000i Honda Acura</v>
          </cell>
          <cell r="G1276">
            <v>100000</v>
          </cell>
          <cell r="H1276" t="str">
            <v>Profirrol</v>
          </cell>
          <cell r="I1276">
            <v>30</v>
          </cell>
          <cell r="J1276" t="str">
            <v>STD</v>
          </cell>
          <cell r="L1276">
            <v>74729.200000000012</v>
          </cell>
          <cell r="M1276">
            <v>3249.0956521739135</v>
          </cell>
          <cell r="O1276" t="str">
            <v>TUBING</v>
          </cell>
        </row>
        <row r="1277">
          <cell r="D1277" t="str">
            <v>HTJA030188</v>
          </cell>
          <cell r="E1277" t="str">
            <v>10232841</v>
          </cell>
          <cell r="F1277" t="str">
            <v>AC-2000i DNA (Preforma)</v>
          </cell>
          <cell r="G1277">
            <v>100000</v>
          </cell>
          <cell r="H1277" t="str">
            <v>Profirrol</v>
          </cell>
          <cell r="I1277">
            <v>30</v>
          </cell>
          <cell r="J1277" t="str">
            <v>STD</v>
          </cell>
          <cell r="L1277">
            <v>99000</v>
          </cell>
          <cell r="M1277">
            <v>4304.347826086957</v>
          </cell>
          <cell r="O1277" t="str">
            <v>TUBING</v>
          </cell>
        </row>
        <row r="1278">
          <cell r="D1278" t="str">
            <v>HTJA030188</v>
          </cell>
          <cell r="E1278" t="str">
            <v>4302091005</v>
          </cell>
          <cell r="F1278" t="str">
            <v>C-2000 PL-BODY</v>
          </cell>
          <cell r="G1278">
            <v>100000</v>
          </cell>
          <cell r="H1278" t="str">
            <v>Profirrol</v>
          </cell>
          <cell r="I1278">
            <v>30</v>
          </cell>
          <cell r="J1278" t="str">
            <v>STD</v>
          </cell>
          <cell r="L1278">
            <v>0</v>
          </cell>
          <cell r="M1278">
            <v>0</v>
          </cell>
          <cell r="O1278" t="str">
            <v>TUBING</v>
          </cell>
        </row>
        <row r="1279">
          <cell r="D1279" t="str">
            <v>HTJA030188</v>
          </cell>
          <cell r="E1279" t="str">
            <v>7324050215</v>
          </cell>
          <cell r="F1279" t="str">
            <v>AC-2300i PT-44</v>
          </cell>
          <cell r="G1279">
            <v>100000</v>
          </cell>
          <cell r="H1279" t="str">
            <v>Profirrol</v>
          </cell>
          <cell r="I1279">
            <v>30</v>
          </cell>
          <cell r="J1279" t="str">
            <v>STD</v>
          </cell>
          <cell r="L1279">
            <v>58512.600000000006</v>
          </cell>
          <cell r="M1279">
            <v>2544.0260869565218</v>
          </cell>
          <cell r="O1279" t="str">
            <v>TUBING</v>
          </cell>
        </row>
        <row r="1280">
          <cell r="D1280" t="str">
            <v>HTJA030188</v>
          </cell>
          <cell r="E1280" t="str">
            <v>10226750</v>
          </cell>
          <cell r="F1280" t="str">
            <v>AC-2300i DNA (Preforma)</v>
          </cell>
          <cell r="G1280">
            <v>100000</v>
          </cell>
          <cell r="H1280" t="str">
            <v>Profirrol</v>
          </cell>
          <cell r="I1280">
            <v>30</v>
          </cell>
          <cell r="J1280" t="str">
            <v>STD</v>
          </cell>
          <cell r="L1280">
            <v>52509.599999999999</v>
          </cell>
          <cell r="M1280">
            <v>2283.0260869565218</v>
          </cell>
          <cell r="O1280" t="str">
            <v>TUBING</v>
          </cell>
        </row>
        <row r="1281">
          <cell r="D1281" t="str">
            <v>HTJA030188</v>
          </cell>
          <cell r="E1281" t="str">
            <v>7553050217</v>
          </cell>
          <cell r="F1281" t="str">
            <v>AC-2600i PT-Turbo</v>
          </cell>
          <cell r="G1281">
            <v>100000</v>
          </cell>
          <cell r="H1281" t="str">
            <v>Profirrol</v>
          </cell>
          <cell r="I1281">
            <v>30</v>
          </cell>
          <cell r="J1281" t="str">
            <v>STD</v>
          </cell>
          <cell r="L1281">
            <v>37981.199999999997</v>
          </cell>
          <cell r="M1281">
            <v>1651.3565217391304</v>
          </cell>
          <cell r="O1281" t="str">
            <v>TUBING</v>
          </cell>
        </row>
        <row r="1282">
          <cell r="D1282" t="str">
            <v>HTJA030188</v>
          </cell>
          <cell r="E1282" t="str">
            <v>10001024R</v>
          </cell>
          <cell r="F1282" t="str">
            <v>AC-2600i Ford Escape</v>
          </cell>
          <cell r="G1282">
            <v>100000</v>
          </cell>
          <cell r="H1282" t="str">
            <v>Profirrol</v>
          </cell>
          <cell r="I1282">
            <v>30</v>
          </cell>
          <cell r="J1282" t="str">
            <v>STD</v>
          </cell>
          <cell r="L1282">
            <v>59203</v>
          </cell>
          <cell r="M1282">
            <v>2574.0434782608695</v>
          </cell>
          <cell r="O1282" t="str">
            <v>TUBING</v>
          </cell>
        </row>
        <row r="1283">
          <cell r="D1283" t="str">
            <v>HTJA030188</v>
          </cell>
          <cell r="E1283" t="str">
            <v>10226752</v>
          </cell>
          <cell r="F1283" t="str">
            <v>AC-2600i DNA (Preforma)</v>
          </cell>
          <cell r="G1283">
            <v>100000</v>
          </cell>
          <cell r="H1283" t="str">
            <v>Profirrol</v>
          </cell>
          <cell r="I1283">
            <v>30</v>
          </cell>
          <cell r="J1283" t="str">
            <v>STD</v>
          </cell>
          <cell r="L1283">
            <v>31536</v>
          </cell>
          <cell r="M1283">
            <v>1371.1304347826087</v>
          </cell>
          <cell r="O1283" t="str">
            <v>TUBING</v>
          </cell>
        </row>
        <row r="1284">
          <cell r="D1284" t="str">
            <v>HTJA030188</v>
          </cell>
          <cell r="E1284" t="str">
            <v>10054551</v>
          </cell>
          <cell r="F1284" t="str">
            <v>AC-2650 JC49 / GS PLT / DNA</v>
          </cell>
          <cell r="G1284">
            <v>100000</v>
          </cell>
          <cell r="H1284" t="str">
            <v>Profirrol</v>
          </cell>
          <cell r="I1284">
            <v>30</v>
          </cell>
          <cell r="J1284" t="str">
            <v>STD</v>
          </cell>
          <cell r="L1284">
            <v>11932</v>
          </cell>
          <cell r="M1284">
            <v>518.78260869565213</v>
          </cell>
          <cell r="O1284" t="str">
            <v>TUBING</v>
          </cell>
        </row>
        <row r="1285">
          <cell r="D1285" t="str">
            <v>HTJA030188</v>
          </cell>
          <cell r="E1285" t="str">
            <v>10226751</v>
          </cell>
          <cell r="F1285" t="str">
            <v>AC-2650 DNA</v>
          </cell>
          <cell r="G1285">
            <v>100000</v>
          </cell>
          <cell r="H1285" t="str">
            <v>Profirrol</v>
          </cell>
          <cell r="I1285">
            <v>30</v>
          </cell>
          <cell r="J1285" t="str">
            <v>STD</v>
          </cell>
          <cell r="L1285">
            <v>24453</v>
          </cell>
          <cell r="M1285">
            <v>1063.1739130434783</v>
          </cell>
          <cell r="O1285" t="str">
            <v>TUBING</v>
          </cell>
        </row>
        <row r="1286">
          <cell r="D1286" t="str">
            <v>HTJA030188</v>
          </cell>
          <cell r="E1286" t="str">
            <v>8152050226</v>
          </cell>
          <cell r="F1286" t="str">
            <v>UF-2600i PQ-35 VW</v>
          </cell>
          <cell r="G1286">
            <v>100000</v>
          </cell>
          <cell r="H1286" t="str">
            <v>Profirrol</v>
          </cell>
          <cell r="I1286">
            <v>30</v>
          </cell>
          <cell r="J1286" t="str">
            <v>STD</v>
          </cell>
          <cell r="L1286">
            <v>38227.399999999994</v>
          </cell>
          <cell r="M1286">
            <v>1662.0608695652172</v>
          </cell>
          <cell r="O1286" t="str">
            <v>TUBING</v>
          </cell>
        </row>
        <row r="1287">
          <cell r="D1287" t="str">
            <v>HTJA030188</v>
          </cell>
          <cell r="E1287" t="str">
            <v>10060762</v>
          </cell>
          <cell r="F1287" t="str">
            <v>UF-2600i Ford Explorer</v>
          </cell>
          <cell r="G1287">
            <v>100000</v>
          </cell>
          <cell r="H1287" t="str">
            <v>Profirrol</v>
          </cell>
          <cell r="I1287">
            <v>30</v>
          </cell>
          <cell r="J1287" t="str">
            <v>STD</v>
          </cell>
          <cell r="L1287">
            <v>0</v>
          </cell>
          <cell r="M1287">
            <v>0</v>
          </cell>
          <cell r="O1287" t="str">
            <v>TUBING</v>
          </cell>
        </row>
        <row r="1288">
          <cell r="D1288" t="str">
            <v>HTJA030188</v>
          </cell>
          <cell r="E1288" t="str">
            <v>00806088</v>
          </cell>
          <cell r="F1288" t="str">
            <v>UF-2600i Hyundai</v>
          </cell>
          <cell r="G1288">
            <v>100000</v>
          </cell>
          <cell r="H1288" t="str">
            <v>Profirrol</v>
          </cell>
          <cell r="I1288">
            <v>30</v>
          </cell>
          <cell r="J1288" t="str">
            <v>STD</v>
          </cell>
          <cell r="L1288">
            <v>0</v>
          </cell>
          <cell r="M1288">
            <v>0</v>
          </cell>
          <cell r="O1288" t="str">
            <v>TUBING</v>
          </cell>
        </row>
        <row r="1289">
          <cell r="D1289" t="str">
            <v>HTJA030188</v>
          </cell>
          <cell r="E1289" t="str">
            <v>10235857</v>
          </cell>
          <cell r="F1289" t="str">
            <v>UF-2600i DNA (Preforma)</v>
          </cell>
          <cell r="G1289">
            <v>100000</v>
          </cell>
          <cell r="H1289" t="str">
            <v>Profirrol</v>
          </cell>
          <cell r="I1289">
            <v>30</v>
          </cell>
          <cell r="J1289" t="str">
            <v>STD</v>
          </cell>
          <cell r="L1289">
            <v>0</v>
          </cell>
          <cell r="M1289">
            <v>0</v>
          </cell>
          <cell r="O1289" t="str">
            <v>TUBING</v>
          </cell>
        </row>
        <row r="1290">
          <cell r="D1290" t="str">
            <v>HTJA030188</v>
          </cell>
          <cell r="E1290" t="str">
            <v>10018041</v>
          </cell>
          <cell r="F1290" t="str">
            <v>UF-3300i W</v>
          </cell>
          <cell r="G1290">
            <v>100000</v>
          </cell>
          <cell r="H1290" t="str">
            <v>Profirrol</v>
          </cell>
          <cell r="I1290">
            <v>30</v>
          </cell>
          <cell r="J1290" t="str">
            <v>STD</v>
          </cell>
          <cell r="L1290">
            <v>13520.454678603319</v>
          </cell>
          <cell r="M1290">
            <v>587.84585559144864</v>
          </cell>
          <cell r="O1290" t="str">
            <v>TUBING</v>
          </cell>
        </row>
        <row r="1291">
          <cell r="D1291" t="str">
            <v>HTJA030188</v>
          </cell>
          <cell r="E1291" t="str">
            <v>10009621</v>
          </cell>
          <cell r="F1291" t="str">
            <v>UF-4600i W</v>
          </cell>
          <cell r="G1291">
            <v>100000</v>
          </cell>
          <cell r="H1291" t="str">
            <v>Profirrol</v>
          </cell>
          <cell r="I1291">
            <v>30</v>
          </cell>
          <cell r="J1291" t="str">
            <v>STD</v>
          </cell>
          <cell r="L1291">
            <v>33932.483034337194</v>
          </cell>
          <cell r="M1291">
            <v>1475.3253493190084</v>
          </cell>
          <cell r="O1291" t="str">
            <v>TUBING</v>
          </cell>
        </row>
        <row r="1292">
          <cell r="D1292" t="str">
            <v>HTJA030188</v>
          </cell>
          <cell r="E1292" t="str">
            <v>7056050202</v>
          </cell>
          <cell r="F1292" t="str">
            <v>A4 RF-91 Concept One</v>
          </cell>
          <cell r="G1292">
            <v>100000</v>
          </cell>
          <cell r="H1292" t="str">
            <v>Profirrol</v>
          </cell>
          <cell r="I1292">
            <v>30</v>
          </cell>
          <cell r="J1292" t="str">
            <v>STD</v>
          </cell>
          <cell r="L1292">
            <v>0</v>
          </cell>
          <cell r="M1292">
            <v>0</v>
          </cell>
          <cell r="O1292" t="str">
            <v>TUBING</v>
          </cell>
        </row>
        <row r="1293">
          <cell r="D1293" t="str">
            <v>HTJA030188</v>
          </cell>
          <cell r="E1293" t="str">
            <v>7174050203</v>
          </cell>
          <cell r="F1293" t="str">
            <v>A4 RF-95</v>
          </cell>
          <cell r="G1293">
            <v>100000</v>
          </cell>
          <cell r="H1293" t="str">
            <v>Profirrol</v>
          </cell>
          <cell r="I1293">
            <v>30</v>
          </cell>
          <cell r="J1293" t="str">
            <v>STD</v>
          </cell>
          <cell r="L1293">
            <v>8133.6</v>
          </cell>
          <cell r="M1293">
            <v>353.63478260869567</v>
          </cell>
          <cell r="O1293" t="str">
            <v>TUBING</v>
          </cell>
        </row>
        <row r="1294">
          <cell r="D1294" t="str">
            <v>HTJA040101</v>
          </cell>
          <cell r="E1294" t="str">
            <v>7870050221</v>
          </cell>
          <cell r="F1294" t="str">
            <v>UF-3400 PQ-35 VW</v>
          </cell>
          <cell r="G1294">
            <v>20000</v>
          </cell>
          <cell r="H1294" t="str">
            <v>Nacional</v>
          </cell>
          <cell r="I1294">
            <v>10</v>
          </cell>
          <cell r="J1294" t="str">
            <v>UF-3400</v>
          </cell>
          <cell r="L1294">
            <v>45592.200000000012</v>
          </cell>
          <cell r="M1294">
            <v>1982.2695652173918</v>
          </cell>
          <cell r="O1294" t="str">
            <v>PORTA PUNZÓN LARGO</v>
          </cell>
        </row>
        <row r="1295">
          <cell r="D1295" t="str">
            <v>HTJA040120</v>
          </cell>
          <cell r="E1295" t="str">
            <v>8647050233</v>
          </cell>
          <cell r="F1295" t="str">
            <v>AC-2000i Honda Acura</v>
          </cell>
          <cell r="G1295">
            <v>8000</v>
          </cell>
          <cell r="H1295" t="str">
            <v>Nacional</v>
          </cell>
          <cell r="I1295">
            <v>11</v>
          </cell>
          <cell r="J1295" t="str">
            <v>AC-2000i</v>
          </cell>
          <cell r="L1295">
            <v>74729.200000000012</v>
          </cell>
          <cell r="M1295">
            <v>3249.0956521739135</v>
          </cell>
          <cell r="O1295" t="str">
            <v>PORTA PUNZÓN LARGO</v>
          </cell>
        </row>
        <row r="1296">
          <cell r="D1296" t="str">
            <v>HTJA040002</v>
          </cell>
          <cell r="E1296" t="str">
            <v>10019426</v>
          </cell>
          <cell r="F1296" t="str">
            <v>AC-1500i Honda 2NX / GMT</v>
          </cell>
          <cell r="G1296">
            <v>5000</v>
          </cell>
          <cell r="H1296" t="str">
            <v>Nacional</v>
          </cell>
          <cell r="I1296">
            <v>6</v>
          </cell>
          <cell r="J1296" t="str">
            <v>AC-1500i</v>
          </cell>
          <cell r="L1296">
            <v>32759.000000000004</v>
          </cell>
          <cell r="M1296">
            <v>1424.3043478260872</v>
          </cell>
          <cell r="O1296" t="str">
            <v>MATRIZ</v>
          </cell>
        </row>
        <row r="1297">
          <cell r="D1297" t="str">
            <v>HTJA040003</v>
          </cell>
          <cell r="E1297" t="str">
            <v>10019426</v>
          </cell>
          <cell r="F1297" t="str">
            <v>AC-1500i Honda 2NX / GMT</v>
          </cell>
          <cell r="G1297">
            <v>3000</v>
          </cell>
          <cell r="H1297" t="str">
            <v>Nacional</v>
          </cell>
          <cell r="I1297">
            <v>6</v>
          </cell>
          <cell r="J1297" t="str">
            <v>AC-1500i</v>
          </cell>
          <cell r="L1297">
            <v>32759.000000000004</v>
          </cell>
          <cell r="M1297">
            <v>1424.3043478260872</v>
          </cell>
          <cell r="O1297" t="str">
            <v>PUNZON</v>
          </cell>
        </row>
        <row r="1298">
          <cell r="D1298" t="str">
            <v>HTJA040004</v>
          </cell>
          <cell r="E1298" t="str">
            <v>8647050233</v>
          </cell>
          <cell r="F1298" t="str">
            <v>AC-2000i Honda Acura</v>
          </cell>
          <cell r="G1298">
            <v>200000</v>
          </cell>
          <cell r="H1298" t="str">
            <v>Nacional</v>
          </cell>
          <cell r="I1298">
            <v>8</v>
          </cell>
          <cell r="J1298" t="str">
            <v>AC-2000i</v>
          </cell>
          <cell r="L1298">
            <v>74729.200000000012</v>
          </cell>
          <cell r="M1298">
            <v>3249.0956521739135</v>
          </cell>
          <cell r="O1298" t="str">
            <v>PLATO DE APOYO PARA RODAMIENTO</v>
          </cell>
        </row>
        <row r="1299">
          <cell r="D1299" t="str">
            <v>HTJA040005</v>
          </cell>
          <cell r="E1299" t="str">
            <v>8647050233</v>
          </cell>
          <cell r="F1299" t="str">
            <v>AC-2000i Honda Acura</v>
          </cell>
          <cell r="G1299">
            <v>5000</v>
          </cell>
          <cell r="H1299" t="str">
            <v>Nacional</v>
          </cell>
          <cell r="I1299">
            <v>6</v>
          </cell>
          <cell r="J1299" t="str">
            <v>AC-2000i</v>
          </cell>
          <cell r="L1299">
            <v>74729.200000000012</v>
          </cell>
          <cell r="M1299">
            <v>3249.0956521739135</v>
          </cell>
          <cell r="O1299" t="str">
            <v>BOQUILLA CERRADA</v>
          </cell>
        </row>
        <row r="1300">
          <cell r="D1300" t="str">
            <v>HTJA040129</v>
          </cell>
          <cell r="E1300" t="str">
            <v>8647050233</v>
          </cell>
          <cell r="F1300" t="str">
            <v>AC-2000i Honda Acura</v>
          </cell>
          <cell r="G1300">
            <v>8000</v>
          </cell>
          <cell r="H1300" t="str">
            <v>Nacional</v>
          </cell>
          <cell r="I1300">
            <v>11</v>
          </cell>
          <cell r="J1300" t="str">
            <v>AC-2000i</v>
          </cell>
          <cell r="L1300">
            <v>74729.200000000012</v>
          </cell>
          <cell r="M1300">
            <v>3249.0956521739135</v>
          </cell>
          <cell r="O1300" t="str">
            <v>PORTA PUNZÓN CORTO</v>
          </cell>
        </row>
        <row r="1301">
          <cell r="D1301" t="str">
            <v>HTJA040007</v>
          </cell>
          <cell r="E1301" t="str">
            <v>7870050221</v>
          </cell>
          <cell r="F1301" t="str">
            <v>UF-3400 PQ-35 VW</v>
          </cell>
          <cell r="G1301">
            <v>4000</v>
          </cell>
          <cell r="H1301" t="str">
            <v>Nacional</v>
          </cell>
          <cell r="I1301">
            <v>8</v>
          </cell>
          <cell r="J1301" t="str">
            <v>UF-3400</v>
          </cell>
          <cell r="L1301">
            <v>45592.200000000012</v>
          </cell>
          <cell r="M1301">
            <v>1982.2695652173918</v>
          </cell>
          <cell r="O1301" t="str">
            <v>MATRIZ</v>
          </cell>
        </row>
        <row r="1302">
          <cell r="D1302" t="str">
            <v>HTJA040008</v>
          </cell>
          <cell r="E1302" t="str">
            <v>7870050221</v>
          </cell>
          <cell r="F1302" t="str">
            <v>UF-3400 PQ-35 VW</v>
          </cell>
          <cell r="G1302">
            <v>100000</v>
          </cell>
          <cell r="H1302" t="str">
            <v>Nacional</v>
          </cell>
          <cell r="I1302">
            <v>8</v>
          </cell>
          <cell r="J1302" t="str">
            <v>UF-3400</v>
          </cell>
          <cell r="L1302">
            <v>45592.200000000012</v>
          </cell>
          <cell r="M1302">
            <v>1982.2695652173918</v>
          </cell>
          <cell r="O1302" t="str">
            <v>PLATO DE APOYO</v>
          </cell>
        </row>
        <row r="1303">
          <cell r="D1303" t="str">
            <v>HTJA040009</v>
          </cell>
          <cell r="E1303" t="str">
            <v>7870050221</v>
          </cell>
          <cell r="F1303" t="str">
            <v>UF-3400 PQ-35 VW</v>
          </cell>
          <cell r="G1303">
            <v>3000</v>
          </cell>
          <cell r="H1303" t="str">
            <v>Nacional</v>
          </cell>
          <cell r="I1303">
            <v>8</v>
          </cell>
          <cell r="J1303" t="str">
            <v>UF-3400</v>
          </cell>
          <cell r="L1303">
            <v>45592.200000000012</v>
          </cell>
          <cell r="M1303">
            <v>1982.2695652173918</v>
          </cell>
          <cell r="O1303" t="str">
            <v>PUNZON</v>
          </cell>
        </row>
        <row r="1304">
          <cell r="D1304" t="str">
            <v>HTJA040010</v>
          </cell>
          <cell r="E1304" t="str">
            <v>7870050221</v>
          </cell>
          <cell r="F1304" t="str">
            <v>UF-3400 PQ-35 VW</v>
          </cell>
          <cell r="G1304">
            <v>8000</v>
          </cell>
          <cell r="H1304" t="str">
            <v>Nacional</v>
          </cell>
          <cell r="I1304">
            <v>8</v>
          </cell>
          <cell r="J1304" t="str">
            <v>UF-3400</v>
          </cell>
          <cell r="L1304">
            <v>45592.200000000012</v>
          </cell>
          <cell r="M1304">
            <v>1982.2695652173918</v>
          </cell>
          <cell r="O1304" t="str">
            <v>BOQUILLA CERRADA</v>
          </cell>
        </row>
        <row r="1305">
          <cell r="D1305" t="str">
            <v>HTJA040011</v>
          </cell>
          <cell r="E1305" t="str">
            <v>7056050202</v>
          </cell>
          <cell r="F1305" t="str">
            <v>A4 RF-91 Concept One</v>
          </cell>
          <cell r="G1305">
            <v>200000</v>
          </cell>
          <cell r="H1305" t="str">
            <v>Nacional</v>
          </cell>
          <cell r="I1305">
            <v>10</v>
          </cell>
          <cell r="J1305" t="str">
            <v>STD</v>
          </cell>
          <cell r="L1305">
            <v>0</v>
          </cell>
          <cell r="M1305">
            <v>0</v>
          </cell>
          <cell r="O1305" t="str">
            <v>PLACA TOPE</v>
          </cell>
        </row>
        <row r="1306">
          <cell r="D1306" t="str">
            <v>HTJA040011</v>
          </cell>
          <cell r="E1306" t="str">
            <v>7174050203</v>
          </cell>
          <cell r="F1306" t="str">
            <v>A4 RF-95</v>
          </cell>
          <cell r="G1306">
            <v>200000</v>
          </cell>
          <cell r="H1306" t="str">
            <v>Nacional</v>
          </cell>
          <cell r="I1306">
            <v>10</v>
          </cell>
          <cell r="J1306" t="str">
            <v>STD</v>
          </cell>
          <cell r="L1306">
            <v>8133.6</v>
          </cell>
          <cell r="M1306">
            <v>353.63478260869567</v>
          </cell>
          <cell r="O1306" t="str">
            <v>PLACA TOPE</v>
          </cell>
        </row>
        <row r="1307">
          <cell r="D1307" t="str">
            <v>HTJA040011</v>
          </cell>
          <cell r="E1307" t="str">
            <v>10019426</v>
          </cell>
          <cell r="F1307" t="str">
            <v>AC-1500i Honda 2NX / GMT</v>
          </cell>
          <cell r="G1307">
            <v>200000</v>
          </cell>
          <cell r="H1307" t="str">
            <v>Nacional</v>
          </cell>
          <cell r="I1307">
            <v>10</v>
          </cell>
          <cell r="J1307" t="str">
            <v>STD</v>
          </cell>
          <cell r="L1307">
            <v>32759.000000000004</v>
          </cell>
          <cell r="M1307">
            <v>1424.3043478260872</v>
          </cell>
          <cell r="O1307" t="str">
            <v>PLACA TOPE</v>
          </cell>
        </row>
        <row r="1308">
          <cell r="D1308" t="str">
            <v>HTJA040011</v>
          </cell>
          <cell r="E1308" t="str">
            <v>7479050219</v>
          </cell>
          <cell r="F1308" t="str">
            <v>AC-1700i FORD</v>
          </cell>
          <cell r="G1308">
            <v>200000</v>
          </cell>
          <cell r="H1308" t="str">
            <v>Nacional</v>
          </cell>
          <cell r="I1308">
            <v>10</v>
          </cell>
          <cell r="J1308" t="str">
            <v>STD</v>
          </cell>
          <cell r="L1308">
            <v>38420.799999999996</v>
          </cell>
          <cell r="M1308">
            <v>1670.4695652173912</v>
          </cell>
          <cell r="O1308" t="str">
            <v>PLACA TOPE</v>
          </cell>
        </row>
        <row r="1309">
          <cell r="D1309" t="str">
            <v>HTJA040011</v>
          </cell>
          <cell r="E1309" t="str">
            <v>8647050233</v>
          </cell>
          <cell r="F1309" t="str">
            <v>AC-2000i Honda Acura</v>
          </cell>
          <cell r="G1309">
            <v>200000</v>
          </cell>
          <cell r="H1309" t="str">
            <v>Nacional</v>
          </cell>
          <cell r="I1309">
            <v>10</v>
          </cell>
          <cell r="J1309" t="str">
            <v>STD</v>
          </cell>
          <cell r="L1309">
            <v>74729.200000000012</v>
          </cell>
          <cell r="M1309">
            <v>3249.0956521739135</v>
          </cell>
          <cell r="O1309" t="str">
            <v>PLACA TOPE</v>
          </cell>
        </row>
        <row r="1310">
          <cell r="D1310" t="str">
            <v>HTJA040011</v>
          </cell>
          <cell r="E1310" t="str">
            <v>10221803</v>
          </cell>
          <cell r="F1310" t="str">
            <v>AC-2300i Gamma Suv</v>
          </cell>
          <cell r="G1310">
            <v>200000</v>
          </cell>
          <cell r="H1310" t="str">
            <v>Nacional</v>
          </cell>
          <cell r="I1310">
            <v>10</v>
          </cell>
          <cell r="J1310" t="str">
            <v>STD</v>
          </cell>
          <cell r="L1310">
            <v>0</v>
          </cell>
          <cell r="M1310">
            <v>0</v>
          </cell>
          <cell r="O1310" t="str">
            <v>PLACA TOPE</v>
          </cell>
        </row>
        <row r="1311">
          <cell r="D1311" t="str">
            <v>HTJA040011</v>
          </cell>
          <cell r="E1311" t="str">
            <v>7324050215</v>
          </cell>
          <cell r="F1311" t="str">
            <v>AC-2300i PT-44</v>
          </cell>
          <cell r="G1311">
            <v>200000</v>
          </cell>
          <cell r="H1311" t="str">
            <v>Nacional</v>
          </cell>
          <cell r="I1311">
            <v>10</v>
          </cell>
          <cell r="J1311" t="str">
            <v>STD</v>
          </cell>
          <cell r="L1311">
            <v>58512.600000000006</v>
          </cell>
          <cell r="M1311">
            <v>2544.0260869565218</v>
          </cell>
          <cell r="O1311" t="str">
            <v>PLACA TOPE</v>
          </cell>
        </row>
        <row r="1312">
          <cell r="D1312" t="str">
            <v>HTJA040011</v>
          </cell>
          <cell r="E1312" t="str">
            <v>10001024R</v>
          </cell>
          <cell r="F1312" t="str">
            <v>AC-2600i Ford Escape</v>
          </cell>
          <cell r="G1312">
            <v>200000</v>
          </cell>
          <cell r="H1312" t="str">
            <v>Nacional</v>
          </cell>
          <cell r="I1312">
            <v>10</v>
          </cell>
          <cell r="J1312" t="str">
            <v>STD</v>
          </cell>
          <cell r="L1312">
            <v>59203</v>
          </cell>
          <cell r="M1312">
            <v>2574.0434782608695</v>
          </cell>
          <cell r="O1312" t="str">
            <v>PLACA TOPE</v>
          </cell>
        </row>
        <row r="1313">
          <cell r="D1313" t="str">
            <v>HTJA040011</v>
          </cell>
          <cell r="E1313" t="str">
            <v>7553050217</v>
          </cell>
          <cell r="F1313" t="str">
            <v>AC-2600i PT-Turbo</v>
          </cell>
          <cell r="G1313">
            <v>200000</v>
          </cell>
          <cell r="H1313" t="str">
            <v>Nacional</v>
          </cell>
          <cell r="I1313">
            <v>10</v>
          </cell>
          <cell r="J1313" t="str">
            <v>STD</v>
          </cell>
          <cell r="L1313">
            <v>37981.199999999997</v>
          </cell>
          <cell r="M1313">
            <v>1651.3565217391304</v>
          </cell>
          <cell r="O1313" t="str">
            <v>PLACA TOPE</v>
          </cell>
        </row>
        <row r="1314">
          <cell r="D1314" t="str">
            <v>HTJA040011</v>
          </cell>
          <cell r="E1314" t="str">
            <v>10054551</v>
          </cell>
          <cell r="F1314" t="str">
            <v>AC-2650 JC49 / GS PLT / DNA</v>
          </cell>
          <cell r="G1314">
            <v>200000</v>
          </cell>
          <cell r="H1314" t="str">
            <v>Nacional</v>
          </cell>
          <cell r="I1314">
            <v>10</v>
          </cell>
          <cell r="J1314" t="str">
            <v>STD</v>
          </cell>
          <cell r="L1314">
            <v>11932</v>
          </cell>
          <cell r="M1314">
            <v>518.78260869565213</v>
          </cell>
          <cell r="O1314" t="str">
            <v>PLACA TOPE</v>
          </cell>
        </row>
        <row r="1315">
          <cell r="D1315" t="str">
            <v>HTJA040011</v>
          </cell>
          <cell r="E1315" t="str">
            <v>00806342</v>
          </cell>
          <cell r="F1315" t="str">
            <v>AC-2900i VW</v>
          </cell>
          <cell r="G1315">
            <v>200000</v>
          </cell>
          <cell r="H1315" t="str">
            <v>Nacional</v>
          </cell>
          <cell r="I1315">
            <v>10</v>
          </cell>
          <cell r="J1315" t="str">
            <v>STD</v>
          </cell>
          <cell r="L1315">
            <v>23450.400000000001</v>
          </cell>
          <cell r="M1315">
            <v>1019.5826086956522</v>
          </cell>
          <cell r="O1315" t="str">
            <v>PLACA TOPE</v>
          </cell>
        </row>
        <row r="1316">
          <cell r="D1316" t="str">
            <v>HTJA040011</v>
          </cell>
          <cell r="E1316" t="str">
            <v>10019477T</v>
          </cell>
          <cell r="F1316" t="str">
            <v>AC-3300i FORD</v>
          </cell>
          <cell r="G1316">
            <v>200000</v>
          </cell>
          <cell r="H1316" t="str">
            <v>Nacional</v>
          </cell>
          <cell r="I1316">
            <v>10</v>
          </cell>
          <cell r="J1316" t="str">
            <v>STD</v>
          </cell>
          <cell r="L1316">
            <v>0</v>
          </cell>
          <cell r="M1316">
            <v>0</v>
          </cell>
          <cell r="O1316" t="str">
            <v>PLACA TOPE</v>
          </cell>
        </row>
        <row r="1317">
          <cell r="D1317" t="str">
            <v>HTJA040011</v>
          </cell>
          <cell r="E1317" t="str">
            <v>4302091005</v>
          </cell>
          <cell r="F1317" t="str">
            <v>C-2000 PL-BODY</v>
          </cell>
          <cell r="G1317">
            <v>200000</v>
          </cell>
          <cell r="H1317" t="str">
            <v>Nacional</v>
          </cell>
          <cell r="I1317">
            <v>10</v>
          </cell>
          <cell r="J1317" t="str">
            <v>STD</v>
          </cell>
          <cell r="L1317">
            <v>0</v>
          </cell>
          <cell r="M1317">
            <v>0</v>
          </cell>
          <cell r="O1317" t="str">
            <v>PLACA TOPE</v>
          </cell>
        </row>
        <row r="1318">
          <cell r="D1318" t="str">
            <v>HTJA040011</v>
          </cell>
          <cell r="E1318" t="str">
            <v>10060762</v>
          </cell>
          <cell r="F1318" t="str">
            <v>UF-2600i Ford Explorer</v>
          </cell>
          <cell r="G1318">
            <v>200000</v>
          </cell>
          <cell r="H1318" t="str">
            <v>Nacional</v>
          </cell>
          <cell r="I1318">
            <v>10</v>
          </cell>
          <cell r="J1318" t="str">
            <v>STD</v>
          </cell>
          <cell r="L1318">
            <v>0</v>
          </cell>
          <cell r="M1318">
            <v>0</v>
          </cell>
          <cell r="O1318" t="str">
            <v>PLACA TOPE</v>
          </cell>
        </row>
        <row r="1319">
          <cell r="D1319" t="str">
            <v>HTJA040011</v>
          </cell>
          <cell r="E1319" t="str">
            <v>00806088</v>
          </cell>
          <cell r="F1319" t="str">
            <v>UF-2600i Hyundai</v>
          </cell>
          <cell r="G1319">
            <v>200000</v>
          </cell>
          <cell r="H1319" t="str">
            <v>Nacional</v>
          </cell>
          <cell r="I1319">
            <v>10</v>
          </cell>
          <cell r="J1319" t="str">
            <v>STD</v>
          </cell>
          <cell r="L1319">
            <v>0</v>
          </cell>
          <cell r="M1319">
            <v>0</v>
          </cell>
          <cell r="O1319" t="str">
            <v>PLACA TOPE</v>
          </cell>
        </row>
        <row r="1320">
          <cell r="D1320" t="str">
            <v>HTJA040011</v>
          </cell>
          <cell r="E1320" t="str">
            <v>8152050226</v>
          </cell>
          <cell r="F1320" t="str">
            <v>UF-2600i PQ-35 VW</v>
          </cell>
          <cell r="G1320">
            <v>200000</v>
          </cell>
          <cell r="H1320" t="str">
            <v>Nacional</v>
          </cell>
          <cell r="I1320">
            <v>10</v>
          </cell>
          <cell r="J1320" t="str">
            <v>STD</v>
          </cell>
          <cell r="L1320">
            <v>38227.399999999994</v>
          </cell>
          <cell r="M1320">
            <v>1662.0608695652172</v>
          </cell>
          <cell r="O1320" t="str">
            <v>PLACA TOPE</v>
          </cell>
        </row>
        <row r="1321">
          <cell r="D1321" t="str">
            <v>HTJA040011</v>
          </cell>
          <cell r="E1321" t="str">
            <v>10018041</v>
          </cell>
          <cell r="F1321" t="str">
            <v>UF-3300i W</v>
          </cell>
          <cell r="G1321">
            <v>200000</v>
          </cell>
          <cell r="H1321" t="str">
            <v>Nacional</v>
          </cell>
          <cell r="I1321">
            <v>10</v>
          </cell>
          <cell r="J1321" t="str">
            <v>STD</v>
          </cell>
          <cell r="L1321">
            <v>13520.454678603319</v>
          </cell>
          <cell r="M1321">
            <v>587.84585559144864</v>
          </cell>
          <cell r="O1321" t="str">
            <v>PLACA TOPE</v>
          </cell>
        </row>
        <row r="1322">
          <cell r="D1322" t="str">
            <v>HTJA040011</v>
          </cell>
          <cell r="E1322" t="str">
            <v>7870050221</v>
          </cell>
          <cell r="F1322" t="str">
            <v>UF-3400 PQ-35 VW</v>
          </cell>
          <cell r="G1322">
            <v>200000</v>
          </cell>
          <cell r="H1322" t="str">
            <v>Nacional</v>
          </cell>
          <cell r="I1322">
            <v>10</v>
          </cell>
          <cell r="J1322" t="str">
            <v>STD</v>
          </cell>
          <cell r="L1322">
            <v>45592.200000000012</v>
          </cell>
          <cell r="M1322">
            <v>1982.2695652173918</v>
          </cell>
          <cell r="O1322" t="str">
            <v>PLACA TOPE</v>
          </cell>
        </row>
        <row r="1323">
          <cell r="D1323" t="str">
            <v>HTJA040011</v>
          </cell>
          <cell r="E1323" t="str">
            <v>10009621</v>
          </cell>
          <cell r="F1323" t="str">
            <v>UF-4600i W</v>
          </cell>
          <cell r="G1323">
            <v>200000</v>
          </cell>
          <cell r="H1323" t="str">
            <v>Nacional</v>
          </cell>
          <cell r="I1323">
            <v>10</v>
          </cell>
          <cell r="J1323" t="str">
            <v>STD</v>
          </cell>
          <cell r="L1323">
            <v>33932.483034337194</v>
          </cell>
          <cell r="M1323">
            <v>1475.3253493190084</v>
          </cell>
          <cell r="O1323" t="str">
            <v>PLACA TOPE</v>
          </cell>
        </row>
        <row r="1324">
          <cell r="D1324" t="str">
            <v>HTJA040012</v>
          </cell>
          <cell r="E1324" t="str">
            <v>7056050202</v>
          </cell>
          <cell r="F1324" t="str">
            <v>A4 RF-91 Concept One</v>
          </cell>
          <cell r="G1324">
            <v>500000</v>
          </cell>
          <cell r="H1324" t="str">
            <v>Nacional</v>
          </cell>
          <cell r="I1324">
            <v>10</v>
          </cell>
          <cell r="J1324" t="str">
            <v>STD</v>
          </cell>
          <cell r="L1324">
            <v>0</v>
          </cell>
          <cell r="M1324">
            <v>0</v>
          </cell>
          <cell r="O1324" t="str">
            <v>LLAVE PARA CONO EXPANSOR</v>
          </cell>
        </row>
        <row r="1325">
          <cell r="D1325" t="str">
            <v>HTJA040012</v>
          </cell>
          <cell r="E1325" t="str">
            <v>7174050203</v>
          </cell>
          <cell r="F1325" t="str">
            <v>A4 RF-95</v>
          </cell>
          <cell r="G1325">
            <v>500000</v>
          </cell>
          <cell r="H1325" t="str">
            <v>Nacional</v>
          </cell>
          <cell r="I1325">
            <v>10</v>
          </cell>
          <cell r="J1325" t="str">
            <v>STD</v>
          </cell>
          <cell r="L1325">
            <v>8133.6</v>
          </cell>
          <cell r="M1325">
            <v>353.63478260869567</v>
          </cell>
          <cell r="O1325" t="str">
            <v>LLAVE PARA CONO EXPANSOR</v>
          </cell>
        </row>
        <row r="1326">
          <cell r="D1326" t="str">
            <v>HTJA040012</v>
          </cell>
          <cell r="E1326" t="str">
            <v>10019426</v>
          </cell>
          <cell r="F1326" t="str">
            <v>AC-1500i Honda 2NX / GMT</v>
          </cell>
          <cell r="G1326">
            <v>500000</v>
          </cell>
          <cell r="H1326" t="str">
            <v>Nacional</v>
          </cell>
          <cell r="I1326">
            <v>10</v>
          </cell>
          <cell r="J1326" t="str">
            <v>STD</v>
          </cell>
          <cell r="L1326">
            <v>32759.000000000004</v>
          </cell>
          <cell r="M1326">
            <v>1424.3043478260872</v>
          </cell>
          <cell r="O1326" t="str">
            <v>LLAVE PARA CONO EXPANSOR</v>
          </cell>
        </row>
        <row r="1327">
          <cell r="D1327" t="str">
            <v>HTJA040012</v>
          </cell>
          <cell r="E1327" t="str">
            <v>7479050219</v>
          </cell>
          <cell r="F1327" t="str">
            <v>AC-1700i FORD</v>
          </cell>
          <cell r="G1327">
            <v>500000</v>
          </cell>
          <cell r="H1327" t="str">
            <v>Nacional</v>
          </cell>
          <cell r="I1327">
            <v>10</v>
          </cell>
          <cell r="J1327" t="str">
            <v>STD</v>
          </cell>
          <cell r="L1327">
            <v>38420.799999999996</v>
          </cell>
          <cell r="M1327">
            <v>1670.4695652173912</v>
          </cell>
          <cell r="O1327" t="str">
            <v>LLAVE PARA CONO EXPANSOR</v>
          </cell>
        </row>
        <row r="1328">
          <cell r="D1328" t="str">
            <v>HTJA040012</v>
          </cell>
          <cell r="E1328" t="str">
            <v>8647050233</v>
          </cell>
          <cell r="F1328" t="str">
            <v>AC-2000i Honda Acura</v>
          </cell>
          <cell r="G1328">
            <v>500000</v>
          </cell>
          <cell r="H1328" t="str">
            <v>Nacional</v>
          </cell>
          <cell r="I1328">
            <v>10</v>
          </cell>
          <cell r="J1328" t="str">
            <v>STD</v>
          </cell>
          <cell r="L1328">
            <v>74729.200000000012</v>
          </cell>
          <cell r="M1328">
            <v>3249.0956521739135</v>
          </cell>
          <cell r="O1328" t="str">
            <v>LLAVE PARA CONO EXPANSOR</v>
          </cell>
        </row>
        <row r="1329">
          <cell r="D1329" t="str">
            <v>HTJA040012</v>
          </cell>
          <cell r="E1329" t="str">
            <v>10221803</v>
          </cell>
          <cell r="F1329" t="str">
            <v>AC-2300i Gamma Suv</v>
          </cell>
          <cell r="G1329">
            <v>500000</v>
          </cell>
          <cell r="H1329" t="str">
            <v>Nacional</v>
          </cell>
          <cell r="I1329">
            <v>10</v>
          </cell>
          <cell r="J1329" t="str">
            <v>STD</v>
          </cell>
          <cell r="L1329">
            <v>0</v>
          </cell>
          <cell r="M1329">
            <v>0</v>
          </cell>
          <cell r="O1329" t="str">
            <v>LLAVE PARA CONO EXPANSOR</v>
          </cell>
        </row>
        <row r="1330">
          <cell r="D1330" t="str">
            <v>HTJA040012</v>
          </cell>
          <cell r="E1330" t="str">
            <v>7324050215</v>
          </cell>
          <cell r="F1330" t="str">
            <v>AC-2300i PT-44</v>
          </cell>
          <cell r="G1330">
            <v>500000</v>
          </cell>
          <cell r="H1330" t="str">
            <v>Nacional</v>
          </cell>
          <cell r="I1330">
            <v>10</v>
          </cell>
          <cell r="J1330" t="str">
            <v>STD</v>
          </cell>
          <cell r="L1330">
            <v>58512.600000000006</v>
          </cell>
          <cell r="M1330">
            <v>2544.0260869565218</v>
          </cell>
          <cell r="O1330" t="str">
            <v>LLAVE PARA CONO EXPANSOR</v>
          </cell>
        </row>
        <row r="1331">
          <cell r="D1331" t="str">
            <v>HTJA040012</v>
          </cell>
          <cell r="E1331" t="str">
            <v>10001024R</v>
          </cell>
          <cell r="F1331" t="str">
            <v>AC-2600i Ford Escape</v>
          </cell>
          <cell r="G1331">
            <v>500000</v>
          </cell>
          <cell r="H1331" t="str">
            <v>Nacional</v>
          </cell>
          <cell r="I1331">
            <v>10</v>
          </cell>
          <cell r="J1331" t="str">
            <v>STD</v>
          </cell>
          <cell r="L1331">
            <v>59203</v>
          </cell>
          <cell r="M1331">
            <v>2574.0434782608695</v>
          </cell>
          <cell r="O1331" t="str">
            <v>LLAVE PARA CONO EXPANSOR</v>
          </cell>
        </row>
        <row r="1332">
          <cell r="D1332" t="str">
            <v>HTJA040012</v>
          </cell>
          <cell r="E1332" t="str">
            <v>7553050217</v>
          </cell>
          <cell r="F1332" t="str">
            <v>AC-2600i PT-Turbo</v>
          </cell>
          <cell r="G1332">
            <v>500000</v>
          </cell>
          <cell r="H1332" t="str">
            <v>Nacional</v>
          </cell>
          <cell r="I1332">
            <v>10</v>
          </cell>
          <cell r="J1332" t="str">
            <v>STD</v>
          </cell>
          <cell r="L1332">
            <v>37981.199999999997</v>
          </cell>
          <cell r="M1332">
            <v>1651.3565217391304</v>
          </cell>
          <cell r="O1332" t="str">
            <v>LLAVE PARA CONO EXPANSOR</v>
          </cell>
        </row>
        <row r="1333">
          <cell r="D1333" t="str">
            <v>HTJA040012</v>
          </cell>
          <cell r="E1333" t="str">
            <v>10054551</v>
          </cell>
          <cell r="F1333" t="str">
            <v>AC-2650 JC49 / GS PLT / DNA</v>
          </cell>
          <cell r="G1333">
            <v>500000</v>
          </cell>
          <cell r="H1333" t="str">
            <v>Nacional</v>
          </cell>
          <cell r="I1333">
            <v>10</v>
          </cell>
          <cell r="J1333" t="str">
            <v>STD</v>
          </cell>
          <cell r="L1333">
            <v>11932</v>
          </cell>
          <cell r="M1333">
            <v>518.78260869565213</v>
          </cell>
          <cell r="O1333" t="str">
            <v>LLAVE PARA CONO EXPANSOR</v>
          </cell>
        </row>
        <row r="1334">
          <cell r="D1334" t="str">
            <v>HTJA040012</v>
          </cell>
          <cell r="E1334" t="str">
            <v>00806342</v>
          </cell>
          <cell r="F1334" t="str">
            <v>AC-2900i VW</v>
          </cell>
          <cell r="G1334">
            <v>500000</v>
          </cell>
          <cell r="H1334" t="str">
            <v>Nacional</v>
          </cell>
          <cell r="I1334">
            <v>10</v>
          </cell>
          <cell r="J1334" t="str">
            <v>STD</v>
          </cell>
          <cell r="L1334">
            <v>23450.400000000001</v>
          </cell>
          <cell r="M1334">
            <v>1019.5826086956522</v>
          </cell>
          <cell r="O1334" t="str">
            <v>LLAVE PARA CONO EXPANSOR</v>
          </cell>
        </row>
        <row r="1335">
          <cell r="D1335" t="str">
            <v>HTJA040012</v>
          </cell>
          <cell r="E1335" t="str">
            <v>10019477T</v>
          </cell>
          <cell r="F1335" t="str">
            <v>AC-3300i FORD</v>
          </cell>
          <cell r="G1335">
            <v>500000</v>
          </cell>
          <cell r="H1335" t="str">
            <v>Nacional</v>
          </cell>
          <cell r="I1335">
            <v>10</v>
          </cell>
          <cell r="J1335" t="str">
            <v>STD</v>
          </cell>
          <cell r="L1335">
            <v>0</v>
          </cell>
          <cell r="M1335">
            <v>0</v>
          </cell>
          <cell r="O1335" t="str">
            <v>LLAVE PARA CONO EXPANSOR</v>
          </cell>
        </row>
        <row r="1336">
          <cell r="D1336" t="str">
            <v>HTJA040012</v>
          </cell>
          <cell r="E1336" t="str">
            <v>4302091005</v>
          </cell>
          <cell r="F1336" t="str">
            <v>C-2000 PL-BODY</v>
          </cell>
          <cell r="G1336">
            <v>500000</v>
          </cell>
          <cell r="H1336" t="str">
            <v>Nacional</v>
          </cell>
          <cell r="I1336">
            <v>10</v>
          </cell>
          <cell r="J1336" t="str">
            <v>STD</v>
          </cell>
          <cell r="L1336">
            <v>0</v>
          </cell>
          <cell r="M1336">
            <v>0</v>
          </cell>
          <cell r="O1336" t="str">
            <v>LLAVE PARA CONO EXPANSOR</v>
          </cell>
        </row>
        <row r="1337">
          <cell r="D1337" t="str">
            <v>HTJA040012</v>
          </cell>
          <cell r="E1337" t="str">
            <v>10060762</v>
          </cell>
          <cell r="F1337" t="str">
            <v>UF-2600i Ford Explorer</v>
          </cell>
          <cell r="G1337">
            <v>500000</v>
          </cell>
          <cell r="H1337" t="str">
            <v>Nacional</v>
          </cell>
          <cell r="I1337">
            <v>10</v>
          </cell>
          <cell r="J1337" t="str">
            <v>STD</v>
          </cell>
          <cell r="L1337">
            <v>0</v>
          </cell>
          <cell r="M1337">
            <v>0</v>
          </cell>
          <cell r="O1337" t="str">
            <v>LLAVE PARA CONO EXPANSOR</v>
          </cell>
        </row>
        <row r="1338">
          <cell r="D1338" t="str">
            <v>HTJA040012</v>
          </cell>
          <cell r="E1338" t="str">
            <v>00806088</v>
          </cell>
          <cell r="F1338" t="str">
            <v>UF-2600i Hyundai</v>
          </cell>
          <cell r="G1338">
            <v>500000</v>
          </cell>
          <cell r="H1338" t="str">
            <v>Nacional</v>
          </cell>
          <cell r="I1338">
            <v>10</v>
          </cell>
          <cell r="J1338" t="str">
            <v>STD</v>
          </cell>
          <cell r="L1338">
            <v>0</v>
          </cell>
          <cell r="M1338">
            <v>0</v>
          </cell>
          <cell r="O1338" t="str">
            <v>LLAVE PARA CONO EXPANSOR</v>
          </cell>
        </row>
        <row r="1339">
          <cell r="D1339" t="str">
            <v>HTJA040012</v>
          </cell>
          <cell r="E1339" t="str">
            <v>8152050226</v>
          </cell>
          <cell r="F1339" t="str">
            <v>UF-2600i PQ-35 VW</v>
          </cell>
          <cell r="G1339">
            <v>500000</v>
          </cell>
          <cell r="H1339" t="str">
            <v>Nacional</v>
          </cell>
          <cell r="I1339">
            <v>10</v>
          </cell>
          <cell r="J1339" t="str">
            <v>STD</v>
          </cell>
          <cell r="L1339">
            <v>38227.399999999994</v>
          </cell>
          <cell r="M1339">
            <v>1662.0608695652172</v>
          </cell>
          <cell r="O1339" t="str">
            <v>LLAVE PARA CONO EXPANSOR</v>
          </cell>
        </row>
        <row r="1340">
          <cell r="D1340" t="str">
            <v>HTJA040012</v>
          </cell>
          <cell r="E1340" t="str">
            <v>10018041</v>
          </cell>
          <cell r="F1340" t="str">
            <v>UF-3300i W</v>
          </cell>
          <cell r="G1340">
            <v>500000</v>
          </cell>
          <cell r="H1340" t="str">
            <v>Nacional</v>
          </cell>
          <cell r="I1340">
            <v>10</v>
          </cell>
          <cell r="J1340" t="str">
            <v>STD</v>
          </cell>
          <cell r="L1340">
            <v>13520.454678603319</v>
          </cell>
          <cell r="M1340">
            <v>587.84585559144864</v>
          </cell>
          <cell r="O1340" t="str">
            <v>LLAVE PARA CONO EXPANSOR</v>
          </cell>
        </row>
        <row r="1341">
          <cell r="D1341" t="str">
            <v>HTJA040012</v>
          </cell>
          <cell r="E1341" t="str">
            <v>7870050221</v>
          </cell>
          <cell r="F1341" t="str">
            <v>UF-3400 PQ-35 VW</v>
          </cell>
          <cell r="G1341">
            <v>500000</v>
          </cell>
          <cell r="H1341" t="str">
            <v>Nacional</v>
          </cell>
          <cell r="I1341">
            <v>10</v>
          </cell>
          <cell r="J1341" t="str">
            <v>STD</v>
          </cell>
          <cell r="L1341">
            <v>45592.200000000012</v>
          </cell>
          <cell r="M1341">
            <v>1982.2695652173918</v>
          </cell>
          <cell r="O1341" t="str">
            <v>LLAVE PARA CONO EXPANSOR</v>
          </cell>
        </row>
        <row r="1342">
          <cell r="D1342" t="str">
            <v>HTJA040012</v>
          </cell>
          <cell r="E1342" t="str">
            <v>10009621</v>
          </cell>
          <cell r="F1342" t="str">
            <v>UF-4600i W</v>
          </cell>
          <cell r="G1342">
            <v>500000</v>
          </cell>
          <cell r="H1342" t="str">
            <v>Nacional</v>
          </cell>
          <cell r="I1342">
            <v>10</v>
          </cell>
          <cell r="J1342" t="str">
            <v>STD</v>
          </cell>
          <cell r="L1342">
            <v>33932.483034337194</v>
          </cell>
          <cell r="M1342">
            <v>1475.3253493190084</v>
          </cell>
          <cell r="O1342" t="str">
            <v>LLAVE PARA CONO EXPANSOR</v>
          </cell>
        </row>
        <row r="1343">
          <cell r="D1343" t="str">
            <v>HTJA040013</v>
          </cell>
          <cell r="E1343" t="str">
            <v>7056050202</v>
          </cell>
          <cell r="F1343" t="str">
            <v>A4 RF-91 Concept One</v>
          </cell>
          <cell r="G1343">
            <v>500000</v>
          </cell>
          <cell r="H1343" t="str">
            <v>Nacional</v>
          </cell>
          <cell r="I1343">
            <v>10</v>
          </cell>
          <cell r="J1343" t="str">
            <v>STD</v>
          </cell>
          <cell r="L1343">
            <v>0</v>
          </cell>
          <cell r="M1343">
            <v>0</v>
          </cell>
          <cell r="O1343" t="str">
            <v>PLATO PRINCIPAL</v>
          </cell>
        </row>
        <row r="1344">
          <cell r="D1344" t="str">
            <v>HTJA040013</v>
          </cell>
          <cell r="E1344" t="str">
            <v>7174050203</v>
          </cell>
          <cell r="F1344" t="str">
            <v>A4 RF-95</v>
          </cell>
          <cell r="G1344">
            <v>500000</v>
          </cell>
          <cell r="H1344" t="str">
            <v>Nacional</v>
          </cell>
          <cell r="I1344">
            <v>10</v>
          </cell>
          <cell r="J1344" t="str">
            <v>STD</v>
          </cell>
          <cell r="L1344">
            <v>8133.6</v>
          </cell>
          <cell r="M1344">
            <v>353.63478260869567</v>
          </cell>
          <cell r="O1344" t="str">
            <v>PLATO PRINCIPAL</v>
          </cell>
        </row>
        <row r="1345">
          <cell r="D1345" t="str">
            <v>HTJA040013</v>
          </cell>
          <cell r="E1345" t="str">
            <v>10019426</v>
          </cell>
          <cell r="F1345" t="str">
            <v>AC-1500i Honda 2NX / GMT</v>
          </cell>
          <cell r="G1345">
            <v>500000</v>
          </cell>
          <cell r="H1345" t="str">
            <v>Nacional</v>
          </cell>
          <cell r="I1345">
            <v>10</v>
          </cell>
          <cell r="J1345" t="str">
            <v>STD</v>
          </cell>
          <cell r="L1345">
            <v>32759.000000000004</v>
          </cell>
          <cell r="M1345">
            <v>1424.3043478260872</v>
          </cell>
          <cell r="O1345" t="str">
            <v>PLATO PRINCIPAL</v>
          </cell>
        </row>
        <row r="1346">
          <cell r="D1346" t="str">
            <v>HTJA040013</v>
          </cell>
          <cell r="E1346" t="str">
            <v>7479050219</v>
          </cell>
          <cell r="F1346" t="str">
            <v>AC-1700i FORD</v>
          </cell>
          <cell r="G1346">
            <v>500000</v>
          </cell>
          <cell r="H1346" t="str">
            <v>Nacional</v>
          </cell>
          <cell r="I1346">
            <v>10</v>
          </cell>
          <cell r="J1346" t="str">
            <v>STD</v>
          </cell>
          <cell r="L1346">
            <v>38420.799999999996</v>
          </cell>
          <cell r="M1346">
            <v>1670.4695652173912</v>
          </cell>
          <cell r="O1346" t="str">
            <v>PLATO PRINCIPAL</v>
          </cell>
        </row>
        <row r="1347">
          <cell r="D1347" t="str">
            <v>HTJA040013</v>
          </cell>
          <cell r="E1347" t="str">
            <v>8647050233</v>
          </cell>
          <cell r="F1347" t="str">
            <v>AC-2000i Honda Acura</v>
          </cell>
          <cell r="G1347">
            <v>500000</v>
          </cell>
          <cell r="H1347" t="str">
            <v>Nacional</v>
          </cell>
          <cell r="I1347">
            <v>10</v>
          </cell>
          <cell r="J1347" t="str">
            <v>STD</v>
          </cell>
          <cell r="L1347">
            <v>74729.200000000012</v>
          </cell>
          <cell r="M1347">
            <v>3249.0956521739135</v>
          </cell>
          <cell r="O1347" t="str">
            <v>PLATO PRINCIPAL</v>
          </cell>
        </row>
        <row r="1348">
          <cell r="D1348" t="str">
            <v>HTJA040013</v>
          </cell>
          <cell r="E1348" t="str">
            <v>10221803</v>
          </cell>
          <cell r="F1348" t="str">
            <v>AC-2300i Gamma Suv</v>
          </cell>
          <cell r="G1348">
            <v>500000</v>
          </cell>
          <cell r="H1348" t="str">
            <v>Nacional</v>
          </cell>
          <cell r="I1348">
            <v>10</v>
          </cell>
          <cell r="J1348" t="str">
            <v>STD</v>
          </cell>
          <cell r="L1348">
            <v>0</v>
          </cell>
          <cell r="M1348">
            <v>0</v>
          </cell>
          <cell r="O1348" t="str">
            <v>PLATO PRINCIPAL</v>
          </cell>
        </row>
        <row r="1349">
          <cell r="D1349" t="str">
            <v>HTJA040013</v>
          </cell>
          <cell r="E1349" t="str">
            <v>7324050215</v>
          </cell>
          <cell r="F1349" t="str">
            <v>AC-2300i PT-44</v>
          </cell>
          <cell r="G1349">
            <v>500000</v>
          </cell>
          <cell r="H1349" t="str">
            <v>Nacional</v>
          </cell>
          <cell r="I1349">
            <v>10</v>
          </cell>
          <cell r="J1349" t="str">
            <v>STD</v>
          </cell>
          <cell r="L1349">
            <v>58512.600000000006</v>
          </cell>
          <cell r="M1349">
            <v>2544.0260869565218</v>
          </cell>
          <cell r="O1349" t="str">
            <v>PLATO PRINCIPAL</v>
          </cell>
        </row>
        <row r="1350">
          <cell r="D1350" t="str">
            <v>HTJA040013</v>
          </cell>
          <cell r="E1350" t="str">
            <v>10001024R</v>
          </cell>
          <cell r="F1350" t="str">
            <v>AC-2600i Ford Escape</v>
          </cell>
          <cell r="G1350">
            <v>500000</v>
          </cell>
          <cell r="H1350" t="str">
            <v>Nacional</v>
          </cell>
          <cell r="I1350">
            <v>10</v>
          </cell>
          <cell r="J1350" t="str">
            <v>STD</v>
          </cell>
          <cell r="L1350">
            <v>59203</v>
          </cell>
          <cell r="M1350">
            <v>2574.0434782608695</v>
          </cell>
          <cell r="O1350" t="str">
            <v>PLATO PRINCIPAL</v>
          </cell>
        </row>
        <row r="1351">
          <cell r="D1351" t="str">
            <v>HTJA040013</v>
          </cell>
          <cell r="E1351" t="str">
            <v>7553050217</v>
          </cell>
          <cell r="F1351" t="str">
            <v>AC-2600i PT-Turbo</v>
          </cell>
          <cell r="G1351">
            <v>500000</v>
          </cell>
          <cell r="H1351" t="str">
            <v>Nacional</v>
          </cell>
          <cell r="I1351">
            <v>10</v>
          </cell>
          <cell r="J1351" t="str">
            <v>STD</v>
          </cell>
          <cell r="L1351">
            <v>37981.199999999997</v>
          </cell>
          <cell r="M1351">
            <v>1651.3565217391304</v>
          </cell>
          <cell r="O1351" t="str">
            <v>PLATO PRINCIPAL</v>
          </cell>
        </row>
        <row r="1352">
          <cell r="D1352" t="str">
            <v>HTJA040013</v>
          </cell>
          <cell r="E1352" t="str">
            <v>10054551</v>
          </cell>
          <cell r="F1352" t="str">
            <v>AC-2650 JC49 / GS PLT / DNA</v>
          </cell>
          <cell r="G1352">
            <v>500000</v>
          </cell>
          <cell r="H1352" t="str">
            <v>Nacional</v>
          </cell>
          <cell r="I1352">
            <v>10</v>
          </cell>
          <cell r="J1352" t="str">
            <v>STD</v>
          </cell>
          <cell r="L1352">
            <v>11932</v>
          </cell>
          <cell r="M1352">
            <v>518.78260869565213</v>
          </cell>
          <cell r="O1352" t="str">
            <v>PLATO PRINCIPAL</v>
          </cell>
        </row>
        <row r="1353">
          <cell r="D1353" t="str">
            <v>HTJA040013</v>
          </cell>
          <cell r="E1353" t="str">
            <v>00806342</v>
          </cell>
          <cell r="F1353" t="str">
            <v>AC-2900i VW</v>
          </cell>
          <cell r="G1353">
            <v>500000</v>
          </cell>
          <cell r="H1353" t="str">
            <v>Nacional</v>
          </cell>
          <cell r="I1353">
            <v>10</v>
          </cell>
          <cell r="J1353" t="str">
            <v>STD</v>
          </cell>
          <cell r="L1353">
            <v>23450.400000000001</v>
          </cell>
          <cell r="M1353">
            <v>1019.5826086956522</v>
          </cell>
          <cell r="O1353" t="str">
            <v>PLATO PRINCIPAL</v>
          </cell>
        </row>
        <row r="1354">
          <cell r="D1354" t="str">
            <v>HTJA040013</v>
          </cell>
          <cell r="E1354" t="str">
            <v>10019477T</v>
          </cell>
          <cell r="F1354" t="str">
            <v>AC-3300i FORD</v>
          </cell>
          <cell r="G1354">
            <v>500000</v>
          </cell>
          <cell r="H1354" t="str">
            <v>Nacional</v>
          </cell>
          <cell r="I1354">
            <v>10</v>
          </cell>
          <cell r="J1354" t="str">
            <v>STD</v>
          </cell>
          <cell r="L1354">
            <v>0</v>
          </cell>
          <cell r="M1354">
            <v>0</v>
          </cell>
          <cell r="O1354" t="str">
            <v>PLATO PRINCIPAL</v>
          </cell>
        </row>
        <row r="1355">
          <cell r="D1355" t="str">
            <v>HTJA040013</v>
          </cell>
          <cell r="E1355" t="str">
            <v>4302091005</v>
          </cell>
          <cell r="F1355" t="str">
            <v>C-2000 PL-BODY</v>
          </cell>
          <cell r="G1355">
            <v>500000</v>
          </cell>
          <cell r="H1355" t="str">
            <v>Nacional</v>
          </cell>
          <cell r="I1355">
            <v>10</v>
          </cell>
          <cell r="J1355" t="str">
            <v>STD</v>
          </cell>
          <cell r="L1355">
            <v>0</v>
          </cell>
          <cell r="M1355">
            <v>0</v>
          </cell>
          <cell r="O1355" t="str">
            <v>PLATO PRINCIPAL</v>
          </cell>
        </row>
        <row r="1356">
          <cell r="D1356" t="str">
            <v>HTJA040013</v>
          </cell>
          <cell r="E1356" t="str">
            <v>10060762</v>
          </cell>
          <cell r="F1356" t="str">
            <v>UF-2600i Ford Explorer</v>
          </cell>
          <cell r="G1356">
            <v>500000</v>
          </cell>
          <cell r="H1356" t="str">
            <v>Nacional</v>
          </cell>
          <cell r="I1356">
            <v>10</v>
          </cell>
          <cell r="J1356" t="str">
            <v>STD</v>
          </cell>
          <cell r="L1356">
            <v>0</v>
          </cell>
          <cell r="M1356">
            <v>0</v>
          </cell>
          <cell r="O1356" t="str">
            <v>PLATO PRINCIPAL</v>
          </cell>
        </row>
        <row r="1357">
          <cell r="D1357" t="str">
            <v>HTJA040013</v>
          </cell>
          <cell r="E1357" t="str">
            <v>00806088</v>
          </cell>
          <cell r="F1357" t="str">
            <v>UF-2600i Hyundai</v>
          </cell>
          <cell r="G1357">
            <v>500000</v>
          </cell>
          <cell r="H1357" t="str">
            <v>Nacional</v>
          </cell>
          <cell r="I1357">
            <v>10</v>
          </cell>
          <cell r="J1357" t="str">
            <v>STD</v>
          </cell>
          <cell r="L1357">
            <v>0</v>
          </cell>
          <cell r="M1357">
            <v>0</v>
          </cell>
          <cell r="O1357" t="str">
            <v>PLATO PRINCIPAL</v>
          </cell>
        </row>
        <row r="1358">
          <cell r="D1358" t="str">
            <v>HTJA040013</v>
          </cell>
          <cell r="E1358" t="str">
            <v>8152050226</v>
          </cell>
          <cell r="F1358" t="str">
            <v>UF-2600i PQ-35 VW</v>
          </cell>
          <cell r="G1358">
            <v>500000</v>
          </cell>
          <cell r="H1358" t="str">
            <v>Nacional</v>
          </cell>
          <cell r="I1358">
            <v>10</v>
          </cell>
          <cell r="J1358" t="str">
            <v>STD</v>
          </cell>
          <cell r="L1358">
            <v>38227.399999999994</v>
          </cell>
          <cell r="M1358">
            <v>1662.0608695652172</v>
          </cell>
          <cell r="O1358" t="str">
            <v>PLATO PRINCIPAL</v>
          </cell>
        </row>
        <row r="1359">
          <cell r="D1359" t="str">
            <v>HTJA040013</v>
          </cell>
          <cell r="E1359" t="str">
            <v>10018041</v>
          </cell>
          <cell r="F1359" t="str">
            <v>UF-3300i W</v>
          </cell>
          <cell r="G1359">
            <v>500000</v>
          </cell>
          <cell r="H1359" t="str">
            <v>Nacional</v>
          </cell>
          <cell r="I1359">
            <v>10</v>
          </cell>
          <cell r="J1359" t="str">
            <v>STD</v>
          </cell>
          <cell r="L1359">
            <v>13520.454678603319</v>
          </cell>
          <cell r="M1359">
            <v>587.84585559144864</v>
          </cell>
          <cell r="O1359" t="str">
            <v>PLATO PRINCIPAL</v>
          </cell>
        </row>
        <row r="1360">
          <cell r="D1360" t="str">
            <v>HTJA040013</v>
          </cell>
          <cell r="E1360" t="str">
            <v>7870050221</v>
          </cell>
          <cell r="F1360" t="str">
            <v>UF-3400 PQ-35 VW</v>
          </cell>
          <cell r="G1360">
            <v>500000</v>
          </cell>
          <cell r="H1360" t="str">
            <v>Nacional</v>
          </cell>
          <cell r="I1360">
            <v>10</v>
          </cell>
          <cell r="J1360" t="str">
            <v>STD</v>
          </cell>
          <cell r="L1360">
            <v>45592.200000000012</v>
          </cell>
          <cell r="M1360">
            <v>1982.2695652173918</v>
          </cell>
          <cell r="O1360" t="str">
            <v>PLATO PRINCIPAL</v>
          </cell>
        </row>
        <row r="1361">
          <cell r="D1361" t="str">
            <v>HTJA040013</v>
          </cell>
          <cell r="E1361" t="str">
            <v>10009621</v>
          </cell>
          <cell r="F1361" t="str">
            <v>UF-4600i W</v>
          </cell>
          <cell r="G1361">
            <v>500000</v>
          </cell>
          <cell r="H1361" t="str">
            <v>Nacional</v>
          </cell>
          <cell r="I1361">
            <v>10</v>
          </cell>
          <cell r="J1361" t="str">
            <v>STD</v>
          </cell>
          <cell r="L1361">
            <v>33932.483034337194</v>
          </cell>
          <cell r="M1361">
            <v>1475.3253493190084</v>
          </cell>
          <cell r="O1361" t="str">
            <v>PLATO PRINCIPAL</v>
          </cell>
        </row>
        <row r="1362">
          <cell r="D1362" t="str">
            <v>HTJA040014</v>
          </cell>
          <cell r="E1362" t="str">
            <v>7174050203</v>
          </cell>
          <cell r="F1362" t="str">
            <v>A4 RF-95</v>
          </cell>
          <cell r="G1362">
            <v>25000</v>
          </cell>
          <cell r="H1362" t="str">
            <v>Nacional</v>
          </cell>
          <cell r="I1362">
            <v>8</v>
          </cell>
          <cell r="J1362" t="str">
            <v>A4 RF-95</v>
          </cell>
          <cell r="L1362">
            <v>8133.6</v>
          </cell>
          <cell r="M1362">
            <v>353.63478260869567</v>
          </cell>
          <cell r="O1362" t="str">
            <v>BOQUILLA TRES DEDOS</v>
          </cell>
        </row>
        <row r="1363">
          <cell r="D1363" t="str">
            <v>HTJA040151</v>
          </cell>
          <cell r="E1363" t="str">
            <v>7479050219</v>
          </cell>
          <cell r="F1363" t="str">
            <v>AC-1700i FORD</v>
          </cell>
          <cell r="G1363">
            <v>200000</v>
          </cell>
          <cell r="H1363" t="str">
            <v>Nacional</v>
          </cell>
          <cell r="I1363">
            <v>8</v>
          </cell>
          <cell r="J1363" t="str">
            <v>AC-1700i</v>
          </cell>
          <cell r="L1363">
            <v>38420.799999999996</v>
          </cell>
          <cell r="M1363">
            <v>1670.4695652173912</v>
          </cell>
          <cell r="O1363" t="str">
            <v>PORTA PUNZÓN CORTO</v>
          </cell>
        </row>
        <row r="1364">
          <cell r="D1364" t="str">
            <v>HTJA040016</v>
          </cell>
          <cell r="E1364" t="str">
            <v>7553050217</v>
          </cell>
          <cell r="F1364" t="str">
            <v>AC-2600i PT-Turbo</v>
          </cell>
          <cell r="G1364">
            <v>4000</v>
          </cell>
          <cell r="H1364" t="str">
            <v>Nacional</v>
          </cell>
          <cell r="I1364">
            <v>6</v>
          </cell>
          <cell r="J1364" t="str">
            <v>AC-2600i</v>
          </cell>
          <cell r="L1364">
            <v>37981.199999999997</v>
          </cell>
          <cell r="M1364">
            <v>1651.3565217391304</v>
          </cell>
          <cell r="O1364" t="str">
            <v>PUNZÓN R 7.1</v>
          </cell>
        </row>
        <row r="1365">
          <cell r="D1365" t="str">
            <v>HTJA040017</v>
          </cell>
          <cell r="E1365" t="str">
            <v>10001024R</v>
          </cell>
          <cell r="F1365" t="str">
            <v>AC-2600i Ford Escape</v>
          </cell>
          <cell r="G1365">
            <v>4000</v>
          </cell>
          <cell r="H1365" t="str">
            <v>Nacional</v>
          </cell>
          <cell r="I1365">
            <v>6</v>
          </cell>
          <cell r="J1365" t="str">
            <v>AC-2600i</v>
          </cell>
          <cell r="L1365">
            <v>59203</v>
          </cell>
          <cell r="M1365">
            <v>2574.0434782608695</v>
          </cell>
          <cell r="O1365" t="str">
            <v>PUNZÓN R 5.5</v>
          </cell>
        </row>
        <row r="1366">
          <cell r="D1366" t="str">
            <v>HTJA040018</v>
          </cell>
          <cell r="E1366" t="str">
            <v>7553050217</v>
          </cell>
          <cell r="F1366" t="str">
            <v>AC-2600i PT-Turbo</v>
          </cell>
          <cell r="G1366">
            <v>200000</v>
          </cell>
          <cell r="H1366" t="str">
            <v>Nacional</v>
          </cell>
          <cell r="I1366">
            <v>8</v>
          </cell>
          <cell r="J1366" t="str">
            <v>AC-2600i</v>
          </cell>
          <cell r="L1366">
            <v>37981.199999999997</v>
          </cell>
          <cell r="M1366">
            <v>1651.3565217391304</v>
          </cell>
          <cell r="O1366" t="str">
            <v>PLATO DE APOYO</v>
          </cell>
        </row>
        <row r="1367">
          <cell r="D1367" t="str">
            <v>HTJA040018</v>
          </cell>
          <cell r="E1367" t="str">
            <v>10001024R</v>
          </cell>
          <cell r="F1367" t="str">
            <v>AC-2600i Ford Escape</v>
          </cell>
          <cell r="G1367">
            <v>200000</v>
          </cell>
          <cell r="H1367" t="str">
            <v>Nacional</v>
          </cell>
          <cell r="I1367">
            <v>8</v>
          </cell>
          <cell r="J1367" t="str">
            <v>AC-2600i</v>
          </cell>
          <cell r="L1367">
            <v>59203</v>
          </cell>
          <cell r="M1367">
            <v>2574.0434782608695</v>
          </cell>
          <cell r="O1367" t="str">
            <v>PLATO DE APOYO</v>
          </cell>
        </row>
        <row r="1368">
          <cell r="D1368" t="str">
            <v>HTJA040019</v>
          </cell>
          <cell r="E1368" t="str">
            <v>7553050217</v>
          </cell>
          <cell r="F1368" t="str">
            <v>AC-2600i PT-Turbo</v>
          </cell>
          <cell r="G1368">
            <v>10000</v>
          </cell>
          <cell r="H1368" t="str">
            <v>Nacional</v>
          </cell>
          <cell r="I1368">
            <v>8</v>
          </cell>
          <cell r="J1368" t="str">
            <v>AC-2600i</v>
          </cell>
          <cell r="L1368">
            <v>37981.199999999997</v>
          </cell>
          <cell r="M1368">
            <v>1651.3565217391304</v>
          </cell>
          <cell r="O1368" t="str">
            <v>BOQUILLA TRES DEDOS</v>
          </cell>
        </row>
        <row r="1369">
          <cell r="D1369" t="str">
            <v>HTJA040019</v>
          </cell>
          <cell r="E1369" t="str">
            <v>10001024R</v>
          </cell>
          <cell r="F1369" t="str">
            <v>AC-2600i Ford Escape</v>
          </cell>
          <cell r="G1369">
            <v>10000</v>
          </cell>
          <cell r="H1369" t="str">
            <v>Nacional</v>
          </cell>
          <cell r="I1369">
            <v>8</v>
          </cell>
          <cell r="J1369" t="str">
            <v>AC-2600i</v>
          </cell>
          <cell r="L1369">
            <v>59203</v>
          </cell>
          <cell r="M1369">
            <v>2574.0434782608695</v>
          </cell>
          <cell r="O1369" t="str">
            <v>BOQUILLA TRES DEDOS</v>
          </cell>
        </row>
        <row r="1370">
          <cell r="D1370" t="str">
            <v>HTJA040020</v>
          </cell>
          <cell r="E1370" t="str">
            <v>8647050233</v>
          </cell>
          <cell r="F1370" t="str">
            <v>AC-2000i Honda Acura</v>
          </cell>
          <cell r="G1370">
            <v>200000</v>
          </cell>
          <cell r="H1370" t="str">
            <v>Nacional</v>
          </cell>
          <cell r="I1370">
            <v>8</v>
          </cell>
          <cell r="J1370" t="str">
            <v>AC-2000i</v>
          </cell>
          <cell r="L1370">
            <v>74729.200000000012</v>
          </cell>
          <cell r="M1370">
            <v>3249.0956521739135</v>
          </cell>
          <cell r="O1370" t="str">
            <v>PLATO DE APOYO</v>
          </cell>
        </row>
        <row r="1371">
          <cell r="D1371" t="str">
            <v>HTJA040021</v>
          </cell>
          <cell r="E1371" t="str">
            <v>8647050233</v>
          </cell>
          <cell r="F1371" t="str">
            <v>AC-2000i Honda Acura</v>
          </cell>
          <cell r="G1371">
            <v>5000</v>
          </cell>
          <cell r="H1371" t="str">
            <v>Nacional</v>
          </cell>
          <cell r="I1371">
            <v>6</v>
          </cell>
          <cell r="J1371" t="str">
            <v>AC-2000i</v>
          </cell>
          <cell r="L1371">
            <v>74729.200000000012</v>
          </cell>
          <cell r="M1371">
            <v>3249.0956521739135</v>
          </cell>
          <cell r="O1371" t="str">
            <v>PUNZON</v>
          </cell>
        </row>
        <row r="1372">
          <cell r="D1372" t="str">
            <v>HTJA040022</v>
          </cell>
          <cell r="E1372" t="str">
            <v>8647050233</v>
          </cell>
          <cell r="F1372" t="str">
            <v>AC-2000i Honda Acura</v>
          </cell>
          <cell r="G1372">
            <v>8000</v>
          </cell>
          <cell r="H1372" t="str">
            <v>Nacional</v>
          </cell>
          <cell r="I1372">
            <v>6</v>
          </cell>
          <cell r="J1372" t="str">
            <v>AC-2000i</v>
          </cell>
          <cell r="L1372">
            <v>74729.200000000012</v>
          </cell>
          <cell r="M1372">
            <v>3249.0956521739135</v>
          </cell>
          <cell r="O1372" t="str">
            <v>BOQUILLA TRES DEDOS</v>
          </cell>
        </row>
        <row r="1373">
          <cell r="D1373" t="str">
            <v>HTJA040023</v>
          </cell>
          <cell r="E1373" t="str">
            <v>10221803</v>
          </cell>
          <cell r="F1373" t="str">
            <v>AC-2300i Gamma Suv</v>
          </cell>
          <cell r="G1373">
            <v>5000</v>
          </cell>
          <cell r="H1373" t="str">
            <v>Nacional</v>
          </cell>
          <cell r="I1373">
            <v>6</v>
          </cell>
          <cell r="J1373" t="str">
            <v>AC-2300i</v>
          </cell>
          <cell r="L1373">
            <v>0</v>
          </cell>
          <cell r="M1373">
            <v>0</v>
          </cell>
          <cell r="O1373" t="str">
            <v>PUNZON</v>
          </cell>
        </row>
        <row r="1374">
          <cell r="D1374" t="str">
            <v>HTJA040023</v>
          </cell>
          <cell r="E1374" t="str">
            <v>7324050215</v>
          </cell>
          <cell r="F1374" t="str">
            <v>AC-2300i PT-44</v>
          </cell>
          <cell r="G1374">
            <v>5000</v>
          </cell>
          <cell r="H1374" t="str">
            <v>Nacional</v>
          </cell>
          <cell r="I1374">
            <v>6</v>
          </cell>
          <cell r="J1374" t="str">
            <v>AC-2300i</v>
          </cell>
          <cell r="L1374">
            <v>58512.600000000006</v>
          </cell>
          <cell r="M1374">
            <v>2544.0260869565218</v>
          </cell>
          <cell r="O1374" t="str">
            <v>PUNZON</v>
          </cell>
        </row>
        <row r="1375">
          <cell r="D1375" t="str">
            <v>HTJA040024</v>
          </cell>
          <cell r="E1375" t="str">
            <v>10221803</v>
          </cell>
          <cell r="F1375" t="str">
            <v>AC-2300i Gamma Suv</v>
          </cell>
          <cell r="G1375">
            <v>200000</v>
          </cell>
          <cell r="H1375" t="str">
            <v>Nacional</v>
          </cell>
          <cell r="I1375">
            <v>8</v>
          </cell>
          <cell r="J1375" t="str">
            <v>AC-2300i</v>
          </cell>
          <cell r="L1375">
            <v>0</v>
          </cell>
          <cell r="M1375">
            <v>0</v>
          </cell>
          <cell r="O1375" t="str">
            <v>PLATO DE APOYO</v>
          </cell>
        </row>
        <row r="1376">
          <cell r="D1376" t="str">
            <v>HTJA040024</v>
          </cell>
          <cell r="E1376" t="str">
            <v>7324050215</v>
          </cell>
          <cell r="F1376" t="str">
            <v>AC-2300i PT-44</v>
          </cell>
          <cell r="G1376">
            <v>200000</v>
          </cell>
          <cell r="H1376" t="str">
            <v>Nacional</v>
          </cell>
          <cell r="I1376">
            <v>8</v>
          </cell>
          <cell r="J1376" t="str">
            <v>AC-2300i</v>
          </cell>
          <cell r="L1376">
            <v>58512.600000000006</v>
          </cell>
          <cell r="M1376">
            <v>2544.0260869565218</v>
          </cell>
          <cell r="O1376" t="str">
            <v>PLATO DE APOYO</v>
          </cell>
        </row>
        <row r="1377">
          <cell r="D1377" t="str">
            <v>HTJA040025</v>
          </cell>
          <cell r="E1377" t="str">
            <v>4302091005</v>
          </cell>
          <cell r="F1377" t="str">
            <v>C-2000 PL-BODY</v>
          </cell>
          <cell r="G1377">
            <v>5000</v>
          </cell>
          <cell r="H1377" t="str">
            <v>Nacional</v>
          </cell>
          <cell r="I1377">
            <v>6</v>
          </cell>
          <cell r="J1377" t="str">
            <v>C-2000</v>
          </cell>
          <cell r="L1377">
            <v>0</v>
          </cell>
          <cell r="M1377">
            <v>0</v>
          </cell>
          <cell r="O1377" t="str">
            <v>PUNZON</v>
          </cell>
        </row>
        <row r="1378">
          <cell r="D1378" t="str">
            <v>HTJA040030</v>
          </cell>
          <cell r="E1378" t="str">
            <v>7056050202</v>
          </cell>
          <cell r="F1378" t="str">
            <v>A4 RF-91 Concept One</v>
          </cell>
          <cell r="G1378">
            <v>100000</v>
          </cell>
          <cell r="H1378" t="str">
            <v>Nacional</v>
          </cell>
          <cell r="I1378">
            <v>8</v>
          </cell>
          <cell r="J1378" t="str">
            <v>STD</v>
          </cell>
          <cell r="L1378">
            <v>0</v>
          </cell>
          <cell r="M1378">
            <v>0</v>
          </cell>
          <cell r="O1378" t="str">
            <v>CONO EXPANSOR PARA BOQUILLA ø35.00</v>
          </cell>
        </row>
        <row r="1379">
          <cell r="D1379" t="str">
            <v>HTJA040030</v>
          </cell>
          <cell r="E1379" t="str">
            <v>7174050203</v>
          </cell>
          <cell r="F1379" t="str">
            <v>A4 RF-95</v>
          </cell>
          <cell r="G1379">
            <v>100000</v>
          </cell>
          <cell r="H1379" t="str">
            <v>Nacional</v>
          </cell>
          <cell r="I1379">
            <v>8</v>
          </cell>
          <cell r="J1379" t="str">
            <v>STD</v>
          </cell>
          <cell r="L1379">
            <v>8133.6</v>
          </cell>
          <cell r="M1379">
            <v>353.63478260869567</v>
          </cell>
          <cell r="O1379" t="str">
            <v>CONO EXPANSOR PARA BOQUILLA ø35.00</v>
          </cell>
        </row>
        <row r="1380">
          <cell r="D1380" t="str">
            <v>HTJA040030</v>
          </cell>
          <cell r="E1380" t="str">
            <v>10019426</v>
          </cell>
          <cell r="F1380" t="str">
            <v>AC-1500i Honda 2NX / GMT</v>
          </cell>
          <cell r="G1380">
            <v>100000</v>
          </cell>
          <cell r="H1380" t="str">
            <v>Nacional</v>
          </cell>
          <cell r="I1380">
            <v>8</v>
          </cell>
          <cell r="J1380" t="str">
            <v>STD</v>
          </cell>
          <cell r="L1380">
            <v>32759.000000000004</v>
          </cell>
          <cell r="M1380">
            <v>1424.3043478260872</v>
          </cell>
          <cell r="O1380" t="str">
            <v>CONO EXPANSOR PARA BOQUILLA ø35.00</v>
          </cell>
        </row>
        <row r="1381">
          <cell r="D1381" t="str">
            <v>HTJA040030</v>
          </cell>
          <cell r="E1381" t="str">
            <v>7479050219</v>
          </cell>
          <cell r="F1381" t="str">
            <v>AC-1700i FORD</v>
          </cell>
          <cell r="G1381">
            <v>100000</v>
          </cell>
          <cell r="H1381" t="str">
            <v>Nacional</v>
          </cell>
          <cell r="I1381">
            <v>8</v>
          </cell>
          <cell r="J1381" t="str">
            <v>STD</v>
          </cell>
          <cell r="L1381">
            <v>38420.799999999996</v>
          </cell>
          <cell r="M1381">
            <v>1670.4695652173912</v>
          </cell>
          <cell r="O1381" t="str">
            <v>CONO EXPANSOR PARA BOQUILLA ø35.00</v>
          </cell>
        </row>
        <row r="1382">
          <cell r="D1382" t="str">
            <v>HTJA040030</v>
          </cell>
          <cell r="E1382" t="str">
            <v>8647050233</v>
          </cell>
          <cell r="F1382" t="str">
            <v>AC-2000i Honda Acura</v>
          </cell>
          <cell r="G1382">
            <v>100000</v>
          </cell>
          <cell r="H1382" t="str">
            <v>Nacional</v>
          </cell>
          <cell r="I1382">
            <v>8</v>
          </cell>
          <cell r="J1382" t="str">
            <v>STD</v>
          </cell>
          <cell r="L1382">
            <v>74729.200000000012</v>
          </cell>
          <cell r="M1382">
            <v>3249.0956521739135</v>
          </cell>
          <cell r="O1382" t="str">
            <v>CONO EXPANSOR PARA BOQUILLA ø35.00</v>
          </cell>
        </row>
        <row r="1383">
          <cell r="D1383" t="str">
            <v>HTJA040030</v>
          </cell>
          <cell r="E1383" t="str">
            <v>10221803</v>
          </cell>
          <cell r="F1383" t="str">
            <v>AC-2300i Gamma Suv</v>
          </cell>
          <cell r="G1383">
            <v>100000</v>
          </cell>
          <cell r="H1383" t="str">
            <v>Nacional</v>
          </cell>
          <cell r="I1383">
            <v>8</v>
          </cell>
          <cell r="J1383" t="str">
            <v>STD</v>
          </cell>
          <cell r="L1383">
            <v>0</v>
          </cell>
          <cell r="M1383">
            <v>0</v>
          </cell>
          <cell r="O1383" t="str">
            <v>CONO EXPANSOR PARA BOQUILLA ø35.00</v>
          </cell>
        </row>
        <row r="1384">
          <cell r="D1384" t="str">
            <v>HTJA040030</v>
          </cell>
          <cell r="E1384" t="str">
            <v>7324050215</v>
          </cell>
          <cell r="F1384" t="str">
            <v>AC-2300i PT-44</v>
          </cell>
          <cell r="G1384">
            <v>100000</v>
          </cell>
          <cell r="H1384" t="str">
            <v>Nacional</v>
          </cell>
          <cell r="I1384">
            <v>8</v>
          </cell>
          <cell r="J1384" t="str">
            <v>STD</v>
          </cell>
          <cell r="L1384">
            <v>58512.600000000006</v>
          </cell>
          <cell r="M1384">
            <v>2544.0260869565218</v>
          </cell>
          <cell r="O1384" t="str">
            <v>CONO EXPANSOR PARA BOQUILLA ø35.00</v>
          </cell>
        </row>
        <row r="1385">
          <cell r="D1385" t="str">
            <v>HTJA040030</v>
          </cell>
          <cell r="E1385" t="str">
            <v>10001024R</v>
          </cell>
          <cell r="F1385" t="str">
            <v>AC-2600i Ford Escape</v>
          </cell>
          <cell r="G1385">
            <v>100000</v>
          </cell>
          <cell r="H1385" t="str">
            <v>Nacional</v>
          </cell>
          <cell r="I1385">
            <v>8</v>
          </cell>
          <cell r="J1385" t="str">
            <v>STD</v>
          </cell>
          <cell r="L1385">
            <v>59203</v>
          </cell>
          <cell r="M1385">
            <v>2574.0434782608695</v>
          </cell>
          <cell r="O1385" t="str">
            <v>CONO EXPANSOR PARA BOQUILLA ø35.00</v>
          </cell>
        </row>
        <row r="1386">
          <cell r="D1386" t="str">
            <v>HTJA040030</v>
          </cell>
          <cell r="E1386" t="str">
            <v>7553050217</v>
          </cell>
          <cell r="F1386" t="str">
            <v>AC-2600i PT-Turbo</v>
          </cell>
          <cell r="G1386">
            <v>100000</v>
          </cell>
          <cell r="H1386" t="str">
            <v>Nacional</v>
          </cell>
          <cell r="I1386">
            <v>8</v>
          </cell>
          <cell r="J1386" t="str">
            <v>STD</v>
          </cell>
          <cell r="L1386">
            <v>37981.199999999997</v>
          </cell>
          <cell r="M1386">
            <v>1651.3565217391304</v>
          </cell>
          <cell r="O1386" t="str">
            <v>CONO EXPANSOR PARA BOQUILLA ø35.00</v>
          </cell>
        </row>
        <row r="1387">
          <cell r="D1387" t="str">
            <v>HTJA040030</v>
          </cell>
          <cell r="E1387" t="str">
            <v>10054551</v>
          </cell>
          <cell r="F1387" t="str">
            <v>AC-2650 JC49 / GS PLT / DNA</v>
          </cell>
          <cell r="G1387">
            <v>100000</v>
          </cell>
          <cell r="H1387" t="str">
            <v>Nacional</v>
          </cell>
          <cell r="I1387">
            <v>8</v>
          </cell>
          <cell r="J1387" t="str">
            <v>STD</v>
          </cell>
          <cell r="L1387">
            <v>11932</v>
          </cell>
          <cell r="M1387">
            <v>518.78260869565213</v>
          </cell>
          <cell r="O1387" t="str">
            <v>CONO EXPANSOR PARA BOQUILLA ø35.00</v>
          </cell>
        </row>
        <row r="1388">
          <cell r="D1388" t="str">
            <v>HTJA040030</v>
          </cell>
          <cell r="E1388" t="str">
            <v>00806342</v>
          </cell>
          <cell r="F1388" t="str">
            <v>AC-2900i VW</v>
          </cell>
          <cell r="G1388">
            <v>100000</v>
          </cell>
          <cell r="H1388" t="str">
            <v>Nacional</v>
          </cell>
          <cell r="I1388">
            <v>8</v>
          </cell>
          <cell r="J1388" t="str">
            <v>STD</v>
          </cell>
          <cell r="L1388">
            <v>23450.400000000001</v>
          </cell>
          <cell r="M1388">
            <v>1019.5826086956522</v>
          </cell>
          <cell r="O1388" t="str">
            <v>CONO EXPANSOR PARA BOQUILLA ø35.00</v>
          </cell>
        </row>
        <row r="1389">
          <cell r="D1389" t="str">
            <v>HTJA040030</v>
          </cell>
          <cell r="E1389" t="str">
            <v>10019477T</v>
          </cell>
          <cell r="F1389" t="str">
            <v>AC-3300i FORD</v>
          </cell>
          <cell r="G1389">
            <v>100000</v>
          </cell>
          <cell r="H1389" t="str">
            <v>Nacional</v>
          </cell>
          <cell r="I1389">
            <v>8</v>
          </cell>
          <cell r="J1389" t="str">
            <v>STD</v>
          </cell>
          <cell r="L1389">
            <v>0</v>
          </cell>
          <cell r="M1389">
            <v>0</v>
          </cell>
          <cell r="O1389" t="str">
            <v>CONO EXPANSOR PARA BOQUILLA ø35.00</v>
          </cell>
        </row>
        <row r="1390">
          <cell r="D1390" t="str">
            <v>HTJA040030</v>
          </cell>
          <cell r="E1390" t="str">
            <v>4302091005</v>
          </cell>
          <cell r="F1390" t="str">
            <v>C-2000 PL-BODY</v>
          </cell>
          <cell r="G1390">
            <v>100000</v>
          </cell>
          <cell r="H1390" t="str">
            <v>Nacional</v>
          </cell>
          <cell r="I1390">
            <v>8</v>
          </cell>
          <cell r="J1390" t="str">
            <v>STD</v>
          </cell>
          <cell r="L1390">
            <v>0</v>
          </cell>
          <cell r="M1390">
            <v>0</v>
          </cell>
          <cell r="O1390" t="str">
            <v>CONO EXPANSOR PARA BOQUILLA ø35.00</v>
          </cell>
        </row>
        <row r="1391">
          <cell r="D1391" t="str">
            <v>HTJA040030</v>
          </cell>
          <cell r="E1391" t="str">
            <v>10060762</v>
          </cell>
          <cell r="F1391" t="str">
            <v>UF-2600i Ford Explorer</v>
          </cell>
          <cell r="G1391">
            <v>100000</v>
          </cell>
          <cell r="H1391" t="str">
            <v>Nacional</v>
          </cell>
          <cell r="I1391">
            <v>8</v>
          </cell>
          <cell r="J1391" t="str">
            <v>STD</v>
          </cell>
          <cell r="L1391">
            <v>0</v>
          </cell>
          <cell r="M1391">
            <v>0</v>
          </cell>
          <cell r="O1391" t="str">
            <v>CONO EXPANSOR PARA BOQUILLA ø35.00</v>
          </cell>
        </row>
        <row r="1392">
          <cell r="D1392" t="str">
            <v>HTJA040030</v>
          </cell>
          <cell r="E1392" t="str">
            <v>00806088</v>
          </cell>
          <cell r="F1392" t="str">
            <v>UF-2600i Hyundai</v>
          </cell>
          <cell r="G1392">
            <v>100000</v>
          </cell>
          <cell r="H1392" t="str">
            <v>Nacional</v>
          </cell>
          <cell r="I1392">
            <v>8</v>
          </cell>
          <cell r="J1392" t="str">
            <v>STD</v>
          </cell>
          <cell r="L1392">
            <v>0</v>
          </cell>
          <cell r="M1392">
            <v>0</v>
          </cell>
          <cell r="O1392" t="str">
            <v>CONO EXPANSOR PARA BOQUILLA ø35.00</v>
          </cell>
        </row>
        <row r="1393">
          <cell r="D1393" t="str">
            <v>HTJA040030</v>
          </cell>
          <cell r="E1393" t="str">
            <v>8152050226</v>
          </cell>
          <cell r="F1393" t="str">
            <v>UF-2600i PQ-35 VW</v>
          </cell>
          <cell r="G1393">
            <v>100000</v>
          </cell>
          <cell r="H1393" t="str">
            <v>Nacional</v>
          </cell>
          <cell r="I1393">
            <v>8</v>
          </cell>
          <cell r="J1393" t="str">
            <v>STD</v>
          </cell>
          <cell r="L1393">
            <v>38227.399999999994</v>
          </cell>
          <cell r="M1393">
            <v>1662.0608695652172</v>
          </cell>
          <cell r="O1393" t="str">
            <v>CONO EXPANSOR PARA BOQUILLA ø35.00</v>
          </cell>
        </row>
        <row r="1394">
          <cell r="D1394" t="str">
            <v>HTJA040030</v>
          </cell>
          <cell r="E1394" t="str">
            <v>10018041</v>
          </cell>
          <cell r="F1394" t="str">
            <v>UF-3300i W</v>
          </cell>
          <cell r="G1394">
            <v>100000</v>
          </cell>
          <cell r="H1394" t="str">
            <v>Nacional</v>
          </cell>
          <cell r="I1394">
            <v>8</v>
          </cell>
          <cell r="J1394" t="str">
            <v>STD</v>
          </cell>
          <cell r="L1394">
            <v>13520.454678603319</v>
          </cell>
          <cell r="M1394">
            <v>587.84585559144864</v>
          </cell>
          <cell r="O1394" t="str">
            <v>CONO EXPANSOR PARA BOQUILLA ø35.00</v>
          </cell>
        </row>
        <row r="1395">
          <cell r="D1395" t="str">
            <v>HTJA040030</v>
          </cell>
          <cell r="E1395" t="str">
            <v>7870050221</v>
          </cell>
          <cell r="F1395" t="str">
            <v>UF-3400 PQ-35 VW</v>
          </cell>
          <cell r="G1395">
            <v>100000</v>
          </cell>
          <cell r="H1395" t="str">
            <v>Nacional</v>
          </cell>
          <cell r="I1395">
            <v>8</v>
          </cell>
          <cell r="J1395" t="str">
            <v>STD</v>
          </cell>
          <cell r="L1395">
            <v>45592.200000000012</v>
          </cell>
          <cell r="M1395">
            <v>1982.2695652173918</v>
          </cell>
          <cell r="O1395" t="str">
            <v>CONO EXPANSOR PARA BOQUILLA ø35.00</v>
          </cell>
        </row>
        <row r="1396">
          <cell r="D1396" t="str">
            <v>HTJA040030</v>
          </cell>
          <cell r="E1396" t="str">
            <v>10009621</v>
          </cell>
          <cell r="F1396" t="str">
            <v>UF-4600i W</v>
          </cell>
          <cell r="G1396">
            <v>100000</v>
          </cell>
          <cell r="H1396" t="str">
            <v>Nacional</v>
          </cell>
          <cell r="I1396">
            <v>8</v>
          </cell>
          <cell r="J1396" t="str">
            <v>STD</v>
          </cell>
          <cell r="L1396">
            <v>33932.483034337194</v>
          </cell>
          <cell r="M1396">
            <v>1475.3253493190084</v>
          </cell>
          <cell r="O1396" t="str">
            <v>CONO EXPANSOR PARA BOQUILLA ø35.00</v>
          </cell>
        </row>
        <row r="1397">
          <cell r="D1397" t="str">
            <v>HTJA040031</v>
          </cell>
          <cell r="E1397" t="str">
            <v>10019426</v>
          </cell>
          <cell r="F1397" t="str">
            <v>AC-1500i Honda 2NX / GMT</v>
          </cell>
          <cell r="G1397">
            <v>50000</v>
          </cell>
          <cell r="H1397" t="str">
            <v>Nacional</v>
          </cell>
          <cell r="I1397">
            <v>10</v>
          </cell>
          <cell r="J1397" t="str">
            <v>AC-1500i</v>
          </cell>
          <cell r="L1397">
            <v>32759.000000000004</v>
          </cell>
          <cell r="M1397">
            <v>1424.3043478260872</v>
          </cell>
          <cell r="O1397" t="str">
            <v>ADAPTADOR DE BOQUILLA Y CONO ø32.00</v>
          </cell>
        </row>
        <row r="1398">
          <cell r="D1398" t="str">
            <v>HTJA040036</v>
          </cell>
          <cell r="E1398" t="str">
            <v>10060762</v>
          </cell>
          <cell r="F1398" t="str">
            <v>UF-2600i Ford Explorer</v>
          </cell>
          <cell r="G1398">
            <v>100000</v>
          </cell>
          <cell r="H1398" t="str">
            <v>Nacional</v>
          </cell>
          <cell r="I1398">
            <v>10</v>
          </cell>
          <cell r="J1398" t="str">
            <v>UF-2600i</v>
          </cell>
          <cell r="L1398">
            <v>0</v>
          </cell>
          <cell r="M1398">
            <v>0</v>
          </cell>
          <cell r="O1398" t="str">
            <v>PLATO DE APOYO</v>
          </cell>
        </row>
        <row r="1399">
          <cell r="D1399" t="str">
            <v>HTJA040036</v>
          </cell>
          <cell r="E1399" t="str">
            <v>00806088</v>
          </cell>
          <cell r="F1399" t="str">
            <v>UF-2600i Hyundai</v>
          </cell>
          <cell r="G1399">
            <v>100000</v>
          </cell>
          <cell r="H1399" t="str">
            <v>Nacional</v>
          </cell>
          <cell r="I1399">
            <v>10</v>
          </cell>
          <cell r="J1399" t="str">
            <v>UF-2600i</v>
          </cell>
          <cell r="L1399">
            <v>0</v>
          </cell>
          <cell r="M1399">
            <v>0</v>
          </cell>
          <cell r="O1399" t="str">
            <v>PLATO DE APOYO</v>
          </cell>
        </row>
        <row r="1400">
          <cell r="D1400" t="str">
            <v>HTJA040036</v>
          </cell>
          <cell r="E1400" t="str">
            <v>8152050226</v>
          </cell>
          <cell r="F1400" t="str">
            <v>UF-2600i PQ-35 VW</v>
          </cell>
          <cell r="G1400">
            <v>100000</v>
          </cell>
          <cell r="H1400" t="str">
            <v>Nacional</v>
          </cell>
          <cell r="I1400">
            <v>10</v>
          </cell>
          <cell r="J1400" t="str">
            <v>UF-2600i</v>
          </cell>
          <cell r="L1400">
            <v>38227.399999999994</v>
          </cell>
          <cell r="M1400">
            <v>1662.0608695652172</v>
          </cell>
          <cell r="O1400" t="str">
            <v>PLATO DE APOYO</v>
          </cell>
        </row>
        <row r="1401">
          <cell r="D1401" t="str">
            <v>HTJA040038</v>
          </cell>
          <cell r="E1401" t="str">
            <v>8152050226</v>
          </cell>
          <cell r="F1401" t="str">
            <v>UF-2600i PQ-35 VW</v>
          </cell>
          <cell r="G1401">
            <v>5000</v>
          </cell>
          <cell r="H1401" t="str">
            <v>Nacional</v>
          </cell>
          <cell r="I1401">
            <v>6</v>
          </cell>
          <cell r="J1401" t="str">
            <v>UF-2600i</v>
          </cell>
          <cell r="L1401">
            <v>38227.399999999994</v>
          </cell>
          <cell r="M1401">
            <v>1662.0608695652172</v>
          </cell>
          <cell r="O1401" t="str">
            <v>BOQUILLA TRES DEDOS</v>
          </cell>
        </row>
        <row r="1402">
          <cell r="D1402" t="str">
            <v>HTJA040038</v>
          </cell>
          <cell r="E1402" t="str">
            <v>10060762</v>
          </cell>
          <cell r="F1402" t="str">
            <v>UF-2600i Ford Explorer</v>
          </cell>
          <cell r="G1402">
            <v>5000</v>
          </cell>
          <cell r="H1402" t="str">
            <v>Nacional</v>
          </cell>
          <cell r="I1402">
            <v>6</v>
          </cell>
          <cell r="J1402" t="str">
            <v>UF-2600i</v>
          </cell>
          <cell r="L1402">
            <v>0</v>
          </cell>
          <cell r="M1402">
            <v>0</v>
          </cell>
          <cell r="O1402" t="str">
            <v>BOQUILLA TRES DEDOS</v>
          </cell>
        </row>
        <row r="1403">
          <cell r="D1403" t="str">
            <v>HTJA040038</v>
          </cell>
          <cell r="E1403" t="str">
            <v>00806088</v>
          </cell>
          <cell r="F1403" t="str">
            <v>UF-2600i Hyundai</v>
          </cell>
          <cell r="G1403">
            <v>5000</v>
          </cell>
          <cell r="H1403" t="str">
            <v>Nacional</v>
          </cell>
          <cell r="I1403">
            <v>6</v>
          </cell>
          <cell r="J1403" t="str">
            <v>UF-2600i</v>
          </cell>
          <cell r="L1403">
            <v>0</v>
          </cell>
          <cell r="M1403">
            <v>0</v>
          </cell>
          <cell r="O1403" t="str">
            <v>BOQUILLA TRES DEDOS</v>
          </cell>
        </row>
        <row r="1404">
          <cell r="D1404" t="str">
            <v>HTJA040042</v>
          </cell>
          <cell r="E1404" t="str">
            <v>7056050202</v>
          </cell>
          <cell r="F1404" t="str">
            <v>A4 RF-91 Concept One</v>
          </cell>
          <cell r="G1404">
            <v>200000</v>
          </cell>
          <cell r="H1404" t="str">
            <v>Nacional</v>
          </cell>
          <cell r="I1404">
            <v>10</v>
          </cell>
          <cell r="J1404" t="str">
            <v>STD</v>
          </cell>
          <cell r="L1404">
            <v>0</v>
          </cell>
          <cell r="M1404">
            <v>0</v>
          </cell>
          <cell r="O1404" t="str">
            <v>PLACA IZQUIERDA DE CANAL</v>
          </cell>
        </row>
        <row r="1405">
          <cell r="D1405" t="str">
            <v>HTJA040042</v>
          </cell>
          <cell r="E1405" t="str">
            <v>7174050203</v>
          </cell>
          <cell r="F1405" t="str">
            <v>A4 RF-95</v>
          </cell>
          <cell r="G1405">
            <v>200000</v>
          </cell>
          <cell r="H1405" t="str">
            <v>Nacional</v>
          </cell>
          <cell r="I1405">
            <v>10</v>
          </cell>
          <cell r="J1405" t="str">
            <v>STD</v>
          </cell>
          <cell r="L1405">
            <v>8133.6</v>
          </cell>
          <cell r="M1405">
            <v>353.63478260869567</v>
          </cell>
          <cell r="O1405" t="str">
            <v>PLACA IZQUIERDA DE CANAL</v>
          </cell>
        </row>
        <row r="1406">
          <cell r="D1406" t="str">
            <v>HTJA040042</v>
          </cell>
          <cell r="E1406" t="str">
            <v>10019426</v>
          </cell>
          <cell r="F1406" t="str">
            <v>AC-1500i Honda 2NX / GMT</v>
          </cell>
          <cell r="G1406">
            <v>200000</v>
          </cell>
          <cell r="H1406" t="str">
            <v>Nacional</v>
          </cell>
          <cell r="I1406">
            <v>10</v>
          </cell>
          <cell r="J1406" t="str">
            <v>STD</v>
          </cell>
          <cell r="L1406">
            <v>32759.000000000004</v>
          </cell>
          <cell r="M1406">
            <v>1424.3043478260872</v>
          </cell>
          <cell r="O1406" t="str">
            <v>PLACA IZQUIERDA DE CANAL</v>
          </cell>
        </row>
        <row r="1407">
          <cell r="D1407" t="str">
            <v>HTJA040042</v>
          </cell>
          <cell r="E1407" t="str">
            <v>7479050219</v>
          </cell>
          <cell r="F1407" t="str">
            <v>AC-1700i FORD</v>
          </cell>
          <cell r="G1407">
            <v>200000</v>
          </cell>
          <cell r="H1407" t="str">
            <v>Nacional</v>
          </cell>
          <cell r="I1407">
            <v>10</v>
          </cell>
          <cell r="J1407" t="str">
            <v>STD</v>
          </cell>
          <cell r="L1407">
            <v>38420.799999999996</v>
          </cell>
          <cell r="M1407">
            <v>1670.4695652173912</v>
          </cell>
          <cell r="O1407" t="str">
            <v>PLACA IZQUIERDA DE CANAL</v>
          </cell>
        </row>
        <row r="1408">
          <cell r="D1408" t="str">
            <v>HTJA040042</v>
          </cell>
          <cell r="E1408" t="str">
            <v>8647050233</v>
          </cell>
          <cell r="F1408" t="str">
            <v>AC-2000i Honda Acura</v>
          </cell>
          <cell r="G1408">
            <v>200000</v>
          </cell>
          <cell r="H1408" t="str">
            <v>Nacional</v>
          </cell>
          <cell r="I1408">
            <v>10</v>
          </cell>
          <cell r="J1408" t="str">
            <v>STD</v>
          </cell>
          <cell r="L1408">
            <v>74729.200000000012</v>
          </cell>
          <cell r="M1408">
            <v>3249.0956521739135</v>
          </cell>
          <cell r="O1408" t="str">
            <v>PLACA IZQUIERDA DE CANAL</v>
          </cell>
        </row>
        <row r="1409">
          <cell r="D1409" t="str">
            <v>HTJA040042</v>
          </cell>
          <cell r="E1409" t="str">
            <v>10221803</v>
          </cell>
          <cell r="F1409" t="str">
            <v>AC-2300i Gamma Suv</v>
          </cell>
          <cell r="G1409">
            <v>200000</v>
          </cell>
          <cell r="H1409" t="str">
            <v>Nacional</v>
          </cell>
          <cell r="I1409">
            <v>10</v>
          </cell>
          <cell r="J1409" t="str">
            <v>STD</v>
          </cell>
          <cell r="L1409">
            <v>0</v>
          </cell>
          <cell r="M1409">
            <v>0</v>
          </cell>
          <cell r="O1409" t="str">
            <v>PLACA IZQUIERDA DE CANAL</v>
          </cell>
        </row>
        <row r="1410">
          <cell r="D1410" t="str">
            <v>HTJA040042</v>
          </cell>
          <cell r="E1410" t="str">
            <v>7324050215</v>
          </cell>
          <cell r="F1410" t="str">
            <v>AC-2300i PT-44</v>
          </cell>
          <cell r="G1410">
            <v>200000</v>
          </cell>
          <cell r="H1410" t="str">
            <v>Nacional</v>
          </cell>
          <cell r="I1410">
            <v>10</v>
          </cell>
          <cell r="J1410" t="str">
            <v>STD</v>
          </cell>
          <cell r="L1410">
            <v>58512.600000000006</v>
          </cell>
          <cell r="M1410">
            <v>2544.0260869565218</v>
          </cell>
          <cell r="O1410" t="str">
            <v>PLACA IZQUIERDA DE CANAL</v>
          </cell>
        </row>
        <row r="1411">
          <cell r="D1411" t="str">
            <v>HTJA040042</v>
          </cell>
          <cell r="E1411" t="str">
            <v>10001024R</v>
          </cell>
          <cell r="F1411" t="str">
            <v>AC-2600i Ford Escape</v>
          </cell>
          <cell r="G1411">
            <v>200000</v>
          </cell>
          <cell r="H1411" t="str">
            <v>Nacional</v>
          </cell>
          <cell r="I1411">
            <v>10</v>
          </cell>
          <cell r="J1411" t="str">
            <v>STD</v>
          </cell>
          <cell r="L1411">
            <v>59203</v>
          </cell>
          <cell r="M1411">
            <v>2574.0434782608695</v>
          </cell>
          <cell r="O1411" t="str">
            <v>PLACA IZQUIERDA DE CANAL</v>
          </cell>
        </row>
        <row r="1412">
          <cell r="D1412" t="str">
            <v>HTJA040042</v>
          </cell>
          <cell r="E1412" t="str">
            <v>7553050217</v>
          </cell>
          <cell r="F1412" t="str">
            <v>AC-2600i PT-Turbo</v>
          </cell>
          <cell r="G1412">
            <v>200000</v>
          </cell>
          <cell r="H1412" t="str">
            <v>Nacional</v>
          </cell>
          <cell r="I1412">
            <v>10</v>
          </cell>
          <cell r="J1412" t="str">
            <v>STD</v>
          </cell>
          <cell r="L1412">
            <v>37981.199999999997</v>
          </cell>
          <cell r="M1412">
            <v>1651.3565217391304</v>
          </cell>
          <cell r="O1412" t="str">
            <v>PLACA IZQUIERDA DE CANAL</v>
          </cell>
        </row>
        <row r="1413">
          <cell r="D1413" t="str">
            <v>HTJA040042</v>
          </cell>
          <cell r="E1413" t="str">
            <v>10054551</v>
          </cell>
          <cell r="F1413" t="str">
            <v>AC-2650 JC49 / GS PLT / DNA</v>
          </cell>
          <cell r="G1413">
            <v>200000</v>
          </cell>
          <cell r="H1413" t="str">
            <v>Nacional</v>
          </cell>
          <cell r="I1413">
            <v>10</v>
          </cell>
          <cell r="J1413" t="str">
            <v>STD</v>
          </cell>
          <cell r="L1413">
            <v>11932</v>
          </cell>
          <cell r="M1413">
            <v>518.78260869565213</v>
          </cell>
          <cell r="O1413" t="str">
            <v>PLACA IZQUIERDA DE CANAL</v>
          </cell>
        </row>
        <row r="1414">
          <cell r="D1414" t="str">
            <v>HTJA040042</v>
          </cell>
          <cell r="E1414" t="str">
            <v>00806342</v>
          </cell>
          <cell r="F1414" t="str">
            <v>AC-2900i VW</v>
          </cell>
          <cell r="G1414">
            <v>200000</v>
          </cell>
          <cell r="H1414" t="str">
            <v>Nacional</v>
          </cell>
          <cell r="I1414">
            <v>10</v>
          </cell>
          <cell r="J1414" t="str">
            <v>STD</v>
          </cell>
          <cell r="L1414">
            <v>23450.400000000001</v>
          </cell>
          <cell r="M1414">
            <v>1019.5826086956522</v>
          </cell>
          <cell r="O1414" t="str">
            <v>PLACA IZQUIERDA DE CANAL</v>
          </cell>
        </row>
        <row r="1415">
          <cell r="D1415" t="str">
            <v>HTJA040042</v>
          </cell>
          <cell r="E1415" t="str">
            <v>10019477T</v>
          </cell>
          <cell r="F1415" t="str">
            <v>AC-3300i FORD</v>
          </cell>
          <cell r="G1415">
            <v>200000</v>
          </cell>
          <cell r="H1415" t="str">
            <v>Nacional</v>
          </cell>
          <cell r="I1415">
            <v>10</v>
          </cell>
          <cell r="J1415" t="str">
            <v>STD</v>
          </cell>
          <cell r="L1415">
            <v>0</v>
          </cell>
          <cell r="M1415">
            <v>0</v>
          </cell>
          <cell r="O1415" t="str">
            <v>PLACA IZQUIERDA DE CANAL</v>
          </cell>
        </row>
        <row r="1416">
          <cell r="D1416" t="str">
            <v>HTJA040042</v>
          </cell>
          <cell r="E1416" t="str">
            <v>4302091005</v>
          </cell>
          <cell r="F1416" t="str">
            <v>C-2000 PL-BODY</v>
          </cell>
          <cell r="G1416">
            <v>200000</v>
          </cell>
          <cell r="H1416" t="str">
            <v>Nacional</v>
          </cell>
          <cell r="I1416">
            <v>10</v>
          </cell>
          <cell r="J1416" t="str">
            <v>STD</v>
          </cell>
          <cell r="L1416">
            <v>0</v>
          </cell>
          <cell r="M1416">
            <v>0</v>
          </cell>
          <cell r="O1416" t="str">
            <v>PLACA IZQUIERDA DE CANAL</v>
          </cell>
        </row>
        <row r="1417">
          <cell r="D1417" t="str">
            <v>HTJA040042</v>
          </cell>
          <cell r="E1417" t="str">
            <v>10060762</v>
          </cell>
          <cell r="F1417" t="str">
            <v>UF-2600i Ford Explorer</v>
          </cell>
          <cell r="G1417">
            <v>200000</v>
          </cell>
          <cell r="H1417" t="str">
            <v>Nacional</v>
          </cell>
          <cell r="I1417">
            <v>10</v>
          </cell>
          <cell r="J1417" t="str">
            <v>STD</v>
          </cell>
          <cell r="L1417">
            <v>0</v>
          </cell>
          <cell r="M1417">
            <v>0</v>
          </cell>
          <cell r="O1417" t="str">
            <v>PLACA IZQUIERDA DE CANAL</v>
          </cell>
        </row>
        <row r="1418">
          <cell r="D1418" t="str">
            <v>HTJA040042</v>
          </cell>
          <cell r="E1418" t="str">
            <v>00806088</v>
          </cell>
          <cell r="F1418" t="str">
            <v>UF-2600i Hyundai</v>
          </cell>
          <cell r="G1418">
            <v>200000</v>
          </cell>
          <cell r="H1418" t="str">
            <v>Nacional</v>
          </cell>
          <cell r="I1418">
            <v>10</v>
          </cell>
          <cell r="J1418" t="str">
            <v>STD</v>
          </cell>
          <cell r="L1418">
            <v>0</v>
          </cell>
          <cell r="M1418">
            <v>0</v>
          </cell>
          <cell r="O1418" t="str">
            <v>PLACA IZQUIERDA DE CANAL</v>
          </cell>
        </row>
        <row r="1419">
          <cell r="D1419" t="str">
            <v>HTJA040042</v>
          </cell>
          <cell r="E1419" t="str">
            <v>8152050226</v>
          </cell>
          <cell r="F1419" t="str">
            <v>UF-2600i PQ-35 VW</v>
          </cell>
          <cell r="G1419">
            <v>200000</v>
          </cell>
          <cell r="H1419" t="str">
            <v>Nacional</v>
          </cell>
          <cell r="I1419">
            <v>10</v>
          </cell>
          <cell r="J1419" t="str">
            <v>STD</v>
          </cell>
          <cell r="L1419">
            <v>38227.399999999994</v>
          </cell>
          <cell r="M1419">
            <v>1662.0608695652172</v>
          </cell>
          <cell r="O1419" t="str">
            <v>PLACA IZQUIERDA DE CANAL</v>
          </cell>
        </row>
        <row r="1420">
          <cell r="D1420" t="str">
            <v>HTJA040042</v>
          </cell>
          <cell r="E1420" t="str">
            <v>10018041</v>
          </cell>
          <cell r="F1420" t="str">
            <v>UF-3300i W</v>
          </cell>
          <cell r="G1420">
            <v>200000</v>
          </cell>
          <cell r="H1420" t="str">
            <v>Nacional</v>
          </cell>
          <cell r="I1420">
            <v>10</v>
          </cell>
          <cell r="J1420" t="str">
            <v>STD</v>
          </cell>
          <cell r="L1420">
            <v>13520.454678603319</v>
          </cell>
          <cell r="M1420">
            <v>587.84585559144864</v>
          </cell>
          <cell r="O1420" t="str">
            <v>PLACA IZQUIERDA DE CANAL</v>
          </cell>
        </row>
        <row r="1421">
          <cell r="D1421" t="str">
            <v>HTJA040042</v>
          </cell>
          <cell r="E1421" t="str">
            <v>7870050221</v>
          </cell>
          <cell r="F1421" t="str">
            <v>UF-3400 PQ-35 VW</v>
          </cell>
          <cell r="G1421">
            <v>200000</v>
          </cell>
          <cell r="H1421" t="str">
            <v>Nacional</v>
          </cell>
          <cell r="I1421">
            <v>10</v>
          </cell>
          <cell r="J1421" t="str">
            <v>STD</v>
          </cell>
          <cell r="L1421">
            <v>45592.200000000012</v>
          </cell>
          <cell r="M1421">
            <v>1982.2695652173918</v>
          </cell>
          <cell r="O1421" t="str">
            <v>PLACA IZQUIERDA DE CANAL</v>
          </cell>
        </row>
        <row r="1422">
          <cell r="D1422" t="str">
            <v>HTJA040042</v>
          </cell>
          <cell r="E1422" t="str">
            <v>10009621</v>
          </cell>
          <cell r="F1422" t="str">
            <v>UF-4600i W</v>
          </cell>
          <cell r="G1422">
            <v>200000</v>
          </cell>
          <cell r="H1422" t="str">
            <v>Nacional</v>
          </cell>
          <cell r="I1422">
            <v>10</v>
          </cell>
          <cell r="J1422" t="str">
            <v>STD</v>
          </cell>
          <cell r="L1422">
            <v>33932.483034337194</v>
          </cell>
          <cell r="M1422">
            <v>1475.3253493190084</v>
          </cell>
          <cell r="O1422" t="str">
            <v>PLACA IZQUIERDA DE CANAL</v>
          </cell>
        </row>
        <row r="1423">
          <cell r="D1423" t="str">
            <v>HTJA040043</v>
          </cell>
          <cell r="E1423" t="str">
            <v>7056050202</v>
          </cell>
          <cell r="F1423" t="str">
            <v>A4 RF-91 Concept One</v>
          </cell>
          <cell r="G1423">
            <v>100000</v>
          </cell>
          <cell r="H1423" t="str">
            <v>Nacional</v>
          </cell>
          <cell r="I1423">
            <v>10</v>
          </cell>
          <cell r="J1423" t="str">
            <v>STD</v>
          </cell>
          <cell r="L1423">
            <v>0</v>
          </cell>
          <cell r="M1423">
            <v>0</v>
          </cell>
          <cell r="O1423" t="str">
            <v>PLACA DERECHA DE CANAL</v>
          </cell>
        </row>
        <row r="1424">
          <cell r="D1424" t="str">
            <v>HTJA040043</v>
          </cell>
          <cell r="E1424" t="str">
            <v>7174050203</v>
          </cell>
          <cell r="F1424" t="str">
            <v>A4 RF-95</v>
          </cell>
          <cell r="G1424">
            <v>100000</v>
          </cell>
          <cell r="H1424" t="str">
            <v>Nacional</v>
          </cell>
          <cell r="I1424">
            <v>10</v>
          </cell>
          <cell r="J1424" t="str">
            <v>STD</v>
          </cell>
          <cell r="L1424">
            <v>8133.6</v>
          </cell>
          <cell r="M1424">
            <v>353.63478260869567</v>
          </cell>
          <cell r="O1424" t="str">
            <v>PLACA DERECHA DE CANAL</v>
          </cell>
        </row>
        <row r="1425">
          <cell r="D1425" t="str">
            <v>HTJA040043</v>
          </cell>
          <cell r="E1425" t="str">
            <v>10019426</v>
          </cell>
          <cell r="F1425" t="str">
            <v>AC-1500i Honda 2NX / GMT</v>
          </cell>
          <cell r="G1425">
            <v>100000</v>
          </cell>
          <cell r="H1425" t="str">
            <v>Nacional</v>
          </cell>
          <cell r="I1425">
            <v>10</v>
          </cell>
          <cell r="J1425" t="str">
            <v>STD</v>
          </cell>
          <cell r="L1425">
            <v>32759.000000000004</v>
          </cell>
          <cell r="M1425">
            <v>1424.3043478260872</v>
          </cell>
          <cell r="O1425" t="str">
            <v>PLACA DERECHA DE CANAL</v>
          </cell>
        </row>
        <row r="1426">
          <cell r="D1426" t="str">
            <v>HTJA040043</v>
          </cell>
          <cell r="E1426" t="str">
            <v>7479050219</v>
          </cell>
          <cell r="F1426" t="str">
            <v>AC-1700i FORD</v>
          </cell>
          <cell r="G1426">
            <v>100000</v>
          </cell>
          <cell r="H1426" t="str">
            <v>Nacional</v>
          </cell>
          <cell r="I1426">
            <v>10</v>
          </cell>
          <cell r="J1426" t="str">
            <v>STD</v>
          </cell>
          <cell r="L1426">
            <v>38420.799999999996</v>
          </cell>
          <cell r="M1426">
            <v>1670.4695652173912</v>
          </cell>
          <cell r="O1426" t="str">
            <v>PLACA DERECHA DE CANAL</v>
          </cell>
        </row>
        <row r="1427">
          <cell r="D1427" t="str">
            <v>HTJA040043</v>
          </cell>
          <cell r="E1427" t="str">
            <v>8647050233</v>
          </cell>
          <cell r="F1427" t="str">
            <v>AC-2000i Honda Acura</v>
          </cell>
          <cell r="G1427">
            <v>100000</v>
          </cell>
          <cell r="H1427" t="str">
            <v>Nacional</v>
          </cell>
          <cell r="I1427">
            <v>10</v>
          </cell>
          <cell r="J1427" t="str">
            <v>STD</v>
          </cell>
          <cell r="L1427">
            <v>74729.200000000012</v>
          </cell>
          <cell r="M1427">
            <v>3249.0956521739135</v>
          </cell>
          <cell r="O1427" t="str">
            <v>PLACA DERECHA DE CANAL</v>
          </cell>
        </row>
        <row r="1428">
          <cell r="D1428" t="str">
            <v>HTJA040043</v>
          </cell>
          <cell r="E1428" t="str">
            <v>10221803</v>
          </cell>
          <cell r="F1428" t="str">
            <v>AC-2300i Gamma Suv</v>
          </cell>
          <cell r="G1428">
            <v>100000</v>
          </cell>
          <cell r="H1428" t="str">
            <v>Nacional</v>
          </cell>
          <cell r="I1428">
            <v>10</v>
          </cell>
          <cell r="J1428" t="str">
            <v>STD</v>
          </cell>
          <cell r="L1428">
            <v>0</v>
          </cell>
          <cell r="M1428">
            <v>0</v>
          </cell>
          <cell r="O1428" t="str">
            <v>PLACA DERECHA DE CANAL</v>
          </cell>
        </row>
        <row r="1429">
          <cell r="D1429" t="str">
            <v>HTJA040043</v>
          </cell>
          <cell r="E1429" t="str">
            <v>7324050215</v>
          </cell>
          <cell r="F1429" t="str">
            <v>AC-2300i PT-44</v>
          </cell>
          <cell r="G1429">
            <v>100000</v>
          </cell>
          <cell r="H1429" t="str">
            <v>Nacional</v>
          </cell>
          <cell r="I1429">
            <v>10</v>
          </cell>
          <cell r="J1429" t="str">
            <v>STD</v>
          </cell>
          <cell r="L1429">
            <v>58512.600000000006</v>
          </cell>
          <cell r="M1429">
            <v>2544.0260869565218</v>
          </cell>
          <cell r="O1429" t="str">
            <v>PLACA DERECHA DE CANAL</v>
          </cell>
        </row>
        <row r="1430">
          <cell r="D1430" t="str">
            <v>HTJA040043</v>
          </cell>
          <cell r="E1430" t="str">
            <v>10001024R</v>
          </cell>
          <cell r="F1430" t="str">
            <v>AC-2600i Ford Escape</v>
          </cell>
          <cell r="G1430">
            <v>100000</v>
          </cell>
          <cell r="H1430" t="str">
            <v>Nacional</v>
          </cell>
          <cell r="I1430">
            <v>10</v>
          </cell>
          <cell r="J1430" t="str">
            <v>STD</v>
          </cell>
          <cell r="L1430">
            <v>59203</v>
          </cell>
          <cell r="M1430">
            <v>2574.0434782608695</v>
          </cell>
          <cell r="O1430" t="str">
            <v>PLACA DERECHA DE CANAL</v>
          </cell>
        </row>
        <row r="1431">
          <cell r="D1431" t="str">
            <v>HTJA040043</v>
          </cell>
          <cell r="E1431" t="str">
            <v>7553050217</v>
          </cell>
          <cell r="F1431" t="str">
            <v>AC-2600i PT-Turbo</v>
          </cell>
          <cell r="G1431">
            <v>100000</v>
          </cell>
          <cell r="H1431" t="str">
            <v>Nacional</v>
          </cell>
          <cell r="I1431">
            <v>10</v>
          </cell>
          <cell r="J1431" t="str">
            <v>STD</v>
          </cell>
          <cell r="L1431">
            <v>37981.199999999997</v>
          </cell>
          <cell r="M1431">
            <v>1651.3565217391304</v>
          </cell>
          <cell r="O1431" t="str">
            <v>PLACA DERECHA DE CANAL</v>
          </cell>
        </row>
        <row r="1432">
          <cell r="D1432" t="str">
            <v>HTJA040043</v>
          </cell>
          <cell r="E1432" t="str">
            <v>10054551</v>
          </cell>
          <cell r="F1432" t="str">
            <v>AC-2650 JC49 / GS PLT / DNA</v>
          </cell>
          <cell r="G1432">
            <v>100000</v>
          </cell>
          <cell r="H1432" t="str">
            <v>Nacional</v>
          </cell>
          <cell r="I1432">
            <v>10</v>
          </cell>
          <cell r="J1432" t="str">
            <v>STD</v>
          </cell>
          <cell r="L1432">
            <v>11932</v>
          </cell>
          <cell r="M1432">
            <v>518.78260869565213</v>
          </cell>
          <cell r="O1432" t="str">
            <v>PLACA DERECHA DE CANAL</v>
          </cell>
        </row>
        <row r="1433">
          <cell r="D1433" t="str">
            <v>HTJA040043</v>
          </cell>
          <cell r="E1433" t="str">
            <v>00806342</v>
          </cell>
          <cell r="F1433" t="str">
            <v>AC-2900i VW</v>
          </cell>
          <cell r="G1433">
            <v>100000</v>
          </cell>
          <cell r="H1433" t="str">
            <v>Nacional</v>
          </cell>
          <cell r="I1433">
            <v>10</v>
          </cell>
          <cell r="J1433" t="str">
            <v>STD</v>
          </cell>
          <cell r="L1433">
            <v>23450.400000000001</v>
          </cell>
          <cell r="M1433">
            <v>1019.5826086956522</v>
          </cell>
          <cell r="O1433" t="str">
            <v>PLACA DERECHA DE CANAL</v>
          </cell>
        </row>
        <row r="1434">
          <cell r="D1434" t="str">
            <v>HTJA040043</v>
          </cell>
          <cell r="E1434" t="str">
            <v>10019477T</v>
          </cell>
          <cell r="F1434" t="str">
            <v>AC-3300i FORD</v>
          </cell>
          <cell r="G1434">
            <v>100000</v>
          </cell>
          <cell r="H1434" t="str">
            <v>Nacional</v>
          </cell>
          <cell r="I1434">
            <v>10</v>
          </cell>
          <cell r="J1434" t="str">
            <v>STD</v>
          </cell>
          <cell r="L1434">
            <v>0</v>
          </cell>
          <cell r="M1434">
            <v>0</v>
          </cell>
          <cell r="O1434" t="str">
            <v>PLACA DERECHA DE CANAL</v>
          </cell>
        </row>
        <row r="1435">
          <cell r="D1435" t="str">
            <v>HTJA040043</v>
          </cell>
          <cell r="E1435" t="str">
            <v>4302091005</v>
          </cell>
          <cell r="F1435" t="str">
            <v>C-2000 PL-BODY</v>
          </cell>
          <cell r="G1435">
            <v>100000</v>
          </cell>
          <cell r="H1435" t="str">
            <v>Nacional</v>
          </cell>
          <cell r="I1435">
            <v>10</v>
          </cell>
          <cell r="J1435" t="str">
            <v>STD</v>
          </cell>
          <cell r="L1435">
            <v>0</v>
          </cell>
          <cell r="M1435">
            <v>0</v>
          </cell>
          <cell r="O1435" t="str">
            <v>PLACA DERECHA DE CANAL</v>
          </cell>
        </row>
        <row r="1436">
          <cell r="D1436" t="str">
            <v>HTJA040043</v>
          </cell>
          <cell r="E1436" t="str">
            <v>10060762</v>
          </cell>
          <cell r="F1436" t="str">
            <v>UF-2600i Ford Explorer</v>
          </cell>
          <cell r="G1436">
            <v>100000</v>
          </cell>
          <cell r="H1436" t="str">
            <v>Nacional</v>
          </cell>
          <cell r="I1436">
            <v>10</v>
          </cell>
          <cell r="J1436" t="str">
            <v>STD</v>
          </cell>
          <cell r="L1436">
            <v>0</v>
          </cell>
          <cell r="M1436">
            <v>0</v>
          </cell>
          <cell r="O1436" t="str">
            <v>PLACA DERECHA DE CANAL</v>
          </cell>
        </row>
        <row r="1437">
          <cell r="D1437" t="str">
            <v>HTJA040043</v>
          </cell>
          <cell r="E1437" t="str">
            <v>00806088</v>
          </cell>
          <cell r="F1437" t="str">
            <v>UF-2600i Hyundai</v>
          </cell>
          <cell r="G1437">
            <v>100000</v>
          </cell>
          <cell r="H1437" t="str">
            <v>Nacional</v>
          </cell>
          <cell r="I1437">
            <v>10</v>
          </cell>
          <cell r="J1437" t="str">
            <v>STD</v>
          </cell>
          <cell r="L1437">
            <v>0</v>
          </cell>
          <cell r="M1437">
            <v>0</v>
          </cell>
          <cell r="O1437" t="str">
            <v>PLACA DERECHA DE CANAL</v>
          </cell>
        </row>
        <row r="1438">
          <cell r="D1438" t="str">
            <v>HTJA040043</v>
          </cell>
          <cell r="E1438" t="str">
            <v>8152050226</v>
          </cell>
          <cell r="F1438" t="str">
            <v>UF-2600i PQ-35 VW</v>
          </cell>
          <cell r="G1438">
            <v>100000</v>
          </cell>
          <cell r="H1438" t="str">
            <v>Nacional</v>
          </cell>
          <cell r="I1438">
            <v>10</v>
          </cell>
          <cell r="J1438" t="str">
            <v>STD</v>
          </cell>
          <cell r="L1438">
            <v>38227.399999999994</v>
          </cell>
          <cell r="M1438">
            <v>1662.0608695652172</v>
          </cell>
          <cell r="O1438" t="str">
            <v>PLACA DERECHA DE CANAL</v>
          </cell>
        </row>
        <row r="1439">
          <cell r="D1439" t="str">
            <v>HTJA040043</v>
          </cell>
          <cell r="E1439" t="str">
            <v>10018041</v>
          </cell>
          <cell r="F1439" t="str">
            <v>UF-3300i W</v>
          </cell>
          <cell r="G1439">
            <v>100000</v>
          </cell>
          <cell r="H1439" t="str">
            <v>Nacional</v>
          </cell>
          <cell r="I1439">
            <v>10</v>
          </cell>
          <cell r="J1439" t="str">
            <v>STD</v>
          </cell>
          <cell r="L1439">
            <v>13520.454678603319</v>
          </cell>
          <cell r="M1439">
            <v>587.84585559144864</v>
          </cell>
          <cell r="O1439" t="str">
            <v>PLACA DERECHA DE CANAL</v>
          </cell>
        </row>
        <row r="1440">
          <cell r="D1440" t="str">
            <v>HTJA040043</v>
          </cell>
          <cell r="E1440" t="str">
            <v>7870050221</v>
          </cell>
          <cell r="F1440" t="str">
            <v>UF-3400 PQ-35 VW</v>
          </cell>
          <cell r="G1440">
            <v>100000</v>
          </cell>
          <cell r="H1440" t="str">
            <v>Nacional</v>
          </cell>
          <cell r="I1440">
            <v>10</v>
          </cell>
          <cell r="J1440" t="str">
            <v>STD</v>
          </cell>
          <cell r="L1440">
            <v>45592.200000000012</v>
          </cell>
          <cell r="M1440">
            <v>1982.2695652173918</v>
          </cell>
          <cell r="O1440" t="str">
            <v>PLACA DERECHA DE CANAL</v>
          </cell>
        </row>
        <row r="1441">
          <cell r="D1441" t="str">
            <v>HTJA040043</v>
          </cell>
          <cell r="E1441" t="str">
            <v>10009621</v>
          </cell>
          <cell r="F1441" t="str">
            <v>UF-4600i W</v>
          </cell>
          <cell r="G1441">
            <v>100000</v>
          </cell>
          <cell r="H1441" t="str">
            <v>Nacional</v>
          </cell>
          <cell r="I1441">
            <v>10</v>
          </cell>
          <cell r="J1441" t="str">
            <v>STD</v>
          </cell>
          <cell r="L1441">
            <v>33932.483034337194</v>
          </cell>
          <cell r="M1441">
            <v>1475.3253493190084</v>
          </cell>
          <cell r="O1441" t="str">
            <v>PLACA DERECHA DE CANAL</v>
          </cell>
        </row>
        <row r="1442">
          <cell r="D1442" t="str">
            <v>HTJA040044</v>
          </cell>
          <cell r="E1442" t="str">
            <v>7056050202</v>
          </cell>
          <cell r="F1442" t="str">
            <v>A4 RF-91 Concept One</v>
          </cell>
          <cell r="G1442">
            <v>500000</v>
          </cell>
          <cell r="H1442" t="str">
            <v>Nacional</v>
          </cell>
          <cell r="I1442">
            <v>10</v>
          </cell>
          <cell r="J1442" t="str">
            <v>STD</v>
          </cell>
          <cell r="L1442">
            <v>0</v>
          </cell>
          <cell r="M1442">
            <v>0</v>
          </cell>
          <cell r="O1442" t="str">
            <v>PORTA MATRIZ</v>
          </cell>
        </row>
        <row r="1443">
          <cell r="D1443" t="str">
            <v>HTJA040044</v>
          </cell>
          <cell r="E1443" t="str">
            <v>7174050203</v>
          </cell>
          <cell r="F1443" t="str">
            <v>A4 RF-95</v>
          </cell>
          <cell r="G1443">
            <v>500000</v>
          </cell>
          <cell r="H1443" t="str">
            <v>Nacional</v>
          </cell>
          <cell r="I1443">
            <v>10</v>
          </cell>
          <cell r="J1443" t="str">
            <v>STD</v>
          </cell>
          <cell r="L1443">
            <v>8133.6</v>
          </cell>
          <cell r="M1443">
            <v>353.63478260869567</v>
          </cell>
          <cell r="O1443" t="str">
            <v>PORTA MATRIZ</v>
          </cell>
        </row>
        <row r="1444">
          <cell r="D1444" t="str">
            <v>HTJA040044</v>
          </cell>
          <cell r="E1444" t="str">
            <v>10019426</v>
          </cell>
          <cell r="F1444" t="str">
            <v>AC-1500i Honda 2NX / GMT</v>
          </cell>
          <cell r="G1444">
            <v>500000</v>
          </cell>
          <cell r="H1444" t="str">
            <v>Nacional</v>
          </cell>
          <cell r="I1444">
            <v>10</v>
          </cell>
          <cell r="J1444" t="str">
            <v>STD</v>
          </cell>
          <cell r="L1444">
            <v>32759.000000000004</v>
          </cell>
          <cell r="M1444">
            <v>1424.3043478260872</v>
          </cell>
          <cell r="O1444" t="str">
            <v>PORTA MATRIZ</v>
          </cell>
        </row>
        <row r="1445">
          <cell r="D1445" t="str">
            <v>HTJA040044</v>
          </cell>
          <cell r="E1445" t="str">
            <v>7479050219</v>
          </cell>
          <cell r="F1445" t="str">
            <v>AC-1700i FORD</v>
          </cell>
          <cell r="G1445">
            <v>500000</v>
          </cell>
          <cell r="H1445" t="str">
            <v>Nacional</v>
          </cell>
          <cell r="I1445">
            <v>10</v>
          </cell>
          <cell r="J1445" t="str">
            <v>STD</v>
          </cell>
          <cell r="L1445">
            <v>38420.799999999996</v>
          </cell>
          <cell r="M1445">
            <v>1670.4695652173912</v>
          </cell>
          <cell r="O1445" t="str">
            <v>PORTA MATRIZ</v>
          </cell>
        </row>
        <row r="1446">
          <cell r="D1446" t="str">
            <v>HTJA040044</v>
          </cell>
          <cell r="E1446" t="str">
            <v>8647050233</v>
          </cell>
          <cell r="F1446" t="str">
            <v>AC-2000i Honda Acura</v>
          </cell>
          <cell r="G1446">
            <v>500000</v>
          </cell>
          <cell r="H1446" t="str">
            <v>Nacional</v>
          </cell>
          <cell r="I1446">
            <v>10</v>
          </cell>
          <cell r="J1446" t="str">
            <v>STD</v>
          </cell>
          <cell r="L1446">
            <v>74729.200000000012</v>
          </cell>
          <cell r="M1446">
            <v>3249.0956521739135</v>
          </cell>
          <cell r="O1446" t="str">
            <v>PORTA MATRIZ</v>
          </cell>
        </row>
        <row r="1447">
          <cell r="D1447" t="str">
            <v>HTJA040044</v>
          </cell>
          <cell r="E1447" t="str">
            <v>10221803</v>
          </cell>
          <cell r="F1447" t="str">
            <v>AC-2300i Gamma Suv</v>
          </cell>
          <cell r="G1447">
            <v>500000</v>
          </cell>
          <cell r="H1447" t="str">
            <v>Nacional</v>
          </cell>
          <cell r="I1447">
            <v>10</v>
          </cell>
          <cell r="J1447" t="str">
            <v>STD</v>
          </cell>
          <cell r="L1447">
            <v>0</v>
          </cell>
          <cell r="M1447">
            <v>0</v>
          </cell>
          <cell r="O1447" t="str">
            <v>PORTA MATRIZ</v>
          </cell>
        </row>
        <row r="1448">
          <cell r="D1448" t="str">
            <v>HTJA040044</v>
          </cell>
          <cell r="E1448" t="str">
            <v>7324050215</v>
          </cell>
          <cell r="F1448" t="str">
            <v>AC-2300i PT-44</v>
          </cell>
          <cell r="G1448">
            <v>500000</v>
          </cell>
          <cell r="H1448" t="str">
            <v>Nacional</v>
          </cell>
          <cell r="I1448">
            <v>10</v>
          </cell>
          <cell r="J1448" t="str">
            <v>STD</v>
          </cell>
          <cell r="L1448">
            <v>58512.600000000006</v>
          </cell>
          <cell r="M1448">
            <v>2544.0260869565218</v>
          </cell>
          <cell r="O1448" t="str">
            <v>PORTA MATRIZ</v>
          </cell>
        </row>
        <row r="1449">
          <cell r="D1449" t="str">
            <v>HTJA040044</v>
          </cell>
          <cell r="E1449" t="str">
            <v>10001024R</v>
          </cell>
          <cell r="F1449" t="str">
            <v>AC-2600i Ford Escape</v>
          </cell>
          <cell r="G1449">
            <v>500000</v>
          </cell>
          <cell r="H1449" t="str">
            <v>Nacional</v>
          </cell>
          <cell r="I1449">
            <v>10</v>
          </cell>
          <cell r="J1449" t="str">
            <v>STD</v>
          </cell>
          <cell r="L1449">
            <v>59203</v>
          </cell>
          <cell r="M1449">
            <v>2574.0434782608695</v>
          </cell>
          <cell r="O1449" t="str">
            <v>PORTA MATRIZ</v>
          </cell>
        </row>
        <row r="1450">
          <cell r="D1450" t="str">
            <v>HTJA040044</v>
          </cell>
          <cell r="E1450" t="str">
            <v>7553050217</v>
          </cell>
          <cell r="F1450" t="str">
            <v>AC-2600i PT-Turbo</v>
          </cell>
          <cell r="G1450">
            <v>500000</v>
          </cell>
          <cell r="H1450" t="str">
            <v>Nacional</v>
          </cell>
          <cell r="I1450">
            <v>10</v>
          </cell>
          <cell r="J1450" t="str">
            <v>STD</v>
          </cell>
          <cell r="L1450">
            <v>37981.199999999997</v>
          </cell>
          <cell r="M1450">
            <v>1651.3565217391304</v>
          </cell>
          <cell r="O1450" t="str">
            <v>PORTA MATRIZ</v>
          </cell>
        </row>
        <row r="1451">
          <cell r="D1451" t="str">
            <v>HTJA040044</v>
          </cell>
          <cell r="E1451" t="str">
            <v>10054551</v>
          </cell>
          <cell r="F1451" t="str">
            <v>AC-2650 JC49 / GS PLT / DNA</v>
          </cell>
          <cell r="G1451">
            <v>500000</v>
          </cell>
          <cell r="H1451" t="str">
            <v>Nacional</v>
          </cell>
          <cell r="I1451">
            <v>10</v>
          </cell>
          <cell r="J1451" t="str">
            <v>STD</v>
          </cell>
          <cell r="L1451">
            <v>11932</v>
          </cell>
          <cell r="M1451">
            <v>518.78260869565213</v>
          </cell>
          <cell r="O1451" t="str">
            <v>PORTA MATRIZ</v>
          </cell>
        </row>
        <row r="1452">
          <cell r="D1452" t="str">
            <v>HTJA040044</v>
          </cell>
          <cell r="E1452" t="str">
            <v>00806342</v>
          </cell>
          <cell r="F1452" t="str">
            <v>AC-2900i VW</v>
          </cell>
          <cell r="G1452">
            <v>500000</v>
          </cell>
          <cell r="H1452" t="str">
            <v>Nacional</v>
          </cell>
          <cell r="I1452">
            <v>10</v>
          </cell>
          <cell r="J1452" t="str">
            <v>STD</v>
          </cell>
          <cell r="L1452">
            <v>23450.400000000001</v>
          </cell>
          <cell r="M1452">
            <v>1019.5826086956522</v>
          </cell>
          <cell r="O1452" t="str">
            <v>PORTA MATRIZ</v>
          </cell>
        </row>
        <row r="1453">
          <cell r="D1453" t="str">
            <v>HTJA040044</v>
          </cell>
          <cell r="E1453" t="str">
            <v>10019477T</v>
          </cell>
          <cell r="F1453" t="str">
            <v>AC-3300i FORD</v>
          </cell>
          <cell r="G1453">
            <v>500000</v>
          </cell>
          <cell r="H1453" t="str">
            <v>Nacional</v>
          </cell>
          <cell r="I1453">
            <v>10</v>
          </cell>
          <cell r="J1453" t="str">
            <v>STD</v>
          </cell>
          <cell r="L1453">
            <v>0</v>
          </cell>
          <cell r="M1453">
            <v>0</v>
          </cell>
          <cell r="O1453" t="str">
            <v>PORTA MATRIZ</v>
          </cell>
        </row>
        <row r="1454">
          <cell r="D1454" t="str">
            <v>HTJA040044</v>
          </cell>
          <cell r="E1454" t="str">
            <v>4302091005</v>
          </cell>
          <cell r="F1454" t="str">
            <v>C-2000 PL-BODY</v>
          </cell>
          <cell r="G1454">
            <v>500000</v>
          </cell>
          <cell r="H1454" t="str">
            <v>Nacional</v>
          </cell>
          <cell r="I1454">
            <v>10</v>
          </cell>
          <cell r="J1454" t="str">
            <v>STD</v>
          </cell>
          <cell r="L1454">
            <v>0</v>
          </cell>
          <cell r="M1454">
            <v>0</v>
          </cell>
          <cell r="O1454" t="str">
            <v>PORTA MATRIZ</v>
          </cell>
        </row>
        <row r="1455">
          <cell r="D1455" t="str">
            <v>HTJA040044</v>
          </cell>
          <cell r="E1455" t="str">
            <v>10060762</v>
          </cell>
          <cell r="F1455" t="str">
            <v>UF-2600i Ford Explorer</v>
          </cell>
          <cell r="G1455">
            <v>500000</v>
          </cell>
          <cell r="H1455" t="str">
            <v>Nacional</v>
          </cell>
          <cell r="I1455">
            <v>10</v>
          </cell>
          <cell r="J1455" t="str">
            <v>STD</v>
          </cell>
          <cell r="L1455">
            <v>0</v>
          </cell>
          <cell r="M1455">
            <v>0</v>
          </cell>
          <cell r="O1455" t="str">
            <v>PORTA MATRIZ</v>
          </cell>
        </row>
        <row r="1456">
          <cell r="D1456" t="str">
            <v>HTJA040044</v>
          </cell>
          <cell r="E1456" t="str">
            <v>00806088</v>
          </cell>
          <cell r="F1456" t="str">
            <v>UF-2600i Hyundai</v>
          </cell>
          <cell r="G1456">
            <v>500000</v>
          </cell>
          <cell r="H1456" t="str">
            <v>Nacional</v>
          </cell>
          <cell r="I1456">
            <v>10</v>
          </cell>
          <cell r="J1456" t="str">
            <v>STD</v>
          </cell>
          <cell r="L1456">
            <v>0</v>
          </cell>
          <cell r="M1456">
            <v>0</v>
          </cell>
          <cell r="O1456" t="str">
            <v>PORTA MATRIZ</v>
          </cell>
        </row>
        <row r="1457">
          <cell r="D1457" t="str">
            <v>HTJA040044</v>
          </cell>
          <cell r="E1457" t="str">
            <v>8152050226</v>
          </cell>
          <cell r="F1457" t="str">
            <v>UF-2600i PQ-35 VW</v>
          </cell>
          <cell r="G1457">
            <v>500000</v>
          </cell>
          <cell r="H1457" t="str">
            <v>Nacional</v>
          </cell>
          <cell r="I1457">
            <v>10</v>
          </cell>
          <cell r="J1457" t="str">
            <v>STD</v>
          </cell>
          <cell r="L1457">
            <v>38227.399999999994</v>
          </cell>
          <cell r="M1457">
            <v>1662.0608695652172</v>
          </cell>
          <cell r="O1457" t="str">
            <v>PORTA MATRIZ</v>
          </cell>
        </row>
        <row r="1458">
          <cell r="D1458" t="str">
            <v>HTJA040044</v>
          </cell>
          <cell r="E1458" t="str">
            <v>10018041</v>
          </cell>
          <cell r="F1458" t="str">
            <v>UF-3300i W</v>
          </cell>
          <cell r="G1458">
            <v>500000</v>
          </cell>
          <cell r="H1458" t="str">
            <v>Nacional</v>
          </cell>
          <cell r="I1458">
            <v>10</v>
          </cell>
          <cell r="J1458" t="str">
            <v>STD</v>
          </cell>
          <cell r="L1458">
            <v>13520.454678603319</v>
          </cell>
          <cell r="M1458">
            <v>587.84585559144864</v>
          </cell>
          <cell r="O1458" t="str">
            <v>PORTA MATRIZ</v>
          </cell>
        </row>
        <row r="1459">
          <cell r="D1459" t="str">
            <v>HTJA040044</v>
          </cell>
          <cell r="E1459" t="str">
            <v>7870050221</v>
          </cell>
          <cell r="F1459" t="str">
            <v>UF-3400 PQ-35 VW</v>
          </cell>
          <cell r="G1459">
            <v>500000</v>
          </cell>
          <cell r="H1459" t="str">
            <v>Nacional</v>
          </cell>
          <cell r="I1459">
            <v>10</v>
          </cell>
          <cell r="J1459" t="str">
            <v>STD</v>
          </cell>
          <cell r="L1459">
            <v>45592.200000000012</v>
          </cell>
          <cell r="M1459">
            <v>1982.2695652173918</v>
          </cell>
          <cell r="O1459" t="str">
            <v>PORTA MATRIZ</v>
          </cell>
        </row>
        <row r="1460">
          <cell r="D1460" t="str">
            <v>HTJA040044</v>
          </cell>
          <cell r="E1460" t="str">
            <v>10009621</v>
          </cell>
          <cell r="F1460" t="str">
            <v>UF-4600i W</v>
          </cell>
          <cell r="G1460">
            <v>500000</v>
          </cell>
          <cell r="H1460" t="str">
            <v>Nacional</v>
          </cell>
          <cell r="I1460">
            <v>10</v>
          </cell>
          <cell r="J1460" t="str">
            <v>STD</v>
          </cell>
          <cell r="L1460">
            <v>33932.483034337194</v>
          </cell>
          <cell r="M1460">
            <v>1475.3253493190084</v>
          </cell>
          <cell r="O1460" t="str">
            <v>PORTA MATRIZ</v>
          </cell>
        </row>
        <row r="1461">
          <cell r="D1461" t="str">
            <v>HTJA040046</v>
          </cell>
          <cell r="E1461" t="str">
            <v>7056050202</v>
          </cell>
          <cell r="F1461" t="str">
            <v>A4 RF-91 Concept One</v>
          </cell>
          <cell r="G1461">
            <v>200000</v>
          </cell>
          <cell r="H1461" t="str">
            <v>Nacional</v>
          </cell>
          <cell r="I1461">
            <v>10</v>
          </cell>
          <cell r="J1461" t="str">
            <v>STD</v>
          </cell>
          <cell r="L1461">
            <v>0</v>
          </cell>
          <cell r="M1461">
            <v>0</v>
          </cell>
          <cell r="O1461" t="str">
            <v>PERNO DE APOYO</v>
          </cell>
        </row>
        <row r="1462">
          <cell r="D1462" t="str">
            <v>HTJA040046</v>
          </cell>
          <cell r="E1462" t="str">
            <v>7174050203</v>
          </cell>
          <cell r="F1462" t="str">
            <v>A4 RF-95</v>
          </cell>
          <cell r="G1462">
            <v>200000</v>
          </cell>
          <cell r="H1462" t="str">
            <v>Nacional</v>
          </cell>
          <cell r="I1462">
            <v>10</v>
          </cell>
          <cell r="J1462" t="str">
            <v>STD</v>
          </cell>
          <cell r="L1462">
            <v>8133.6</v>
          </cell>
          <cell r="M1462">
            <v>353.63478260869567</v>
          </cell>
          <cell r="O1462" t="str">
            <v>PERNO DE APOYO</v>
          </cell>
        </row>
        <row r="1463">
          <cell r="D1463" t="str">
            <v>HTJA040046</v>
          </cell>
          <cell r="E1463" t="str">
            <v>10019426</v>
          </cell>
          <cell r="F1463" t="str">
            <v>AC-1500i Honda 2NX / GMT</v>
          </cell>
          <cell r="G1463">
            <v>200000</v>
          </cell>
          <cell r="H1463" t="str">
            <v>Nacional</v>
          </cell>
          <cell r="I1463">
            <v>10</v>
          </cell>
          <cell r="J1463" t="str">
            <v>STD</v>
          </cell>
          <cell r="L1463">
            <v>32759.000000000004</v>
          </cell>
          <cell r="M1463">
            <v>1424.3043478260872</v>
          </cell>
          <cell r="O1463" t="str">
            <v>PERNO DE APOYO</v>
          </cell>
        </row>
        <row r="1464">
          <cell r="D1464" t="str">
            <v>HTJA040046</v>
          </cell>
          <cell r="E1464" t="str">
            <v>7479050219</v>
          </cell>
          <cell r="F1464" t="str">
            <v>AC-1700i FORD</v>
          </cell>
          <cell r="G1464">
            <v>200000</v>
          </cell>
          <cell r="H1464" t="str">
            <v>Nacional</v>
          </cell>
          <cell r="I1464">
            <v>10</v>
          </cell>
          <cell r="J1464" t="str">
            <v>STD</v>
          </cell>
          <cell r="L1464">
            <v>38420.799999999996</v>
          </cell>
          <cell r="M1464">
            <v>1670.4695652173912</v>
          </cell>
          <cell r="O1464" t="str">
            <v>PERNO DE APOYO</v>
          </cell>
        </row>
        <row r="1465">
          <cell r="D1465" t="str">
            <v>HTJA040046</v>
          </cell>
          <cell r="E1465" t="str">
            <v>8647050233</v>
          </cell>
          <cell r="F1465" t="str">
            <v>AC-2000i Honda Acura</v>
          </cell>
          <cell r="G1465">
            <v>200000</v>
          </cell>
          <cell r="H1465" t="str">
            <v>Nacional</v>
          </cell>
          <cell r="I1465">
            <v>10</v>
          </cell>
          <cell r="J1465" t="str">
            <v>STD</v>
          </cell>
          <cell r="L1465">
            <v>74729.200000000012</v>
          </cell>
          <cell r="M1465">
            <v>3249.0956521739135</v>
          </cell>
          <cell r="O1465" t="str">
            <v>PERNO DE APOYO</v>
          </cell>
        </row>
        <row r="1466">
          <cell r="D1466" t="str">
            <v>HTJA040046</v>
          </cell>
          <cell r="E1466" t="str">
            <v>10221803</v>
          </cell>
          <cell r="F1466" t="str">
            <v>AC-2300i Gamma Suv</v>
          </cell>
          <cell r="G1466">
            <v>200000</v>
          </cell>
          <cell r="H1466" t="str">
            <v>Nacional</v>
          </cell>
          <cell r="I1466">
            <v>10</v>
          </cell>
          <cell r="J1466" t="str">
            <v>STD</v>
          </cell>
          <cell r="L1466">
            <v>0</v>
          </cell>
          <cell r="M1466">
            <v>0</v>
          </cell>
          <cell r="O1466" t="str">
            <v>PERNO DE APOYO</v>
          </cell>
        </row>
        <row r="1467">
          <cell r="D1467" t="str">
            <v>HTJA040046</v>
          </cell>
          <cell r="E1467" t="str">
            <v>7324050215</v>
          </cell>
          <cell r="F1467" t="str">
            <v>AC-2300i PT-44</v>
          </cell>
          <cell r="G1467">
            <v>200000</v>
          </cell>
          <cell r="H1467" t="str">
            <v>Nacional</v>
          </cell>
          <cell r="I1467">
            <v>10</v>
          </cell>
          <cell r="J1467" t="str">
            <v>STD</v>
          </cell>
          <cell r="L1467">
            <v>58512.600000000006</v>
          </cell>
          <cell r="M1467">
            <v>2544.0260869565218</v>
          </cell>
          <cell r="O1467" t="str">
            <v>PERNO DE APOYO</v>
          </cell>
        </row>
        <row r="1468">
          <cell r="D1468" t="str">
            <v>HTJA040046</v>
          </cell>
          <cell r="E1468" t="str">
            <v>10001024R</v>
          </cell>
          <cell r="F1468" t="str">
            <v>AC-2600i Ford Escape</v>
          </cell>
          <cell r="G1468">
            <v>200000</v>
          </cell>
          <cell r="H1468" t="str">
            <v>Nacional</v>
          </cell>
          <cell r="I1468">
            <v>10</v>
          </cell>
          <cell r="J1468" t="str">
            <v>STD</v>
          </cell>
          <cell r="L1468">
            <v>59203</v>
          </cell>
          <cell r="M1468">
            <v>2574.0434782608695</v>
          </cell>
          <cell r="O1468" t="str">
            <v>PERNO DE APOYO</v>
          </cell>
        </row>
        <row r="1469">
          <cell r="D1469" t="str">
            <v>HTJA040046</v>
          </cell>
          <cell r="E1469" t="str">
            <v>7553050217</v>
          </cell>
          <cell r="F1469" t="str">
            <v>AC-2600i PT-Turbo</v>
          </cell>
          <cell r="G1469">
            <v>200000</v>
          </cell>
          <cell r="H1469" t="str">
            <v>Nacional</v>
          </cell>
          <cell r="I1469">
            <v>10</v>
          </cell>
          <cell r="J1469" t="str">
            <v>STD</v>
          </cell>
          <cell r="L1469">
            <v>37981.199999999997</v>
          </cell>
          <cell r="M1469">
            <v>1651.3565217391304</v>
          </cell>
          <cell r="O1469" t="str">
            <v>PERNO DE APOYO</v>
          </cell>
        </row>
        <row r="1470">
          <cell r="D1470" t="str">
            <v>HTJA040046</v>
          </cell>
          <cell r="E1470" t="str">
            <v>10054551</v>
          </cell>
          <cell r="F1470" t="str">
            <v>AC-2650 JC49 / GS PLT / DNA</v>
          </cell>
          <cell r="G1470">
            <v>200000</v>
          </cell>
          <cell r="H1470" t="str">
            <v>Nacional</v>
          </cell>
          <cell r="I1470">
            <v>10</v>
          </cell>
          <cell r="J1470" t="str">
            <v>STD</v>
          </cell>
          <cell r="L1470">
            <v>11932</v>
          </cell>
          <cell r="M1470">
            <v>518.78260869565213</v>
          </cell>
          <cell r="O1470" t="str">
            <v>PERNO DE APOYO</v>
          </cell>
        </row>
        <row r="1471">
          <cell r="D1471" t="str">
            <v>HTJA040046</v>
          </cell>
          <cell r="E1471" t="str">
            <v>00806342</v>
          </cell>
          <cell r="F1471" t="str">
            <v>AC-2900i VW</v>
          </cell>
          <cell r="G1471">
            <v>200000</v>
          </cell>
          <cell r="H1471" t="str">
            <v>Nacional</v>
          </cell>
          <cell r="I1471">
            <v>10</v>
          </cell>
          <cell r="J1471" t="str">
            <v>STD</v>
          </cell>
          <cell r="L1471">
            <v>23450.400000000001</v>
          </cell>
          <cell r="M1471">
            <v>1019.5826086956522</v>
          </cell>
          <cell r="O1471" t="str">
            <v>PERNO DE APOYO</v>
          </cell>
        </row>
        <row r="1472">
          <cell r="D1472" t="str">
            <v>HTJA040046</v>
          </cell>
          <cell r="E1472" t="str">
            <v>10019477T</v>
          </cell>
          <cell r="F1472" t="str">
            <v>AC-3300i FORD</v>
          </cell>
          <cell r="G1472">
            <v>200000</v>
          </cell>
          <cell r="H1472" t="str">
            <v>Nacional</v>
          </cell>
          <cell r="I1472">
            <v>10</v>
          </cell>
          <cell r="J1472" t="str">
            <v>STD</v>
          </cell>
          <cell r="L1472">
            <v>0</v>
          </cell>
          <cell r="M1472">
            <v>0</v>
          </cell>
          <cell r="O1472" t="str">
            <v>PERNO DE APOYO</v>
          </cell>
        </row>
        <row r="1473">
          <cell r="D1473" t="str">
            <v>HTJA040046</v>
          </cell>
          <cell r="E1473" t="str">
            <v>4302091005</v>
          </cell>
          <cell r="F1473" t="str">
            <v>C-2000 PL-BODY</v>
          </cell>
          <cell r="G1473">
            <v>200000</v>
          </cell>
          <cell r="H1473" t="str">
            <v>Nacional</v>
          </cell>
          <cell r="I1473">
            <v>10</v>
          </cell>
          <cell r="J1473" t="str">
            <v>STD</v>
          </cell>
          <cell r="L1473">
            <v>0</v>
          </cell>
          <cell r="M1473">
            <v>0</v>
          </cell>
          <cell r="O1473" t="str">
            <v>PERNO DE APOYO</v>
          </cell>
        </row>
        <row r="1474">
          <cell r="D1474" t="str">
            <v>HTJA040046</v>
          </cell>
          <cell r="E1474" t="str">
            <v>10060762</v>
          </cell>
          <cell r="F1474" t="str">
            <v>UF-2600i Ford Explorer</v>
          </cell>
          <cell r="G1474">
            <v>200000</v>
          </cell>
          <cell r="H1474" t="str">
            <v>Nacional</v>
          </cell>
          <cell r="I1474">
            <v>10</v>
          </cell>
          <cell r="J1474" t="str">
            <v>STD</v>
          </cell>
          <cell r="L1474">
            <v>0</v>
          </cell>
          <cell r="M1474">
            <v>0</v>
          </cell>
          <cell r="O1474" t="str">
            <v>PERNO DE APOYO</v>
          </cell>
        </row>
        <row r="1475">
          <cell r="D1475" t="str">
            <v>HTJA040046</v>
          </cell>
          <cell r="E1475" t="str">
            <v>00806088</v>
          </cell>
          <cell r="F1475" t="str">
            <v>UF-2600i Hyundai</v>
          </cell>
          <cell r="G1475">
            <v>200000</v>
          </cell>
          <cell r="H1475" t="str">
            <v>Nacional</v>
          </cell>
          <cell r="I1475">
            <v>10</v>
          </cell>
          <cell r="J1475" t="str">
            <v>STD</v>
          </cell>
          <cell r="L1475">
            <v>0</v>
          </cell>
          <cell r="M1475">
            <v>0</v>
          </cell>
          <cell r="O1475" t="str">
            <v>PERNO DE APOYO</v>
          </cell>
        </row>
        <row r="1476">
          <cell r="D1476" t="str">
            <v>HTJA040046</v>
          </cell>
          <cell r="E1476" t="str">
            <v>8152050226</v>
          </cell>
          <cell r="F1476" t="str">
            <v>UF-2600i PQ-35 VW</v>
          </cell>
          <cell r="G1476">
            <v>200000</v>
          </cell>
          <cell r="H1476" t="str">
            <v>Nacional</v>
          </cell>
          <cell r="I1476">
            <v>10</v>
          </cell>
          <cell r="J1476" t="str">
            <v>STD</v>
          </cell>
          <cell r="L1476">
            <v>38227.399999999994</v>
          </cell>
          <cell r="M1476">
            <v>1662.0608695652172</v>
          </cell>
          <cell r="O1476" t="str">
            <v>PERNO DE APOYO</v>
          </cell>
        </row>
        <row r="1477">
          <cell r="D1477" t="str">
            <v>HTJA040046</v>
          </cell>
          <cell r="E1477" t="str">
            <v>10018041</v>
          </cell>
          <cell r="F1477" t="str">
            <v>UF-3300i W</v>
          </cell>
          <cell r="G1477">
            <v>200000</v>
          </cell>
          <cell r="H1477" t="str">
            <v>Nacional</v>
          </cell>
          <cell r="I1477">
            <v>10</v>
          </cell>
          <cell r="J1477" t="str">
            <v>STD</v>
          </cell>
          <cell r="L1477">
            <v>13520.454678603319</v>
          </cell>
          <cell r="M1477">
            <v>587.84585559144864</v>
          </cell>
          <cell r="O1477" t="str">
            <v>PERNO DE APOYO</v>
          </cell>
        </row>
        <row r="1478">
          <cell r="D1478" t="str">
            <v>HTJA040046</v>
          </cell>
          <cell r="E1478" t="str">
            <v>7870050221</v>
          </cell>
          <cell r="F1478" t="str">
            <v>UF-3400 PQ-35 VW</v>
          </cell>
          <cell r="G1478">
            <v>200000</v>
          </cell>
          <cell r="H1478" t="str">
            <v>Nacional</v>
          </cell>
          <cell r="I1478">
            <v>10</v>
          </cell>
          <cell r="J1478" t="str">
            <v>STD</v>
          </cell>
          <cell r="L1478">
            <v>45592.200000000012</v>
          </cell>
          <cell r="M1478">
            <v>1982.2695652173918</v>
          </cell>
          <cell r="O1478" t="str">
            <v>PERNO DE APOYO</v>
          </cell>
        </row>
        <row r="1479">
          <cell r="D1479" t="str">
            <v>HTJA040046</v>
          </cell>
          <cell r="E1479" t="str">
            <v>10009621</v>
          </cell>
          <cell r="F1479" t="str">
            <v>UF-4600i W</v>
          </cell>
          <cell r="G1479">
            <v>200000</v>
          </cell>
          <cell r="H1479" t="str">
            <v>Nacional</v>
          </cell>
          <cell r="I1479">
            <v>10</v>
          </cell>
          <cell r="J1479" t="str">
            <v>STD</v>
          </cell>
          <cell r="L1479">
            <v>33932.483034337194</v>
          </cell>
          <cell r="M1479">
            <v>1475.3253493190084</v>
          </cell>
          <cell r="O1479" t="str">
            <v>PERNO DE APOYO</v>
          </cell>
        </row>
        <row r="1480">
          <cell r="D1480" t="str">
            <v>HTJA040048</v>
          </cell>
          <cell r="E1480" t="str">
            <v>7056050202</v>
          </cell>
          <cell r="F1480" t="str">
            <v>A4 RF-91 Concept One</v>
          </cell>
          <cell r="G1480">
            <v>100000</v>
          </cell>
          <cell r="H1480" t="str">
            <v>Nacional</v>
          </cell>
          <cell r="I1480">
            <v>10</v>
          </cell>
          <cell r="J1480" t="str">
            <v>STD</v>
          </cell>
          <cell r="L1480">
            <v>0</v>
          </cell>
          <cell r="M1480">
            <v>0</v>
          </cell>
          <cell r="O1480" t="str">
            <v>BLOCK DE CARGA DERECHO</v>
          </cell>
        </row>
        <row r="1481">
          <cell r="D1481" t="str">
            <v>HTJA040048</v>
          </cell>
          <cell r="E1481" t="str">
            <v>7174050203</v>
          </cell>
          <cell r="F1481" t="str">
            <v>A4 RF-95</v>
          </cell>
          <cell r="G1481">
            <v>100000</v>
          </cell>
          <cell r="H1481" t="str">
            <v>Nacional</v>
          </cell>
          <cell r="I1481">
            <v>10</v>
          </cell>
          <cell r="J1481" t="str">
            <v>STD</v>
          </cell>
          <cell r="L1481">
            <v>8133.6</v>
          </cell>
          <cell r="M1481">
            <v>353.63478260869567</v>
          </cell>
          <cell r="O1481" t="str">
            <v>BLOCK DE CARGA DERECHO</v>
          </cell>
        </row>
        <row r="1482">
          <cell r="D1482" t="str">
            <v>HTJA040048</v>
          </cell>
          <cell r="E1482" t="str">
            <v>10019426</v>
          </cell>
          <cell r="F1482" t="str">
            <v>AC-1500i Honda 2NX / GMT</v>
          </cell>
          <cell r="G1482">
            <v>100000</v>
          </cell>
          <cell r="H1482" t="str">
            <v>Nacional</v>
          </cell>
          <cell r="I1482">
            <v>10</v>
          </cell>
          <cell r="J1482" t="str">
            <v>STD</v>
          </cell>
          <cell r="L1482">
            <v>32759.000000000004</v>
          </cell>
          <cell r="M1482">
            <v>1424.3043478260872</v>
          </cell>
          <cell r="O1482" t="str">
            <v>BLOCK DE CARGA DERECHO</v>
          </cell>
        </row>
        <row r="1483">
          <cell r="D1483" t="str">
            <v>HTJA040048</v>
          </cell>
          <cell r="E1483" t="str">
            <v>7479050219</v>
          </cell>
          <cell r="F1483" t="str">
            <v>AC-1700i FORD</v>
          </cell>
          <cell r="G1483">
            <v>100000</v>
          </cell>
          <cell r="H1483" t="str">
            <v>Nacional</v>
          </cell>
          <cell r="I1483">
            <v>10</v>
          </cell>
          <cell r="J1483" t="str">
            <v>STD</v>
          </cell>
          <cell r="L1483">
            <v>38420.799999999996</v>
          </cell>
          <cell r="M1483">
            <v>1670.4695652173912</v>
          </cell>
          <cell r="O1483" t="str">
            <v>BLOCK DE CARGA DERECHO</v>
          </cell>
        </row>
        <row r="1484">
          <cell r="D1484" t="str">
            <v>HTJA040048</v>
          </cell>
          <cell r="E1484" t="str">
            <v>8647050233</v>
          </cell>
          <cell r="F1484" t="str">
            <v>AC-2000i Honda Acura</v>
          </cell>
          <cell r="G1484">
            <v>100000</v>
          </cell>
          <cell r="H1484" t="str">
            <v>Nacional</v>
          </cell>
          <cell r="I1484">
            <v>10</v>
          </cell>
          <cell r="J1484" t="str">
            <v>STD</v>
          </cell>
          <cell r="L1484">
            <v>74729.200000000012</v>
          </cell>
          <cell r="M1484">
            <v>3249.0956521739135</v>
          </cell>
          <cell r="O1484" t="str">
            <v>BLOCK DE CARGA DERECHO</v>
          </cell>
        </row>
        <row r="1485">
          <cell r="D1485" t="str">
            <v>HTJA040048</v>
          </cell>
          <cell r="E1485" t="str">
            <v>10221803</v>
          </cell>
          <cell r="F1485" t="str">
            <v>AC-2300i Gamma Suv</v>
          </cell>
          <cell r="G1485">
            <v>100000</v>
          </cell>
          <cell r="H1485" t="str">
            <v>Nacional</v>
          </cell>
          <cell r="I1485">
            <v>10</v>
          </cell>
          <cell r="J1485" t="str">
            <v>STD</v>
          </cell>
          <cell r="L1485">
            <v>0</v>
          </cell>
          <cell r="M1485">
            <v>0</v>
          </cell>
          <cell r="O1485" t="str">
            <v>BLOCK DE CARGA DERECHO</v>
          </cell>
        </row>
        <row r="1486">
          <cell r="D1486" t="str">
            <v>HTJA040048</v>
          </cell>
          <cell r="E1486" t="str">
            <v>7324050215</v>
          </cell>
          <cell r="F1486" t="str">
            <v>AC-2300i PT-44</v>
          </cell>
          <cell r="G1486">
            <v>100000</v>
          </cell>
          <cell r="H1486" t="str">
            <v>Nacional</v>
          </cell>
          <cell r="I1486">
            <v>10</v>
          </cell>
          <cell r="J1486" t="str">
            <v>STD</v>
          </cell>
          <cell r="L1486">
            <v>58512.600000000006</v>
          </cell>
          <cell r="M1486">
            <v>2544.0260869565218</v>
          </cell>
          <cell r="O1486" t="str">
            <v>BLOCK DE CARGA DERECHO</v>
          </cell>
        </row>
        <row r="1487">
          <cell r="D1487" t="str">
            <v>HTJA040048</v>
          </cell>
          <cell r="E1487" t="str">
            <v>10001024R</v>
          </cell>
          <cell r="F1487" t="str">
            <v>AC-2600i Ford Escape</v>
          </cell>
          <cell r="G1487">
            <v>100000</v>
          </cell>
          <cell r="H1487" t="str">
            <v>Nacional</v>
          </cell>
          <cell r="I1487">
            <v>10</v>
          </cell>
          <cell r="J1487" t="str">
            <v>STD</v>
          </cell>
          <cell r="L1487">
            <v>59203</v>
          </cell>
          <cell r="M1487">
            <v>2574.0434782608695</v>
          </cell>
          <cell r="O1487" t="str">
            <v>BLOCK DE CARGA DERECHO</v>
          </cell>
        </row>
        <row r="1488">
          <cell r="D1488" t="str">
            <v>HTJA040048</v>
          </cell>
          <cell r="E1488" t="str">
            <v>7553050217</v>
          </cell>
          <cell r="F1488" t="str">
            <v>AC-2600i PT-Turbo</v>
          </cell>
          <cell r="G1488">
            <v>100000</v>
          </cell>
          <cell r="H1488" t="str">
            <v>Nacional</v>
          </cell>
          <cell r="I1488">
            <v>10</v>
          </cell>
          <cell r="J1488" t="str">
            <v>STD</v>
          </cell>
          <cell r="L1488">
            <v>37981.199999999997</v>
          </cell>
          <cell r="M1488">
            <v>1651.3565217391304</v>
          </cell>
          <cell r="O1488" t="str">
            <v>BLOCK DE CARGA DERECHO</v>
          </cell>
        </row>
        <row r="1489">
          <cell r="D1489" t="str">
            <v>HTJA040048</v>
          </cell>
          <cell r="E1489" t="str">
            <v>10054551</v>
          </cell>
          <cell r="F1489" t="str">
            <v>AC-2650 JC49 / GS PLT / DNA</v>
          </cell>
          <cell r="G1489">
            <v>100000</v>
          </cell>
          <cell r="H1489" t="str">
            <v>Nacional</v>
          </cell>
          <cell r="I1489">
            <v>10</v>
          </cell>
          <cell r="J1489" t="str">
            <v>STD</v>
          </cell>
          <cell r="L1489">
            <v>11932</v>
          </cell>
          <cell r="M1489">
            <v>518.78260869565213</v>
          </cell>
          <cell r="O1489" t="str">
            <v>BLOCK DE CARGA DERECHO</v>
          </cell>
        </row>
        <row r="1490">
          <cell r="D1490" t="str">
            <v>HTJA040048</v>
          </cell>
          <cell r="E1490" t="str">
            <v>00806342</v>
          </cell>
          <cell r="F1490" t="str">
            <v>AC-2900i VW</v>
          </cell>
          <cell r="G1490">
            <v>100000</v>
          </cell>
          <cell r="H1490" t="str">
            <v>Nacional</v>
          </cell>
          <cell r="I1490">
            <v>10</v>
          </cell>
          <cell r="J1490" t="str">
            <v>STD</v>
          </cell>
          <cell r="L1490">
            <v>23450.400000000001</v>
          </cell>
          <cell r="M1490">
            <v>1019.5826086956522</v>
          </cell>
          <cell r="O1490" t="str">
            <v>BLOCK DE CARGA DERECHO</v>
          </cell>
        </row>
        <row r="1491">
          <cell r="D1491" t="str">
            <v>HTJA040048</v>
          </cell>
          <cell r="E1491" t="str">
            <v>10019477T</v>
          </cell>
          <cell r="F1491" t="str">
            <v>AC-3300i FORD</v>
          </cell>
          <cell r="G1491">
            <v>100000</v>
          </cell>
          <cell r="H1491" t="str">
            <v>Nacional</v>
          </cell>
          <cell r="I1491">
            <v>10</v>
          </cell>
          <cell r="J1491" t="str">
            <v>STD</v>
          </cell>
          <cell r="L1491">
            <v>0</v>
          </cell>
          <cell r="M1491">
            <v>0</v>
          </cell>
          <cell r="O1491" t="str">
            <v>BLOCK DE CARGA DERECHO</v>
          </cell>
        </row>
        <row r="1492">
          <cell r="D1492" t="str">
            <v>HTJA040048</v>
          </cell>
          <cell r="E1492" t="str">
            <v>4302091005</v>
          </cell>
          <cell r="F1492" t="str">
            <v>C-2000 PL-BODY</v>
          </cell>
          <cell r="G1492">
            <v>100000</v>
          </cell>
          <cell r="H1492" t="str">
            <v>Nacional</v>
          </cell>
          <cell r="I1492">
            <v>10</v>
          </cell>
          <cell r="J1492" t="str">
            <v>STD</v>
          </cell>
          <cell r="L1492">
            <v>0</v>
          </cell>
          <cell r="M1492">
            <v>0</v>
          </cell>
          <cell r="O1492" t="str">
            <v>BLOCK DE CARGA DERECHO</v>
          </cell>
        </row>
        <row r="1493">
          <cell r="D1493" t="str">
            <v>HTJA040048</v>
          </cell>
          <cell r="E1493" t="str">
            <v>10060762</v>
          </cell>
          <cell r="F1493" t="str">
            <v>UF-2600i Ford Explorer</v>
          </cell>
          <cell r="G1493">
            <v>100000</v>
          </cell>
          <cell r="H1493" t="str">
            <v>Nacional</v>
          </cell>
          <cell r="I1493">
            <v>10</v>
          </cell>
          <cell r="J1493" t="str">
            <v>STD</v>
          </cell>
          <cell r="L1493">
            <v>0</v>
          </cell>
          <cell r="M1493">
            <v>0</v>
          </cell>
          <cell r="O1493" t="str">
            <v>BLOCK DE CARGA DERECHO</v>
          </cell>
        </row>
        <row r="1494">
          <cell r="D1494" t="str">
            <v>HTJA040048</v>
          </cell>
          <cell r="E1494" t="str">
            <v>00806088</v>
          </cell>
          <cell r="F1494" t="str">
            <v>UF-2600i Hyundai</v>
          </cell>
          <cell r="G1494">
            <v>100000</v>
          </cell>
          <cell r="H1494" t="str">
            <v>Nacional</v>
          </cell>
          <cell r="I1494">
            <v>10</v>
          </cell>
          <cell r="J1494" t="str">
            <v>STD</v>
          </cell>
          <cell r="L1494">
            <v>0</v>
          </cell>
          <cell r="M1494">
            <v>0</v>
          </cell>
          <cell r="O1494" t="str">
            <v>BLOCK DE CARGA DERECHO</v>
          </cell>
        </row>
        <row r="1495">
          <cell r="D1495" t="str">
            <v>HTJA040048</v>
          </cell>
          <cell r="E1495" t="str">
            <v>8152050226</v>
          </cell>
          <cell r="F1495" t="str">
            <v>UF-2600i PQ-35 VW</v>
          </cell>
          <cell r="G1495">
            <v>100000</v>
          </cell>
          <cell r="H1495" t="str">
            <v>Nacional</v>
          </cell>
          <cell r="I1495">
            <v>10</v>
          </cell>
          <cell r="J1495" t="str">
            <v>STD</v>
          </cell>
          <cell r="L1495">
            <v>38227.399999999994</v>
          </cell>
          <cell r="M1495">
            <v>1662.0608695652172</v>
          </cell>
          <cell r="O1495" t="str">
            <v>BLOCK DE CARGA DERECHO</v>
          </cell>
        </row>
        <row r="1496">
          <cell r="D1496" t="str">
            <v>HTJA040048</v>
          </cell>
          <cell r="E1496" t="str">
            <v>10018041</v>
          </cell>
          <cell r="F1496" t="str">
            <v>UF-3300i W</v>
          </cell>
          <cell r="G1496">
            <v>100000</v>
          </cell>
          <cell r="H1496" t="str">
            <v>Nacional</v>
          </cell>
          <cell r="I1496">
            <v>10</v>
          </cell>
          <cell r="J1496" t="str">
            <v>STD</v>
          </cell>
          <cell r="L1496">
            <v>13520.454678603319</v>
          </cell>
          <cell r="M1496">
            <v>587.84585559144864</v>
          </cell>
          <cell r="O1496" t="str">
            <v>BLOCK DE CARGA DERECHO</v>
          </cell>
        </row>
        <row r="1497">
          <cell r="D1497" t="str">
            <v>HTJA040048</v>
          </cell>
          <cell r="E1497" t="str">
            <v>7870050221</v>
          </cell>
          <cell r="F1497" t="str">
            <v>UF-3400 PQ-35 VW</v>
          </cell>
          <cell r="G1497">
            <v>100000</v>
          </cell>
          <cell r="H1497" t="str">
            <v>Nacional</v>
          </cell>
          <cell r="I1497">
            <v>10</v>
          </cell>
          <cell r="J1497" t="str">
            <v>STD</v>
          </cell>
          <cell r="L1497">
            <v>45592.200000000012</v>
          </cell>
          <cell r="M1497">
            <v>1982.2695652173918</v>
          </cell>
          <cell r="O1497" t="str">
            <v>BLOCK DE CARGA DERECHO</v>
          </cell>
        </row>
        <row r="1498">
          <cell r="D1498" t="str">
            <v>HTJA040048</v>
          </cell>
          <cell r="E1498" t="str">
            <v>10009621</v>
          </cell>
          <cell r="F1498" t="str">
            <v>UF-4600i W</v>
          </cell>
          <cell r="G1498">
            <v>100000</v>
          </cell>
          <cell r="H1498" t="str">
            <v>Nacional</v>
          </cell>
          <cell r="I1498">
            <v>10</v>
          </cell>
          <cell r="J1498" t="str">
            <v>STD</v>
          </cell>
          <cell r="L1498">
            <v>33932.483034337194</v>
          </cell>
          <cell r="M1498">
            <v>1475.3253493190084</v>
          </cell>
          <cell r="O1498" t="str">
            <v>BLOCK DE CARGA DERECHO</v>
          </cell>
        </row>
        <row r="1499">
          <cell r="D1499" t="str">
            <v>HTJA040049</v>
          </cell>
          <cell r="E1499" t="str">
            <v>7056050202</v>
          </cell>
          <cell r="F1499" t="str">
            <v>A4 RF-91 Concept One</v>
          </cell>
          <cell r="G1499">
            <v>100000</v>
          </cell>
          <cell r="H1499" t="str">
            <v>Nacional</v>
          </cell>
          <cell r="I1499">
            <v>10</v>
          </cell>
          <cell r="J1499" t="str">
            <v>STD</v>
          </cell>
          <cell r="L1499">
            <v>0</v>
          </cell>
          <cell r="M1499">
            <v>0</v>
          </cell>
          <cell r="O1499" t="str">
            <v>BLOCK DE CARGA IZQUIERDO</v>
          </cell>
        </row>
        <row r="1500">
          <cell r="D1500" t="str">
            <v>HTJA040049</v>
          </cell>
          <cell r="E1500" t="str">
            <v>7174050203</v>
          </cell>
          <cell r="F1500" t="str">
            <v>A4 RF-95</v>
          </cell>
          <cell r="G1500">
            <v>100000</v>
          </cell>
          <cell r="H1500" t="str">
            <v>Nacional</v>
          </cell>
          <cell r="I1500">
            <v>10</v>
          </cell>
          <cell r="J1500" t="str">
            <v>STD</v>
          </cell>
          <cell r="L1500">
            <v>8133.6</v>
          </cell>
          <cell r="M1500">
            <v>353.63478260869567</v>
          </cell>
          <cell r="O1500" t="str">
            <v>BLOCK DE CARGA IZQUIERDO</v>
          </cell>
        </row>
        <row r="1501">
          <cell r="D1501" t="str">
            <v>HTJA040049</v>
          </cell>
          <cell r="E1501" t="str">
            <v>10019426</v>
          </cell>
          <cell r="F1501" t="str">
            <v>AC-1500i Honda 2NX / GMT</v>
          </cell>
          <cell r="G1501">
            <v>100000</v>
          </cell>
          <cell r="H1501" t="str">
            <v>Nacional</v>
          </cell>
          <cell r="I1501">
            <v>10</v>
          </cell>
          <cell r="J1501" t="str">
            <v>STD</v>
          </cell>
          <cell r="L1501">
            <v>32759.000000000004</v>
          </cell>
          <cell r="M1501">
            <v>1424.3043478260872</v>
          </cell>
          <cell r="O1501" t="str">
            <v>BLOCK DE CARGA IZQUIERDO</v>
          </cell>
        </row>
        <row r="1502">
          <cell r="D1502" t="str">
            <v>HTJA040049</v>
          </cell>
          <cell r="E1502" t="str">
            <v>7479050219</v>
          </cell>
          <cell r="F1502" t="str">
            <v>AC-1700i FORD</v>
          </cell>
          <cell r="G1502">
            <v>100000</v>
          </cell>
          <cell r="H1502" t="str">
            <v>Nacional</v>
          </cell>
          <cell r="I1502">
            <v>10</v>
          </cell>
          <cell r="J1502" t="str">
            <v>STD</v>
          </cell>
          <cell r="L1502">
            <v>38420.799999999996</v>
          </cell>
          <cell r="M1502">
            <v>1670.4695652173912</v>
          </cell>
          <cell r="O1502" t="str">
            <v>BLOCK DE CARGA IZQUIERDO</v>
          </cell>
        </row>
        <row r="1503">
          <cell r="D1503" t="str">
            <v>HTJA040049</v>
          </cell>
          <cell r="E1503" t="str">
            <v>8647050233</v>
          </cell>
          <cell r="F1503" t="str">
            <v>AC-2000i Honda Acura</v>
          </cell>
          <cell r="G1503">
            <v>100000</v>
          </cell>
          <cell r="H1503" t="str">
            <v>Nacional</v>
          </cell>
          <cell r="I1503">
            <v>10</v>
          </cell>
          <cell r="J1503" t="str">
            <v>STD</v>
          </cell>
          <cell r="L1503">
            <v>74729.200000000012</v>
          </cell>
          <cell r="M1503">
            <v>3249.0956521739135</v>
          </cell>
          <cell r="O1503" t="str">
            <v>BLOCK DE CARGA IZQUIERDO</v>
          </cell>
        </row>
        <row r="1504">
          <cell r="D1504" t="str">
            <v>HTJA040049</v>
          </cell>
          <cell r="E1504" t="str">
            <v>10221803</v>
          </cell>
          <cell r="F1504" t="str">
            <v>AC-2300i Gamma Suv</v>
          </cell>
          <cell r="G1504">
            <v>100000</v>
          </cell>
          <cell r="H1504" t="str">
            <v>Nacional</v>
          </cell>
          <cell r="I1504">
            <v>10</v>
          </cell>
          <cell r="J1504" t="str">
            <v>STD</v>
          </cell>
          <cell r="L1504">
            <v>0</v>
          </cell>
          <cell r="M1504">
            <v>0</v>
          </cell>
          <cell r="O1504" t="str">
            <v>BLOCK DE CARGA IZQUIERDO</v>
          </cell>
        </row>
        <row r="1505">
          <cell r="D1505" t="str">
            <v>HTJA040049</v>
          </cell>
          <cell r="E1505" t="str">
            <v>7324050215</v>
          </cell>
          <cell r="F1505" t="str">
            <v>AC-2300i PT-44</v>
          </cell>
          <cell r="G1505">
            <v>100000</v>
          </cell>
          <cell r="H1505" t="str">
            <v>Nacional</v>
          </cell>
          <cell r="I1505">
            <v>10</v>
          </cell>
          <cell r="J1505" t="str">
            <v>STD</v>
          </cell>
          <cell r="L1505">
            <v>58512.600000000006</v>
          </cell>
          <cell r="M1505">
            <v>2544.0260869565218</v>
          </cell>
          <cell r="O1505" t="str">
            <v>BLOCK DE CARGA IZQUIERDO</v>
          </cell>
        </row>
        <row r="1506">
          <cell r="D1506" t="str">
            <v>HTJA040049</v>
          </cell>
          <cell r="E1506" t="str">
            <v>10001024R</v>
          </cell>
          <cell r="F1506" t="str">
            <v>AC-2600i Ford Escape</v>
          </cell>
          <cell r="G1506">
            <v>100000</v>
          </cell>
          <cell r="H1506" t="str">
            <v>Nacional</v>
          </cell>
          <cell r="I1506">
            <v>10</v>
          </cell>
          <cell r="J1506" t="str">
            <v>STD</v>
          </cell>
          <cell r="L1506">
            <v>59203</v>
          </cell>
          <cell r="M1506">
            <v>2574.0434782608695</v>
          </cell>
          <cell r="O1506" t="str">
            <v>BLOCK DE CARGA IZQUIERDO</v>
          </cell>
        </row>
        <row r="1507">
          <cell r="D1507" t="str">
            <v>HTJA040049</v>
          </cell>
          <cell r="E1507" t="str">
            <v>7553050217</v>
          </cell>
          <cell r="F1507" t="str">
            <v>AC-2600i PT-Turbo</v>
          </cell>
          <cell r="G1507">
            <v>100000</v>
          </cell>
          <cell r="H1507" t="str">
            <v>Nacional</v>
          </cell>
          <cell r="I1507">
            <v>10</v>
          </cell>
          <cell r="J1507" t="str">
            <v>STD</v>
          </cell>
          <cell r="L1507">
            <v>37981.199999999997</v>
          </cell>
          <cell r="M1507">
            <v>1651.3565217391304</v>
          </cell>
          <cell r="O1507" t="str">
            <v>BLOCK DE CARGA IZQUIERDO</v>
          </cell>
        </row>
        <row r="1508">
          <cell r="D1508" t="str">
            <v>HTJA040049</v>
          </cell>
          <cell r="E1508" t="str">
            <v>10054551</v>
          </cell>
          <cell r="F1508" t="str">
            <v>AC-2650 JC49 / GS PLT / DNA</v>
          </cell>
          <cell r="G1508">
            <v>100000</v>
          </cell>
          <cell r="H1508" t="str">
            <v>Nacional</v>
          </cell>
          <cell r="I1508">
            <v>10</v>
          </cell>
          <cell r="J1508" t="str">
            <v>STD</v>
          </cell>
          <cell r="L1508">
            <v>11932</v>
          </cell>
          <cell r="M1508">
            <v>518.78260869565213</v>
          </cell>
          <cell r="O1508" t="str">
            <v>BLOCK DE CARGA IZQUIERDO</v>
          </cell>
        </row>
        <row r="1509">
          <cell r="D1509" t="str">
            <v>HTJA040049</v>
          </cell>
          <cell r="E1509" t="str">
            <v>00806342</v>
          </cell>
          <cell r="F1509" t="str">
            <v>AC-2900i VW</v>
          </cell>
          <cell r="G1509">
            <v>100000</v>
          </cell>
          <cell r="H1509" t="str">
            <v>Nacional</v>
          </cell>
          <cell r="I1509">
            <v>10</v>
          </cell>
          <cell r="J1509" t="str">
            <v>STD</v>
          </cell>
          <cell r="L1509">
            <v>23450.400000000001</v>
          </cell>
          <cell r="M1509">
            <v>1019.5826086956522</v>
          </cell>
          <cell r="O1509" t="str">
            <v>BLOCK DE CARGA IZQUIERDO</v>
          </cell>
        </row>
        <row r="1510">
          <cell r="D1510" t="str">
            <v>HTJA040049</v>
          </cell>
          <cell r="E1510" t="str">
            <v>10019477T</v>
          </cell>
          <cell r="F1510" t="str">
            <v>AC-3300i FORD</v>
          </cell>
          <cell r="G1510">
            <v>100000</v>
          </cell>
          <cell r="H1510" t="str">
            <v>Nacional</v>
          </cell>
          <cell r="I1510">
            <v>10</v>
          </cell>
          <cell r="J1510" t="str">
            <v>STD</v>
          </cell>
          <cell r="L1510">
            <v>0</v>
          </cell>
          <cell r="M1510">
            <v>0</v>
          </cell>
          <cell r="O1510" t="str">
            <v>BLOCK DE CARGA IZQUIERDO</v>
          </cell>
        </row>
        <row r="1511">
          <cell r="D1511" t="str">
            <v>HTJA040049</v>
          </cell>
          <cell r="E1511" t="str">
            <v>4302091005</v>
          </cell>
          <cell r="F1511" t="str">
            <v>C-2000 PL-BODY</v>
          </cell>
          <cell r="G1511">
            <v>100000</v>
          </cell>
          <cell r="H1511" t="str">
            <v>Nacional</v>
          </cell>
          <cell r="I1511">
            <v>10</v>
          </cell>
          <cell r="J1511" t="str">
            <v>STD</v>
          </cell>
          <cell r="L1511">
            <v>0</v>
          </cell>
          <cell r="M1511">
            <v>0</v>
          </cell>
          <cell r="O1511" t="str">
            <v>BLOCK DE CARGA IZQUIERDO</v>
          </cell>
        </row>
        <row r="1512">
          <cell r="D1512" t="str">
            <v>HTJA040049</v>
          </cell>
          <cell r="E1512" t="str">
            <v>10060762</v>
          </cell>
          <cell r="F1512" t="str">
            <v>UF-2600i Ford Explorer</v>
          </cell>
          <cell r="G1512">
            <v>100000</v>
          </cell>
          <cell r="H1512" t="str">
            <v>Nacional</v>
          </cell>
          <cell r="I1512">
            <v>10</v>
          </cell>
          <cell r="J1512" t="str">
            <v>STD</v>
          </cell>
          <cell r="L1512">
            <v>0</v>
          </cell>
          <cell r="M1512">
            <v>0</v>
          </cell>
          <cell r="O1512" t="str">
            <v>BLOCK DE CARGA IZQUIERDO</v>
          </cell>
        </row>
        <row r="1513">
          <cell r="D1513" t="str">
            <v>HTJA040049</v>
          </cell>
          <cell r="E1513" t="str">
            <v>00806088</v>
          </cell>
          <cell r="F1513" t="str">
            <v>UF-2600i Hyundai</v>
          </cell>
          <cell r="G1513">
            <v>100000</v>
          </cell>
          <cell r="H1513" t="str">
            <v>Nacional</v>
          </cell>
          <cell r="I1513">
            <v>10</v>
          </cell>
          <cell r="J1513" t="str">
            <v>STD</v>
          </cell>
          <cell r="L1513">
            <v>0</v>
          </cell>
          <cell r="M1513">
            <v>0</v>
          </cell>
          <cell r="O1513" t="str">
            <v>BLOCK DE CARGA IZQUIERDO</v>
          </cell>
        </row>
        <row r="1514">
          <cell r="D1514" t="str">
            <v>HTJA040049</v>
          </cell>
          <cell r="E1514" t="str">
            <v>8152050226</v>
          </cell>
          <cell r="F1514" t="str">
            <v>UF-2600i PQ-35 VW</v>
          </cell>
          <cell r="G1514">
            <v>100000</v>
          </cell>
          <cell r="H1514" t="str">
            <v>Nacional</v>
          </cell>
          <cell r="I1514">
            <v>10</v>
          </cell>
          <cell r="J1514" t="str">
            <v>STD</v>
          </cell>
          <cell r="L1514">
            <v>38227.399999999994</v>
          </cell>
          <cell r="M1514">
            <v>1662.0608695652172</v>
          </cell>
          <cell r="O1514" t="str">
            <v>BLOCK DE CARGA IZQUIERDO</v>
          </cell>
        </row>
        <row r="1515">
          <cell r="D1515" t="str">
            <v>HTJA040049</v>
          </cell>
          <cell r="E1515" t="str">
            <v>10018041</v>
          </cell>
          <cell r="F1515" t="str">
            <v>UF-3300i W</v>
          </cell>
          <cell r="G1515">
            <v>100000</v>
          </cell>
          <cell r="H1515" t="str">
            <v>Nacional</v>
          </cell>
          <cell r="I1515">
            <v>10</v>
          </cell>
          <cell r="J1515" t="str">
            <v>STD</v>
          </cell>
          <cell r="L1515">
            <v>13520.454678603319</v>
          </cell>
          <cell r="M1515">
            <v>587.84585559144864</v>
          </cell>
          <cell r="O1515" t="str">
            <v>BLOCK DE CARGA IZQUIERDO</v>
          </cell>
        </row>
        <row r="1516">
          <cell r="D1516" t="str">
            <v>HTJA040049</v>
          </cell>
          <cell r="E1516" t="str">
            <v>7870050221</v>
          </cell>
          <cell r="F1516" t="str">
            <v>UF-3400 PQ-35 VW</v>
          </cell>
          <cell r="G1516">
            <v>100000</v>
          </cell>
          <cell r="H1516" t="str">
            <v>Nacional</v>
          </cell>
          <cell r="I1516">
            <v>10</v>
          </cell>
          <cell r="J1516" t="str">
            <v>STD</v>
          </cell>
          <cell r="L1516">
            <v>45592.200000000012</v>
          </cell>
          <cell r="M1516">
            <v>1982.2695652173918</v>
          </cell>
          <cell r="O1516" t="str">
            <v>BLOCK DE CARGA IZQUIERDO</v>
          </cell>
        </row>
        <row r="1517">
          <cell r="D1517" t="str">
            <v>HTJA040049</v>
          </cell>
          <cell r="E1517" t="str">
            <v>10009621</v>
          </cell>
          <cell r="F1517" t="str">
            <v>UF-4600i W</v>
          </cell>
          <cell r="G1517">
            <v>100000</v>
          </cell>
          <cell r="H1517" t="str">
            <v>Nacional</v>
          </cell>
          <cell r="I1517">
            <v>10</v>
          </cell>
          <cell r="J1517" t="str">
            <v>STD</v>
          </cell>
          <cell r="L1517">
            <v>33932.483034337194</v>
          </cell>
          <cell r="M1517">
            <v>1475.3253493190084</v>
          </cell>
          <cell r="O1517" t="str">
            <v>BLOCK DE CARGA IZQUIERDO</v>
          </cell>
        </row>
        <row r="1518">
          <cell r="D1518" t="str">
            <v>HTJA040051</v>
          </cell>
          <cell r="E1518" t="str">
            <v>7056050202</v>
          </cell>
          <cell r="F1518" t="str">
            <v>A4 RF-91 Concept One</v>
          </cell>
          <cell r="G1518">
            <v>100000</v>
          </cell>
          <cell r="H1518" t="str">
            <v>Nacional</v>
          </cell>
          <cell r="I1518">
            <v>8</v>
          </cell>
          <cell r="J1518" t="str">
            <v>STD</v>
          </cell>
          <cell r="L1518">
            <v>0</v>
          </cell>
          <cell r="M1518">
            <v>0</v>
          </cell>
          <cell r="O1518" t="str">
            <v>ADAPTADOR DE BOQUILLA Y CONO</v>
          </cell>
        </row>
        <row r="1519">
          <cell r="D1519" t="str">
            <v>HTJA040051</v>
          </cell>
          <cell r="E1519" t="str">
            <v>7174050203</v>
          </cell>
          <cell r="F1519" t="str">
            <v>A4 RF-95</v>
          </cell>
          <cell r="G1519">
            <v>100000</v>
          </cell>
          <cell r="H1519" t="str">
            <v>Nacional</v>
          </cell>
          <cell r="I1519">
            <v>8</v>
          </cell>
          <cell r="J1519" t="str">
            <v>STD</v>
          </cell>
          <cell r="L1519">
            <v>8133.6</v>
          </cell>
          <cell r="M1519">
            <v>353.63478260869567</v>
          </cell>
          <cell r="O1519" t="str">
            <v>ADAPTADOR DE BOQUILLA Y CONO</v>
          </cell>
        </row>
        <row r="1520">
          <cell r="D1520" t="str">
            <v>HTJA040051</v>
          </cell>
          <cell r="E1520" t="str">
            <v>10019426</v>
          </cell>
          <cell r="F1520" t="str">
            <v>AC-1500i Honda 2NX / GMT</v>
          </cell>
          <cell r="G1520">
            <v>100000</v>
          </cell>
          <cell r="H1520" t="str">
            <v>Nacional</v>
          </cell>
          <cell r="I1520">
            <v>8</v>
          </cell>
          <cell r="J1520" t="str">
            <v>STD</v>
          </cell>
          <cell r="L1520">
            <v>32759.000000000004</v>
          </cell>
          <cell r="M1520">
            <v>1424.3043478260872</v>
          </cell>
          <cell r="O1520" t="str">
            <v>ADAPTADOR DE BOQUILLA Y CONO</v>
          </cell>
        </row>
        <row r="1521">
          <cell r="D1521" t="str">
            <v>HTJA040051</v>
          </cell>
          <cell r="E1521" t="str">
            <v>7479050219</v>
          </cell>
          <cell r="F1521" t="str">
            <v>AC-1700i FORD</v>
          </cell>
          <cell r="G1521">
            <v>100000</v>
          </cell>
          <cell r="H1521" t="str">
            <v>Nacional</v>
          </cell>
          <cell r="I1521">
            <v>8</v>
          </cell>
          <cell r="J1521" t="str">
            <v>STD</v>
          </cell>
          <cell r="L1521">
            <v>38420.799999999996</v>
          </cell>
          <cell r="M1521">
            <v>1670.4695652173912</v>
          </cell>
          <cell r="O1521" t="str">
            <v>ADAPTADOR DE BOQUILLA Y CONO</v>
          </cell>
        </row>
        <row r="1522">
          <cell r="D1522" t="str">
            <v>HTJA040051</v>
          </cell>
          <cell r="E1522" t="str">
            <v>8647050233</v>
          </cell>
          <cell r="F1522" t="str">
            <v>AC-2000i Honda Acura</v>
          </cell>
          <cell r="G1522">
            <v>100000</v>
          </cell>
          <cell r="H1522" t="str">
            <v>Nacional</v>
          </cell>
          <cell r="I1522">
            <v>8</v>
          </cell>
          <cell r="J1522" t="str">
            <v>STD</v>
          </cell>
          <cell r="L1522">
            <v>74729.200000000012</v>
          </cell>
          <cell r="M1522">
            <v>3249.0956521739135</v>
          </cell>
          <cell r="O1522" t="str">
            <v>ADAPTADOR DE BOQUILLA Y CONO</v>
          </cell>
        </row>
        <row r="1523">
          <cell r="D1523" t="str">
            <v>HTJA040051</v>
          </cell>
          <cell r="E1523" t="str">
            <v>10221803</v>
          </cell>
          <cell r="F1523" t="str">
            <v>AC-2300i Gamma Suv</v>
          </cell>
          <cell r="G1523">
            <v>100000</v>
          </cell>
          <cell r="H1523" t="str">
            <v>Nacional</v>
          </cell>
          <cell r="I1523">
            <v>8</v>
          </cell>
          <cell r="J1523" t="str">
            <v>STD</v>
          </cell>
          <cell r="L1523">
            <v>0</v>
          </cell>
          <cell r="M1523">
            <v>0</v>
          </cell>
          <cell r="O1523" t="str">
            <v>ADAPTADOR DE BOQUILLA Y CONO</v>
          </cell>
        </row>
        <row r="1524">
          <cell r="D1524" t="str">
            <v>HTJA040051</v>
          </cell>
          <cell r="E1524" t="str">
            <v>7324050215</v>
          </cell>
          <cell r="F1524" t="str">
            <v>AC-2300i PT-44</v>
          </cell>
          <cell r="G1524">
            <v>100000</v>
          </cell>
          <cell r="H1524" t="str">
            <v>Nacional</v>
          </cell>
          <cell r="I1524">
            <v>8</v>
          </cell>
          <cell r="J1524" t="str">
            <v>STD</v>
          </cell>
          <cell r="L1524">
            <v>58512.600000000006</v>
          </cell>
          <cell r="M1524">
            <v>2544.0260869565218</v>
          </cell>
          <cell r="O1524" t="str">
            <v>ADAPTADOR DE BOQUILLA Y CONO</v>
          </cell>
        </row>
        <row r="1525">
          <cell r="D1525" t="str">
            <v>HTJA040051</v>
          </cell>
          <cell r="E1525" t="str">
            <v>10001024R</v>
          </cell>
          <cell r="F1525" t="str">
            <v>AC-2600i Ford Escape</v>
          </cell>
          <cell r="G1525">
            <v>100000</v>
          </cell>
          <cell r="H1525" t="str">
            <v>Nacional</v>
          </cell>
          <cell r="I1525">
            <v>8</v>
          </cell>
          <cell r="J1525" t="str">
            <v>STD</v>
          </cell>
          <cell r="L1525">
            <v>59203</v>
          </cell>
          <cell r="M1525">
            <v>2574.0434782608695</v>
          </cell>
          <cell r="O1525" t="str">
            <v>ADAPTADOR DE BOQUILLA Y CONO</v>
          </cell>
        </row>
        <row r="1526">
          <cell r="D1526" t="str">
            <v>HTJA040051</v>
          </cell>
          <cell r="E1526" t="str">
            <v>7553050217</v>
          </cell>
          <cell r="F1526" t="str">
            <v>AC-2600i PT-Turbo</v>
          </cell>
          <cell r="G1526">
            <v>100000</v>
          </cell>
          <cell r="H1526" t="str">
            <v>Nacional</v>
          </cell>
          <cell r="I1526">
            <v>8</v>
          </cell>
          <cell r="J1526" t="str">
            <v>STD</v>
          </cell>
          <cell r="L1526">
            <v>37981.199999999997</v>
          </cell>
          <cell r="M1526">
            <v>1651.3565217391304</v>
          </cell>
          <cell r="O1526" t="str">
            <v>ADAPTADOR DE BOQUILLA Y CONO</v>
          </cell>
        </row>
        <row r="1527">
          <cell r="D1527" t="str">
            <v>HTJA040051</v>
          </cell>
          <cell r="E1527" t="str">
            <v>10054551</v>
          </cell>
          <cell r="F1527" t="str">
            <v>AC-2650 JC49 / GS PLT / DNA</v>
          </cell>
          <cell r="G1527">
            <v>100000</v>
          </cell>
          <cell r="H1527" t="str">
            <v>Nacional</v>
          </cell>
          <cell r="I1527">
            <v>8</v>
          </cell>
          <cell r="J1527" t="str">
            <v>STD</v>
          </cell>
          <cell r="L1527">
            <v>11932</v>
          </cell>
          <cell r="M1527">
            <v>518.78260869565213</v>
          </cell>
          <cell r="O1527" t="str">
            <v>ADAPTADOR DE BOQUILLA Y CONO</v>
          </cell>
        </row>
        <row r="1528">
          <cell r="D1528" t="str">
            <v>HTJA040051</v>
          </cell>
          <cell r="E1528" t="str">
            <v>00806342</v>
          </cell>
          <cell r="F1528" t="str">
            <v>AC-2900i VW</v>
          </cell>
          <cell r="G1528">
            <v>100000</v>
          </cell>
          <cell r="H1528" t="str">
            <v>Nacional</v>
          </cell>
          <cell r="I1528">
            <v>8</v>
          </cell>
          <cell r="J1528" t="str">
            <v>STD</v>
          </cell>
          <cell r="L1528">
            <v>23450.400000000001</v>
          </cell>
          <cell r="M1528">
            <v>1019.5826086956522</v>
          </cell>
          <cell r="O1528" t="str">
            <v>ADAPTADOR DE BOQUILLA Y CONO</v>
          </cell>
        </row>
        <row r="1529">
          <cell r="D1529" t="str">
            <v>HTJA040051</v>
          </cell>
          <cell r="E1529" t="str">
            <v>10019477T</v>
          </cell>
          <cell r="F1529" t="str">
            <v>AC-3300i FORD</v>
          </cell>
          <cell r="G1529">
            <v>100000</v>
          </cell>
          <cell r="H1529" t="str">
            <v>Nacional</v>
          </cell>
          <cell r="I1529">
            <v>8</v>
          </cell>
          <cell r="J1529" t="str">
            <v>STD</v>
          </cell>
          <cell r="L1529">
            <v>0</v>
          </cell>
          <cell r="M1529">
            <v>0</v>
          </cell>
          <cell r="O1529" t="str">
            <v>ADAPTADOR DE BOQUILLA Y CONO</v>
          </cell>
        </row>
        <row r="1530">
          <cell r="D1530" t="str">
            <v>HTJA040051</v>
          </cell>
          <cell r="E1530" t="str">
            <v>4302091005</v>
          </cell>
          <cell r="F1530" t="str">
            <v>C-2000 PL-BODY</v>
          </cell>
          <cell r="G1530">
            <v>100000</v>
          </cell>
          <cell r="H1530" t="str">
            <v>Nacional</v>
          </cell>
          <cell r="I1530">
            <v>8</v>
          </cell>
          <cell r="J1530" t="str">
            <v>STD</v>
          </cell>
          <cell r="L1530">
            <v>0</v>
          </cell>
          <cell r="M1530">
            <v>0</v>
          </cell>
          <cell r="O1530" t="str">
            <v>ADAPTADOR DE BOQUILLA Y CONO</v>
          </cell>
        </row>
        <row r="1531">
          <cell r="D1531" t="str">
            <v>HTJA040051</v>
          </cell>
          <cell r="E1531" t="str">
            <v>10060762</v>
          </cell>
          <cell r="F1531" t="str">
            <v>UF-2600i Ford Explorer</v>
          </cell>
          <cell r="G1531">
            <v>100000</v>
          </cell>
          <cell r="H1531" t="str">
            <v>Nacional</v>
          </cell>
          <cell r="I1531">
            <v>8</v>
          </cell>
          <cell r="J1531" t="str">
            <v>STD</v>
          </cell>
          <cell r="L1531">
            <v>0</v>
          </cell>
          <cell r="M1531">
            <v>0</v>
          </cell>
          <cell r="O1531" t="str">
            <v>ADAPTADOR DE BOQUILLA Y CONO</v>
          </cell>
        </row>
        <row r="1532">
          <cell r="D1532" t="str">
            <v>HTJA040051</v>
          </cell>
          <cell r="E1532" t="str">
            <v>00806088</v>
          </cell>
          <cell r="F1532" t="str">
            <v>UF-2600i Hyundai</v>
          </cell>
          <cell r="G1532">
            <v>100000</v>
          </cell>
          <cell r="H1532" t="str">
            <v>Nacional</v>
          </cell>
          <cell r="I1532">
            <v>8</v>
          </cell>
          <cell r="J1532" t="str">
            <v>STD</v>
          </cell>
          <cell r="L1532">
            <v>0</v>
          </cell>
          <cell r="M1532">
            <v>0</v>
          </cell>
          <cell r="O1532" t="str">
            <v>ADAPTADOR DE BOQUILLA Y CONO</v>
          </cell>
        </row>
        <row r="1533">
          <cell r="D1533" t="str">
            <v>HTJA040051</v>
          </cell>
          <cell r="E1533" t="str">
            <v>8152050226</v>
          </cell>
          <cell r="F1533" t="str">
            <v>UF-2600i PQ-35 VW</v>
          </cell>
          <cell r="G1533">
            <v>100000</v>
          </cell>
          <cell r="H1533" t="str">
            <v>Nacional</v>
          </cell>
          <cell r="I1533">
            <v>8</v>
          </cell>
          <cell r="J1533" t="str">
            <v>STD</v>
          </cell>
          <cell r="L1533">
            <v>38227.399999999994</v>
          </cell>
          <cell r="M1533">
            <v>1662.0608695652172</v>
          </cell>
          <cell r="O1533" t="str">
            <v>ADAPTADOR DE BOQUILLA Y CONO</v>
          </cell>
        </row>
        <row r="1534">
          <cell r="D1534" t="str">
            <v>HTJA040051</v>
          </cell>
          <cell r="E1534" t="str">
            <v>10018041</v>
          </cell>
          <cell r="F1534" t="str">
            <v>UF-3300i W</v>
          </cell>
          <cell r="G1534">
            <v>100000</v>
          </cell>
          <cell r="H1534" t="str">
            <v>Nacional</v>
          </cell>
          <cell r="I1534">
            <v>8</v>
          </cell>
          <cell r="J1534" t="str">
            <v>STD</v>
          </cell>
          <cell r="L1534">
            <v>13520.454678603319</v>
          </cell>
          <cell r="M1534">
            <v>587.84585559144864</v>
          </cell>
          <cell r="O1534" t="str">
            <v>ADAPTADOR DE BOQUILLA Y CONO</v>
          </cell>
        </row>
        <row r="1535">
          <cell r="D1535" t="str">
            <v>HTJA040051</v>
          </cell>
          <cell r="E1535" t="str">
            <v>7870050221</v>
          </cell>
          <cell r="F1535" t="str">
            <v>UF-3400 PQ-35 VW</v>
          </cell>
          <cell r="G1535">
            <v>100000</v>
          </cell>
          <cell r="H1535" t="str">
            <v>Nacional</v>
          </cell>
          <cell r="I1535">
            <v>8</v>
          </cell>
          <cell r="J1535" t="str">
            <v>STD</v>
          </cell>
          <cell r="L1535">
            <v>45592.200000000012</v>
          </cell>
          <cell r="M1535">
            <v>1982.2695652173918</v>
          </cell>
          <cell r="O1535" t="str">
            <v>ADAPTADOR DE BOQUILLA Y CONO</v>
          </cell>
        </row>
        <row r="1536">
          <cell r="D1536" t="str">
            <v>HTJA040051</v>
          </cell>
          <cell r="E1536" t="str">
            <v>10009621</v>
          </cell>
          <cell r="F1536" t="str">
            <v>UF-4600i W</v>
          </cell>
          <cell r="G1536">
            <v>100000</v>
          </cell>
          <cell r="H1536" t="str">
            <v>Nacional</v>
          </cell>
          <cell r="I1536">
            <v>8</v>
          </cell>
          <cell r="J1536" t="str">
            <v>STD</v>
          </cell>
          <cell r="L1536">
            <v>33932.483034337194</v>
          </cell>
          <cell r="M1536">
            <v>1475.3253493190084</v>
          </cell>
          <cell r="O1536" t="str">
            <v>ADAPTADOR DE BOQUILLA Y CONO</v>
          </cell>
        </row>
        <row r="1537">
          <cell r="D1537" t="str">
            <v>HTJA040054</v>
          </cell>
          <cell r="E1537" t="str">
            <v>7056050202</v>
          </cell>
          <cell r="F1537" t="str">
            <v>A4 RF-91 Concept One</v>
          </cell>
          <cell r="G1537">
            <v>200000</v>
          </cell>
          <cell r="H1537" t="str">
            <v>Nacional</v>
          </cell>
          <cell r="I1537">
            <v>10</v>
          </cell>
          <cell r="J1537" t="str">
            <v>STD</v>
          </cell>
          <cell r="L1537">
            <v>0</v>
          </cell>
          <cell r="M1537">
            <v>0</v>
          </cell>
          <cell r="O1537" t="str">
            <v>POSTIZO DE CANAL</v>
          </cell>
        </row>
        <row r="1538">
          <cell r="D1538" t="str">
            <v>HTJA040054</v>
          </cell>
          <cell r="E1538" t="str">
            <v>7174050203</v>
          </cell>
          <cell r="F1538" t="str">
            <v>A4 RF-95</v>
          </cell>
          <cell r="G1538">
            <v>200000</v>
          </cell>
          <cell r="H1538" t="str">
            <v>Nacional</v>
          </cell>
          <cell r="I1538">
            <v>10</v>
          </cell>
          <cell r="J1538" t="str">
            <v>STD</v>
          </cell>
          <cell r="L1538">
            <v>8133.6</v>
          </cell>
          <cell r="M1538">
            <v>353.63478260869567</v>
          </cell>
          <cell r="O1538" t="str">
            <v>POSTIZO DE CANAL</v>
          </cell>
        </row>
        <row r="1539">
          <cell r="D1539" t="str">
            <v>HTJA040054</v>
          </cell>
          <cell r="E1539" t="str">
            <v>10019426</v>
          </cell>
          <cell r="F1539" t="str">
            <v>AC-1500i Honda 2NX / GMT</v>
          </cell>
          <cell r="G1539">
            <v>200000</v>
          </cell>
          <cell r="H1539" t="str">
            <v>Nacional</v>
          </cell>
          <cell r="I1539">
            <v>10</v>
          </cell>
          <cell r="J1539" t="str">
            <v>STD</v>
          </cell>
          <cell r="L1539">
            <v>32759.000000000004</v>
          </cell>
          <cell r="M1539">
            <v>1424.3043478260872</v>
          </cell>
          <cell r="O1539" t="str">
            <v>POSTIZO DE CANAL</v>
          </cell>
        </row>
        <row r="1540">
          <cell r="D1540" t="str">
            <v>HTJA040054</v>
          </cell>
          <cell r="E1540" t="str">
            <v>7479050219</v>
          </cell>
          <cell r="F1540" t="str">
            <v>AC-1700i FORD</v>
          </cell>
          <cell r="G1540">
            <v>200000</v>
          </cell>
          <cell r="H1540" t="str">
            <v>Nacional</v>
          </cell>
          <cell r="I1540">
            <v>10</v>
          </cell>
          <cell r="J1540" t="str">
            <v>STD</v>
          </cell>
          <cell r="L1540">
            <v>38420.799999999996</v>
          </cell>
          <cell r="M1540">
            <v>1670.4695652173912</v>
          </cell>
          <cell r="O1540" t="str">
            <v>POSTIZO DE CANAL</v>
          </cell>
        </row>
        <row r="1541">
          <cell r="D1541" t="str">
            <v>HTJA040054</v>
          </cell>
          <cell r="E1541" t="str">
            <v>8647050233</v>
          </cell>
          <cell r="F1541" t="str">
            <v>AC-2000i Honda Acura</v>
          </cell>
          <cell r="G1541">
            <v>200000</v>
          </cell>
          <cell r="H1541" t="str">
            <v>Nacional</v>
          </cell>
          <cell r="I1541">
            <v>10</v>
          </cell>
          <cell r="J1541" t="str">
            <v>STD</v>
          </cell>
          <cell r="L1541">
            <v>74729.200000000012</v>
          </cell>
          <cell r="M1541">
            <v>3249.0956521739135</v>
          </cell>
          <cell r="O1541" t="str">
            <v>POSTIZO DE CANAL</v>
          </cell>
        </row>
        <row r="1542">
          <cell r="D1542" t="str">
            <v>HTJA040054</v>
          </cell>
          <cell r="E1542" t="str">
            <v>10221803</v>
          </cell>
          <cell r="F1542" t="str">
            <v>AC-2300i Gamma Suv</v>
          </cell>
          <cell r="G1542">
            <v>200000</v>
          </cell>
          <cell r="H1542" t="str">
            <v>Nacional</v>
          </cell>
          <cell r="I1542">
            <v>10</v>
          </cell>
          <cell r="J1542" t="str">
            <v>STD</v>
          </cell>
          <cell r="L1542">
            <v>0</v>
          </cell>
          <cell r="M1542">
            <v>0</v>
          </cell>
          <cell r="O1542" t="str">
            <v>POSTIZO DE CANAL</v>
          </cell>
        </row>
        <row r="1543">
          <cell r="D1543" t="str">
            <v>HTJA040054</v>
          </cell>
          <cell r="E1543" t="str">
            <v>7324050215</v>
          </cell>
          <cell r="F1543" t="str">
            <v>AC-2300i PT-44</v>
          </cell>
          <cell r="G1543">
            <v>200000</v>
          </cell>
          <cell r="H1543" t="str">
            <v>Nacional</v>
          </cell>
          <cell r="I1543">
            <v>10</v>
          </cell>
          <cell r="J1543" t="str">
            <v>STD</v>
          </cell>
          <cell r="L1543">
            <v>58512.600000000006</v>
          </cell>
          <cell r="M1543">
            <v>2544.0260869565218</v>
          </cell>
          <cell r="O1543" t="str">
            <v>POSTIZO DE CANAL</v>
          </cell>
        </row>
        <row r="1544">
          <cell r="D1544" t="str">
            <v>HTJA040054</v>
          </cell>
          <cell r="E1544" t="str">
            <v>10001024R</v>
          </cell>
          <cell r="F1544" t="str">
            <v>AC-2600i Ford Escape</v>
          </cell>
          <cell r="G1544">
            <v>200000</v>
          </cell>
          <cell r="H1544" t="str">
            <v>Nacional</v>
          </cell>
          <cell r="I1544">
            <v>10</v>
          </cell>
          <cell r="J1544" t="str">
            <v>STD</v>
          </cell>
          <cell r="L1544">
            <v>59203</v>
          </cell>
          <cell r="M1544">
            <v>2574.0434782608695</v>
          </cell>
          <cell r="O1544" t="str">
            <v>POSTIZO DE CANAL</v>
          </cell>
        </row>
        <row r="1545">
          <cell r="D1545" t="str">
            <v>HTJA040054</v>
          </cell>
          <cell r="E1545" t="str">
            <v>7553050217</v>
          </cell>
          <cell r="F1545" t="str">
            <v>AC-2600i PT-Turbo</v>
          </cell>
          <cell r="G1545">
            <v>200000</v>
          </cell>
          <cell r="H1545" t="str">
            <v>Nacional</v>
          </cell>
          <cell r="I1545">
            <v>10</v>
          </cell>
          <cell r="J1545" t="str">
            <v>STD</v>
          </cell>
          <cell r="L1545">
            <v>37981.199999999997</v>
          </cell>
          <cell r="M1545">
            <v>1651.3565217391304</v>
          </cell>
          <cell r="O1545" t="str">
            <v>POSTIZO DE CANAL</v>
          </cell>
        </row>
        <row r="1546">
          <cell r="D1546" t="str">
            <v>HTJA040054</v>
          </cell>
          <cell r="E1546" t="str">
            <v>10054551</v>
          </cell>
          <cell r="F1546" t="str">
            <v>AC-2650 JC49 / GS PLT / DNA</v>
          </cell>
          <cell r="G1546">
            <v>200000</v>
          </cell>
          <cell r="H1546" t="str">
            <v>Nacional</v>
          </cell>
          <cell r="I1546">
            <v>10</v>
          </cell>
          <cell r="J1546" t="str">
            <v>STD</v>
          </cell>
          <cell r="L1546">
            <v>11932</v>
          </cell>
          <cell r="M1546">
            <v>518.78260869565213</v>
          </cell>
          <cell r="O1546" t="str">
            <v>POSTIZO DE CANAL</v>
          </cell>
        </row>
        <row r="1547">
          <cell r="D1547" t="str">
            <v>HTJA040054</v>
          </cell>
          <cell r="E1547" t="str">
            <v>00806342</v>
          </cell>
          <cell r="F1547" t="str">
            <v>AC-2900i VW</v>
          </cell>
          <cell r="G1547">
            <v>200000</v>
          </cell>
          <cell r="H1547" t="str">
            <v>Nacional</v>
          </cell>
          <cell r="I1547">
            <v>10</v>
          </cell>
          <cell r="J1547" t="str">
            <v>STD</v>
          </cell>
          <cell r="L1547">
            <v>23450.400000000001</v>
          </cell>
          <cell r="M1547">
            <v>1019.5826086956522</v>
          </cell>
          <cell r="O1547" t="str">
            <v>POSTIZO DE CANAL</v>
          </cell>
        </row>
        <row r="1548">
          <cell r="D1548" t="str">
            <v>HTJA040054</v>
          </cell>
          <cell r="E1548" t="str">
            <v>10019477T</v>
          </cell>
          <cell r="F1548" t="str">
            <v>AC-3300i FORD</v>
          </cell>
          <cell r="G1548">
            <v>200000</v>
          </cell>
          <cell r="H1548" t="str">
            <v>Nacional</v>
          </cell>
          <cell r="I1548">
            <v>10</v>
          </cell>
          <cell r="J1548" t="str">
            <v>STD</v>
          </cell>
          <cell r="L1548">
            <v>0</v>
          </cell>
          <cell r="M1548">
            <v>0</v>
          </cell>
          <cell r="O1548" t="str">
            <v>POSTIZO DE CANAL</v>
          </cell>
        </row>
        <row r="1549">
          <cell r="D1549" t="str">
            <v>HTJA040054</v>
          </cell>
          <cell r="E1549" t="str">
            <v>4302091005</v>
          </cell>
          <cell r="F1549" t="str">
            <v>C-2000 PL-BODY</v>
          </cell>
          <cell r="G1549">
            <v>200000</v>
          </cell>
          <cell r="H1549" t="str">
            <v>Nacional</v>
          </cell>
          <cell r="I1549">
            <v>10</v>
          </cell>
          <cell r="J1549" t="str">
            <v>STD</v>
          </cell>
          <cell r="L1549">
            <v>0</v>
          </cell>
          <cell r="M1549">
            <v>0</v>
          </cell>
          <cell r="O1549" t="str">
            <v>POSTIZO DE CANAL</v>
          </cell>
        </row>
        <row r="1550">
          <cell r="D1550" t="str">
            <v>HTJA040054</v>
          </cell>
          <cell r="E1550" t="str">
            <v>10060762</v>
          </cell>
          <cell r="F1550" t="str">
            <v>UF-2600i Ford Explorer</v>
          </cell>
          <cell r="G1550">
            <v>200000</v>
          </cell>
          <cell r="H1550" t="str">
            <v>Nacional</v>
          </cell>
          <cell r="I1550">
            <v>10</v>
          </cell>
          <cell r="J1550" t="str">
            <v>STD</v>
          </cell>
          <cell r="L1550">
            <v>0</v>
          </cell>
          <cell r="M1550">
            <v>0</v>
          </cell>
          <cell r="O1550" t="str">
            <v>POSTIZO DE CANAL</v>
          </cell>
        </row>
        <row r="1551">
          <cell r="D1551" t="str">
            <v>HTJA040054</v>
          </cell>
          <cell r="E1551" t="str">
            <v>00806088</v>
          </cell>
          <cell r="F1551" t="str">
            <v>UF-2600i Hyundai</v>
          </cell>
          <cell r="G1551">
            <v>200000</v>
          </cell>
          <cell r="H1551" t="str">
            <v>Nacional</v>
          </cell>
          <cell r="I1551">
            <v>10</v>
          </cell>
          <cell r="J1551" t="str">
            <v>STD</v>
          </cell>
          <cell r="L1551">
            <v>0</v>
          </cell>
          <cell r="M1551">
            <v>0</v>
          </cell>
          <cell r="O1551" t="str">
            <v>POSTIZO DE CANAL</v>
          </cell>
        </row>
        <row r="1552">
          <cell r="D1552" t="str">
            <v>HTJA040054</v>
          </cell>
          <cell r="E1552" t="str">
            <v>8152050226</v>
          </cell>
          <cell r="F1552" t="str">
            <v>UF-2600i PQ-35 VW</v>
          </cell>
          <cell r="G1552">
            <v>200000</v>
          </cell>
          <cell r="H1552" t="str">
            <v>Nacional</v>
          </cell>
          <cell r="I1552">
            <v>10</v>
          </cell>
          <cell r="J1552" t="str">
            <v>STD</v>
          </cell>
          <cell r="L1552">
            <v>38227.399999999994</v>
          </cell>
          <cell r="M1552">
            <v>1662.0608695652172</v>
          </cell>
          <cell r="O1552" t="str">
            <v>POSTIZO DE CANAL</v>
          </cell>
        </row>
        <row r="1553">
          <cell r="D1553" t="str">
            <v>HTJA040054</v>
          </cell>
          <cell r="E1553" t="str">
            <v>10018041</v>
          </cell>
          <cell r="F1553" t="str">
            <v>UF-3300i W</v>
          </cell>
          <cell r="G1553">
            <v>200000</v>
          </cell>
          <cell r="H1553" t="str">
            <v>Nacional</v>
          </cell>
          <cell r="I1553">
            <v>10</v>
          </cell>
          <cell r="J1553" t="str">
            <v>STD</v>
          </cell>
          <cell r="L1553">
            <v>13520.454678603319</v>
          </cell>
          <cell r="M1553">
            <v>587.84585559144864</v>
          </cell>
          <cell r="O1553" t="str">
            <v>POSTIZO DE CANAL</v>
          </cell>
        </row>
        <row r="1554">
          <cell r="D1554" t="str">
            <v>HTJA040054</v>
          </cell>
          <cell r="E1554" t="str">
            <v>7870050221</v>
          </cell>
          <cell r="F1554" t="str">
            <v>UF-3400 PQ-35 VW</v>
          </cell>
          <cell r="G1554">
            <v>200000</v>
          </cell>
          <cell r="H1554" t="str">
            <v>Nacional</v>
          </cell>
          <cell r="I1554">
            <v>10</v>
          </cell>
          <cell r="J1554" t="str">
            <v>STD</v>
          </cell>
          <cell r="L1554">
            <v>45592.200000000012</v>
          </cell>
          <cell r="M1554">
            <v>1982.2695652173918</v>
          </cell>
          <cell r="O1554" t="str">
            <v>POSTIZO DE CANAL</v>
          </cell>
        </row>
        <row r="1555">
          <cell r="D1555" t="str">
            <v>HTJA040054</v>
          </cell>
          <cell r="E1555" t="str">
            <v>10009621</v>
          </cell>
          <cell r="F1555" t="str">
            <v>UF-4600i W</v>
          </cell>
          <cell r="G1555">
            <v>200000</v>
          </cell>
          <cell r="H1555" t="str">
            <v>Nacional</v>
          </cell>
          <cell r="I1555">
            <v>10</v>
          </cell>
          <cell r="J1555" t="str">
            <v>STD</v>
          </cell>
          <cell r="L1555">
            <v>33932.483034337194</v>
          </cell>
          <cell r="M1555">
            <v>1475.3253493190084</v>
          </cell>
          <cell r="O1555" t="str">
            <v>POSTIZO DE CANAL</v>
          </cell>
        </row>
        <row r="1556">
          <cell r="D1556" t="str">
            <v>HTJA040055</v>
          </cell>
          <cell r="E1556" t="str">
            <v>7056050202</v>
          </cell>
          <cell r="F1556" t="str">
            <v>A4 RF-91 Concept One</v>
          </cell>
          <cell r="G1556">
            <v>200000</v>
          </cell>
          <cell r="H1556" t="str">
            <v>Nacional</v>
          </cell>
          <cell r="I1556">
            <v>10</v>
          </cell>
          <cell r="J1556" t="str">
            <v>STD</v>
          </cell>
          <cell r="L1556">
            <v>0</v>
          </cell>
          <cell r="M1556">
            <v>0</v>
          </cell>
          <cell r="O1556" t="str">
            <v>PLACA PORTA PUNZÓN</v>
          </cell>
        </row>
        <row r="1557">
          <cell r="D1557" t="str">
            <v>HTJA040055</v>
          </cell>
          <cell r="E1557" t="str">
            <v>7174050203</v>
          </cell>
          <cell r="F1557" t="str">
            <v>A4 RF-95</v>
          </cell>
          <cell r="G1557">
            <v>200000</v>
          </cell>
          <cell r="H1557" t="str">
            <v>Nacional</v>
          </cell>
          <cell r="I1557">
            <v>10</v>
          </cell>
          <cell r="J1557" t="str">
            <v>STD</v>
          </cell>
          <cell r="L1557">
            <v>8133.6</v>
          </cell>
          <cell r="M1557">
            <v>353.63478260869567</v>
          </cell>
          <cell r="O1557" t="str">
            <v>PLACA PORTA PUNZÓN</v>
          </cell>
        </row>
        <row r="1558">
          <cell r="D1558" t="str">
            <v>HTJA040055</v>
          </cell>
          <cell r="E1558" t="str">
            <v>10019426</v>
          </cell>
          <cell r="F1558" t="str">
            <v>AC-1500i Honda 2NX / GMT</v>
          </cell>
          <cell r="G1558">
            <v>200000</v>
          </cell>
          <cell r="H1558" t="str">
            <v>Nacional</v>
          </cell>
          <cell r="I1558">
            <v>10</v>
          </cell>
          <cell r="J1558" t="str">
            <v>STD</v>
          </cell>
          <cell r="L1558">
            <v>32759.000000000004</v>
          </cell>
          <cell r="M1558">
            <v>1424.3043478260872</v>
          </cell>
          <cell r="O1558" t="str">
            <v>PLACA PORTA PUNZÓN</v>
          </cell>
        </row>
        <row r="1559">
          <cell r="D1559" t="str">
            <v>HTJA040055</v>
          </cell>
          <cell r="E1559" t="str">
            <v>7479050219</v>
          </cell>
          <cell r="F1559" t="str">
            <v>AC-1700i FORD</v>
          </cell>
          <cell r="G1559">
            <v>200000</v>
          </cell>
          <cell r="H1559" t="str">
            <v>Nacional</v>
          </cell>
          <cell r="I1559">
            <v>10</v>
          </cell>
          <cell r="J1559" t="str">
            <v>STD</v>
          </cell>
          <cell r="L1559">
            <v>38420.799999999996</v>
          </cell>
          <cell r="M1559">
            <v>1670.4695652173912</v>
          </cell>
          <cell r="O1559" t="str">
            <v>PLACA PORTA PUNZÓN</v>
          </cell>
        </row>
        <row r="1560">
          <cell r="D1560" t="str">
            <v>HTJA040055</v>
          </cell>
          <cell r="E1560" t="str">
            <v>8647050233</v>
          </cell>
          <cell r="F1560" t="str">
            <v>AC-2000i Honda Acura</v>
          </cell>
          <cell r="G1560">
            <v>200000</v>
          </cell>
          <cell r="H1560" t="str">
            <v>Nacional</v>
          </cell>
          <cell r="I1560">
            <v>10</v>
          </cell>
          <cell r="J1560" t="str">
            <v>STD</v>
          </cell>
          <cell r="L1560">
            <v>74729.200000000012</v>
          </cell>
          <cell r="M1560">
            <v>3249.0956521739135</v>
          </cell>
          <cell r="O1560" t="str">
            <v>PLACA PORTA PUNZÓN</v>
          </cell>
        </row>
        <row r="1561">
          <cell r="D1561" t="str">
            <v>HTJA040055</v>
          </cell>
          <cell r="E1561" t="str">
            <v>10221803</v>
          </cell>
          <cell r="F1561" t="str">
            <v>AC-2300i Gamma Suv</v>
          </cell>
          <cell r="G1561">
            <v>200000</v>
          </cell>
          <cell r="H1561" t="str">
            <v>Nacional</v>
          </cell>
          <cell r="I1561">
            <v>10</v>
          </cell>
          <cell r="J1561" t="str">
            <v>STD</v>
          </cell>
          <cell r="L1561">
            <v>0</v>
          </cell>
          <cell r="M1561">
            <v>0</v>
          </cell>
          <cell r="O1561" t="str">
            <v>PLACA PORTA PUNZÓN</v>
          </cell>
        </row>
        <row r="1562">
          <cell r="D1562" t="str">
            <v>HTJA040055</v>
          </cell>
          <cell r="E1562" t="str">
            <v>7324050215</v>
          </cell>
          <cell r="F1562" t="str">
            <v>AC-2300i PT-44</v>
          </cell>
          <cell r="G1562">
            <v>200000</v>
          </cell>
          <cell r="H1562" t="str">
            <v>Nacional</v>
          </cell>
          <cell r="I1562">
            <v>10</v>
          </cell>
          <cell r="J1562" t="str">
            <v>STD</v>
          </cell>
          <cell r="L1562">
            <v>58512.600000000006</v>
          </cell>
          <cell r="M1562">
            <v>2544.0260869565218</v>
          </cell>
          <cell r="O1562" t="str">
            <v>PLACA PORTA PUNZÓN</v>
          </cell>
        </row>
        <row r="1563">
          <cell r="D1563" t="str">
            <v>HTJA040055</v>
          </cell>
          <cell r="E1563" t="str">
            <v>10001024R</v>
          </cell>
          <cell r="F1563" t="str">
            <v>AC-2600i Ford Escape</v>
          </cell>
          <cell r="G1563">
            <v>200000</v>
          </cell>
          <cell r="H1563" t="str">
            <v>Nacional</v>
          </cell>
          <cell r="I1563">
            <v>10</v>
          </cell>
          <cell r="J1563" t="str">
            <v>STD</v>
          </cell>
          <cell r="L1563">
            <v>59203</v>
          </cell>
          <cell r="M1563">
            <v>2574.0434782608695</v>
          </cell>
          <cell r="O1563" t="str">
            <v>PLACA PORTA PUNZÓN</v>
          </cell>
        </row>
        <row r="1564">
          <cell r="D1564" t="str">
            <v>HTJA040055</v>
          </cell>
          <cell r="E1564" t="str">
            <v>7553050217</v>
          </cell>
          <cell r="F1564" t="str">
            <v>AC-2600i PT-Turbo</v>
          </cell>
          <cell r="G1564">
            <v>200000</v>
          </cell>
          <cell r="H1564" t="str">
            <v>Nacional</v>
          </cell>
          <cell r="I1564">
            <v>10</v>
          </cell>
          <cell r="J1564" t="str">
            <v>STD</v>
          </cell>
          <cell r="L1564">
            <v>37981.199999999997</v>
          </cell>
          <cell r="M1564">
            <v>1651.3565217391304</v>
          </cell>
          <cell r="O1564" t="str">
            <v>PLACA PORTA PUNZÓN</v>
          </cell>
        </row>
        <row r="1565">
          <cell r="D1565" t="str">
            <v>HTJA040055</v>
          </cell>
          <cell r="E1565" t="str">
            <v>10054551</v>
          </cell>
          <cell r="F1565" t="str">
            <v>AC-2650 JC49 / GS PLT / DNA</v>
          </cell>
          <cell r="G1565">
            <v>200000</v>
          </cell>
          <cell r="H1565" t="str">
            <v>Nacional</v>
          </cell>
          <cell r="I1565">
            <v>10</v>
          </cell>
          <cell r="J1565" t="str">
            <v>STD</v>
          </cell>
          <cell r="L1565">
            <v>11932</v>
          </cell>
          <cell r="M1565">
            <v>518.78260869565213</v>
          </cell>
          <cell r="O1565" t="str">
            <v>PLACA PORTA PUNZÓN</v>
          </cell>
        </row>
        <row r="1566">
          <cell r="D1566" t="str">
            <v>HTJA040055</v>
          </cell>
          <cell r="E1566" t="str">
            <v>00806342</v>
          </cell>
          <cell r="F1566" t="str">
            <v>AC-2900i VW</v>
          </cell>
          <cell r="G1566">
            <v>200000</v>
          </cell>
          <cell r="H1566" t="str">
            <v>Nacional</v>
          </cell>
          <cell r="I1566">
            <v>10</v>
          </cell>
          <cell r="J1566" t="str">
            <v>STD</v>
          </cell>
          <cell r="L1566">
            <v>23450.400000000001</v>
          </cell>
          <cell r="M1566">
            <v>1019.5826086956522</v>
          </cell>
          <cell r="O1566" t="str">
            <v>PLACA PORTA PUNZÓN</v>
          </cell>
        </row>
        <row r="1567">
          <cell r="D1567" t="str">
            <v>HTJA040055</v>
          </cell>
          <cell r="E1567" t="str">
            <v>10019477T</v>
          </cell>
          <cell r="F1567" t="str">
            <v>AC-3300i FORD</v>
          </cell>
          <cell r="G1567">
            <v>200000</v>
          </cell>
          <cell r="H1567" t="str">
            <v>Nacional</v>
          </cell>
          <cell r="I1567">
            <v>10</v>
          </cell>
          <cell r="J1567" t="str">
            <v>STD</v>
          </cell>
          <cell r="L1567">
            <v>0</v>
          </cell>
          <cell r="M1567">
            <v>0</v>
          </cell>
          <cell r="O1567" t="str">
            <v>PLACA PORTA PUNZÓN</v>
          </cell>
        </row>
        <row r="1568">
          <cell r="D1568" t="str">
            <v>HTJA040055</v>
          </cell>
          <cell r="E1568" t="str">
            <v>4302091005</v>
          </cell>
          <cell r="F1568" t="str">
            <v>C-2000 PL-BODY</v>
          </cell>
          <cell r="G1568">
            <v>200000</v>
          </cell>
          <cell r="H1568" t="str">
            <v>Nacional</v>
          </cell>
          <cell r="I1568">
            <v>10</v>
          </cell>
          <cell r="J1568" t="str">
            <v>STD</v>
          </cell>
          <cell r="L1568">
            <v>0</v>
          </cell>
          <cell r="M1568">
            <v>0</v>
          </cell>
          <cell r="O1568" t="str">
            <v>PLACA PORTA PUNZÓN</v>
          </cell>
        </row>
        <row r="1569">
          <cell r="D1569" t="str">
            <v>HTJA040055</v>
          </cell>
          <cell r="E1569" t="str">
            <v>10060762</v>
          </cell>
          <cell r="F1569" t="str">
            <v>UF-2600i Ford Explorer</v>
          </cell>
          <cell r="G1569">
            <v>200000</v>
          </cell>
          <cell r="H1569" t="str">
            <v>Nacional</v>
          </cell>
          <cell r="I1569">
            <v>10</v>
          </cell>
          <cell r="J1569" t="str">
            <v>STD</v>
          </cell>
          <cell r="L1569">
            <v>0</v>
          </cell>
          <cell r="M1569">
            <v>0</v>
          </cell>
          <cell r="O1569" t="str">
            <v>PLACA PORTA PUNZÓN</v>
          </cell>
        </row>
        <row r="1570">
          <cell r="D1570" t="str">
            <v>HTJA040055</v>
          </cell>
          <cell r="E1570" t="str">
            <v>00806088</v>
          </cell>
          <cell r="F1570" t="str">
            <v>UF-2600i Hyundai</v>
          </cell>
          <cell r="G1570">
            <v>200000</v>
          </cell>
          <cell r="H1570" t="str">
            <v>Nacional</v>
          </cell>
          <cell r="I1570">
            <v>10</v>
          </cell>
          <cell r="J1570" t="str">
            <v>STD</v>
          </cell>
          <cell r="L1570">
            <v>0</v>
          </cell>
          <cell r="M1570">
            <v>0</v>
          </cell>
          <cell r="O1570" t="str">
            <v>PLACA PORTA PUNZÓN</v>
          </cell>
        </row>
        <row r="1571">
          <cell r="D1571" t="str">
            <v>HTJA040055</v>
          </cell>
          <cell r="E1571" t="str">
            <v>8152050226</v>
          </cell>
          <cell r="F1571" t="str">
            <v>UF-2600i PQ-35 VW</v>
          </cell>
          <cell r="G1571">
            <v>200000</v>
          </cell>
          <cell r="H1571" t="str">
            <v>Nacional</v>
          </cell>
          <cell r="I1571">
            <v>10</v>
          </cell>
          <cell r="J1571" t="str">
            <v>STD</v>
          </cell>
          <cell r="L1571">
            <v>38227.399999999994</v>
          </cell>
          <cell r="M1571">
            <v>1662.0608695652172</v>
          </cell>
          <cell r="O1571" t="str">
            <v>PLACA PORTA PUNZÓN</v>
          </cell>
        </row>
        <row r="1572">
          <cell r="D1572" t="str">
            <v>HTJA040055</v>
          </cell>
          <cell r="E1572" t="str">
            <v>10018041</v>
          </cell>
          <cell r="F1572" t="str">
            <v>UF-3300i W</v>
          </cell>
          <cell r="G1572">
            <v>200000</v>
          </cell>
          <cell r="H1572" t="str">
            <v>Nacional</v>
          </cell>
          <cell r="I1572">
            <v>10</v>
          </cell>
          <cell r="J1572" t="str">
            <v>STD</v>
          </cell>
          <cell r="L1572">
            <v>13520.454678603319</v>
          </cell>
          <cell r="M1572">
            <v>587.84585559144864</v>
          </cell>
          <cell r="O1572" t="str">
            <v>PLACA PORTA PUNZÓN</v>
          </cell>
        </row>
        <row r="1573">
          <cell r="D1573" t="str">
            <v>HTJA040055</v>
          </cell>
          <cell r="E1573" t="str">
            <v>7870050221</v>
          </cell>
          <cell r="F1573" t="str">
            <v>UF-3400 PQ-35 VW</v>
          </cell>
          <cell r="G1573">
            <v>200000</v>
          </cell>
          <cell r="H1573" t="str">
            <v>Nacional</v>
          </cell>
          <cell r="I1573">
            <v>10</v>
          </cell>
          <cell r="J1573" t="str">
            <v>STD</v>
          </cell>
          <cell r="L1573">
            <v>45592.200000000012</v>
          </cell>
          <cell r="M1573">
            <v>1982.2695652173918</v>
          </cell>
          <cell r="O1573" t="str">
            <v>PLACA PORTA PUNZÓN</v>
          </cell>
        </row>
        <row r="1574">
          <cell r="D1574" t="str">
            <v>HTJA040055</v>
          </cell>
          <cell r="E1574" t="str">
            <v>10009621</v>
          </cell>
          <cell r="F1574" t="str">
            <v>UF-4600i W</v>
          </cell>
          <cell r="G1574">
            <v>200000</v>
          </cell>
          <cell r="H1574" t="str">
            <v>Nacional</v>
          </cell>
          <cell r="I1574">
            <v>10</v>
          </cell>
          <cell r="J1574" t="str">
            <v>STD</v>
          </cell>
          <cell r="L1574">
            <v>33932.483034337194</v>
          </cell>
          <cell r="M1574">
            <v>1475.3253493190084</v>
          </cell>
          <cell r="O1574" t="str">
            <v>PLACA PORTA PUNZÓN</v>
          </cell>
        </row>
        <row r="1575">
          <cell r="D1575" t="str">
            <v>HTJA040248</v>
          </cell>
          <cell r="E1575" t="str">
            <v>10009621</v>
          </cell>
          <cell r="F1575" t="str">
            <v>UF-4600i W</v>
          </cell>
          <cell r="G1575">
            <v>20000</v>
          </cell>
          <cell r="H1575" t="str">
            <v>Nacional</v>
          </cell>
          <cell r="I1575">
            <v>10</v>
          </cell>
          <cell r="J1575" t="str">
            <v>UF-4600</v>
          </cell>
          <cell r="L1575">
            <v>33932.483034337194</v>
          </cell>
          <cell r="M1575">
            <v>1475.3253493190084</v>
          </cell>
          <cell r="O1575" t="str">
            <v>PORTA PUNZÓN LARGO</v>
          </cell>
        </row>
        <row r="1576">
          <cell r="D1576" t="str">
            <v>HTJA040301</v>
          </cell>
          <cell r="E1576" t="str">
            <v>10054551</v>
          </cell>
          <cell r="F1576" t="str">
            <v>AC-2650 JC49 / GS PLT / DNA</v>
          </cell>
          <cell r="G1576">
            <v>25000</v>
          </cell>
          <cell r="H1576" t="str">
            <v>Nacional</v>
          </cell>
          <cell r="I1576">
            <v>10</v>
          </cell>
          <cell r="J1576" t="str">
            <v>AC-2650</v>
          </cell>
          <cell r="L1576">
            <v>11932</v>
          </cell>
          <cell r="M1576">
            <v>518.78260869565213</v>
          </cell>
          <cell r="O1576" t="str">
            <v>PORTA PUNZÓN CORTO</v>
          </cell>
        </row>
        <row r="1577">
          <cell r="D1577" t="str">
            <v>HTJA040057</v>
          </cell>
          <cell r="E1577" t="str">
            <v>8647050233</v>
          </cell>
          <cell r="F1577" t="str">
            <v>AC-2000i Honda Acura</v>
          </cell>
          <cell r="G1577">
            <v>200000</v>
          </cell>
          <cell r="H1577" t="str">
            <v>Nacional</v>
          </cell>
          <cell r="I1577">
            <v>8</v>
          </cell>
          <cell r="J1577" t="str">
            <v>AC-2000i</v>
          </cell>
          <cell r="L1577">
            <v>74729.200000000012</v>
          </cell>
          <cell r="M1577">
            <v>3249.0956521739135</v>
          </cell>
          <cell r="O1577" t="str">
            <v>PLACA CIRCULAR DE DESCARGA</v>
          </cell>
        </row>
        <row r="1578">
          <cell r="D1578" t="str">
            <v>HTJA040058</v>
          </cell>
          <cell r="E1578" t="str">
            <v>10221803</v>
          </cell>
          <cell r="F1578" t="str">
            <v>AC-2300i Gamma Suv</v>
          </cell>
          <cell r="G1578">
            <v>200000</v>
          </cell>
          <cell r="H1578" t="str">
            <v>Nacional</v>
          </cell>
          <cell r="I1578">
            <v>8</v>
          </cell>
          <cell r="J1578" t="str">
            <v>AC-2300i</v>
          </cell>
          <cell r="L1578">
            <v>0</v>
          </cell>
          <cell r="M1578">
            <v>0</v>
          </cell>
          <cell r="O1578" t="str">
            <v>PLATO DE APOYO PARA RODAMIENTO</v>
          </cell>
        </row>
        <row r="1579">
          <cell r="D1579" t="str">
            <v>HTJA040058</v>
          </cell>
          <cell r="E1579" t="str">
            <v>7324050215</v>
          </cell>
          <cell r="F1579" t="str">
            <v>AC-2300i PT-44</v>
          </cell>
          <cell r="G1579">
            <v>200000</v>
          </cell>
          <cell r="H1579" t="str">
            <v>Nacional</v>
          </cell>
          <cell r="I1579">
            <v>8</v>
          </cell>
          <cell r="J1579" t="str">
            <v>AC-2300i</v>
          </cell>
          <cell r="L1579">
            <v>58512.600000000006</v>
          </cell>
          <cell r="M1579">
            <v>2544.0260869565218</v>
          </cell>
          <cell r="O1579" t="str">
            <v>PLATO DE APOYO PARA RODAMIENTO</v>
          </cell>
        </row>
        <row r="1580">
          <cell r="D1580" t="str">
            <v>HTJA040059</v>
          </cell>
          <cell r="E1580" t="str">
            <v>10221803</v>
          </cell>
          <cell r="F1580" t="str">
            <v>AC-2300i Gamma Suv</v>
          </cell>
          <cell r="G1580">
            <v>200000</v>
          </cell>
          <cell r="H1580" t="str">
            <v>Nacional</v>
          </cell>
          <cell r="I1580">
            <v>8</v>
          </cell>
          <cell r="J1580" t="str">
            <v>AC-2300i</v>
          </cell>
          <cell r="L1580">
            <v>0</v>
          </cell>
          <cell r="M1580">
            <v>0</v>
          </cell>
          <cell r="O1580" t="str">
            <v>PLACA CIRCULAR DE DESCARGA</v>
          </cell>
        </row>
        <row r="1581">
          <cell r="D1581" t="str">
            <v>HTJA040059</v>
          </cell>
          <cell r="E1581" t="str">
            <v>7324050215</v>
          </cell>
          <cell r="F1581" t="str">
            <v>AC-2300i PT-44</v>
          </cell>
          <cell r="G1581">
            <v>200000</v>
          </cell>
          <cell r="H1581" t="str">
            <v>Nacional</v>
          </cell>
          <cell r="I1581">
            <v>8</v>
          </cell>
          <cell r="J1581" t="str">
            <v>AC-2300i</v>
          </cell>
          <cell r="L1581">
            <v>58512.600000000006</v>
          </cell>
          <cell r="M1581">
            <v>2544.0260869565218</v>
          </cell>
          <cell r="O1581" t="str">
            <v>PLACA CIRCULAR DE DESCARGA</v>
          </cell>
        </row>
        <row r="1582">
          <cell r="D1582" t="str">
            <v>HTJA040059</v>
          </cell>
          <cell r="E1582" t="str">
            <v>7324050215</v>
          </cell>
          <cell r="F1582" t="str">
            <v>AC-2300i PT-44</v>
          </cell>
          <cell r="G1582">
            <v>200000</v>
          </cell>
          <cell r="H1582" t="str">
            <v>Nacional</v>
          </cell>
          <cell r="I1582">
            <v>8</v>
          </cell>
          <cell r="J1582" t="str">
            <v>AC-2300i</v>
          </cell>
          <cell r="L1582">
            <v>58512.600000000006</v>
          </cell>
          <cell r="M1582">
            <v>2544.0260869565218</v>
          </cell>
          <cell r="O1582" t="str">
            <v>PLATO DE APOYO PARA RODAMIENTO</v>
          </cell>
        </row>
        <row r="1583">
          <cell r="D1583" t="str">
            <v>HTJA040306</v>
          </cell>
          <cell r="E1583" t="str">
            <v>10019477T</v>
          </cell>
          <cell r="F1583" t="str">
            <v>AC-3300i FORD</v>
          </cell>
          <cell r="G1583">
            <v>20000</v>
          </cell>
          <cell r="H1583" t="str">
            <v>Nacional</v>
          </cell>
          <cell r="I1583">
            <v>18</v>
          </cell>
          <cell r="J1583" t="str">
            <v>AC 3300i</v>
          </cell>
          <cell r="L1583">
            <v>0</v>
          </cell>
          <cell r="M1583">
            <v>0</v>
          </cell>
          <cell r="O1583" t="str">
            <v>PORTA PUNZÓN CORTO</v>
          </cell>
        </row>
        <row r="1584">
          <cell r="D1584" t="str">
            <v>HTJA040001</v>
          </cell>
          <cell r="E1584" t="str">
            <v>10019426</v>
          </cell>
          <cell r="F1584" t="str">
            <v>AC-1500i Honda 2NX / GMT</v>
          </cell>
          <cell r="G1584">
            <v>8000</v>
          </cell>
          <cell r="H1584" t="str">
            <v>Nacional</v>
          </cell>
          <cell r="I1584">
            <v>11</v>
          </cell>
          <cell r="J1584" t="str">
            <v>AC-1500i</v>
          </cell>
          <cell r="L1584">
            <v>32759.000000000004</v>
          </cell>
          <cell r="M1584">
            <v>1424.3043478260872</v>
          </cell>
          <cell r="O1584" t="str">
            <v>PORTA PUNZÓN CORTO</v>
          </cell>
        </row>
        <row r="1585">
          <cell r="D1585" t="str">
            <v>HTJA040061</v>
          </cell>
          <cell r="E1585" t="str">
            <v>10221803</v>
          </cell>
          <cell r="F1585" t="str">
            <v>AC-2300i Gamma Suv</v>
          </cell>
          <cell r="G1585">
            <v>5000</v>
          </cell>
          <cell r="H1585" t="str">
            <v>Nacional</v>
          </cell>
          <cell r="I1585">
            <v>6</v>
          </cell>
          <cell r="J1585" t="str">
            <v>AC-2300i</v>
          </cell>
          <cell r="L1585">
            <v>0</v>
          </cell>
          <cell r="M1585">
            <v>0</v>
          </cell>
          <cell r="O1585" t="str">
            <v>MATRIZ</v>
          </cell>
        </row>
        <row r="1586">
          <cell r="D1586" t="str">
            <v>HTJA040061</v>
          </cell>
          <cell r="E1586" t="str">
            <v>7324050215</v>
          </cell>
          <cell r="F1586" t="str">
            <v>AC-2300i PT-44</v>
          </cell>
          <cell r="G1586">
            <v>5000</v>
          </cell>
          <cell r="H1586" t="str">
            <v>Nacional</v>
          </cell>
          <cell r="I1586">
            <v>6</v>
          </cell>
          <cell r="J1586" t="str">
            <v>AC-2300i</v>
          </cell>
          <cell r="L1586">
            <v>58512.600000000006</v>
          </cell>
          <cell r="M1586">
            <v>2544.0260869565218</v>
          </cell>
          <cell r="O1586" t="str">
            <v>MATRIZ</v>
          </cell>
        </row>
        <row r="1587">
          <cell r="D1587" t="str">
            <v>HTJA040062</v>
          </cell>
          <cell r="E1587" t="str">
            <v>7553050217</v>
          </cell>
          <cell r="F1587" t="str">
            <v>AC-2600i PT-Turbo</v>
          </cell>
          <cell r="G1587">
            <v>200000</v>
          </cell>
          <cell r="H1587" t="str">
            <v>Nacional</v>
          </cell>
          <cell r="I1587">
            <v>8</v>
          </cell>
          <cell r="J1587" t="str">
            <v>AC-2600i</v>
          </cell>
          <cell r="L1587">
            <v>37981.199999999997</v>
          </cell>
          <cell r="M1587">
            <v>1651.3565217391304</v>
          </cell>
          <cell r="O1587" t="str">
            <v>PLATO DE APOYO PARA RODAMIENTO</v>
          </cell>
        </row>
        <row r="1588">
          <cell r="D1588" t="str">
            <v>HTJA040062</v>
          </cell>
          <cell r="E1588" t="str">
            <v>10001024R</v>
          </cell>
          <cell r="F1588" t="str">
            <v>AC-2600i Ford Escape</v>
          </cell>
          <cell r="G1588">
            <v>200000</v>
          </cell>
          <cell r="H1588" t="str">
            <v>Nacional</v>
          </cell>
          <cell r="I1588">
            <v>8</v>
          </cell>
          <cell r="J1588" t="str">
            <v>AC-2600i</v>
          </cell>
          <cell r="L1588">
            <v>59203</v>
          </cell>
          <cell r="M1588">
            <v>2574.0434782608695</v>
          </cell>
          <cell r="O1588" t="str">
            <v>PLATO DE APOYO PARA RODAMIENTO</v>
          </cell>
        </row>
        <row r="1589">
          <cell r="D1589" t="str">
            <v>HTJA040063</v>
          </cell>
          <cell r="E1589" t="str">
            <v>7553050217</v>
          </cell>
          <cell r="F1589" t="str">
            <v>AC-2600i PT-Turbo</v>
          </cell>
          <cell r="G1589">
            <v>200000</v>
          </cell>
          <cell r="H1589" t="str">
            <v>Nacional</v>
          </cell>
          <cell r="I1589">
            <v>8</v>
          </cell>
          <cell r="J1589" t="str">
            <v>AC-2600i</v>
          </cell>
          <cell r="L1589">
            <v>37981.199999999997</v>
          </cell>
          <cell r="M1589">
            <v>1651.3565217391304</v>
          </cell>
          <cell r="O1589" t="str">
            <v>PLACA CIRCULAR DE DESCARGA</v>
          </cell>
        </row>
        <row r="1590">
          <cell r="D1590" t="str">
            <v>HTJA040063</v>
          </cell>
          <cell r="E1590" t="str">
            <v>10001024R</v>
          </cell>
          <cell r="F1590" t="str">
            <v>AC-2600i Ford Escape</v>
          </cell>
          <cell r="G1590">
            <v>200000</v>
          </cell>
          <cell r="H1590" t="str">
            <v>Nacional</v>
          </cell>
          <cell r="I1590">
            <v>8</v>
          </cell>
          <cell r="J1590" t="str">
            <v>AC-2600i</v>
          </cell>
          <cell r="L1590">
            <v>59203</v>
          </cell>
          <cell r="M1590">
            <v>2574.0434782608695</v>
          </cell>
          <cell r="O1590" t="str">
            <v>PLACA CIRCULAR DE DESCARGA</v>
          </cell>
        </row>
        <row r="1591">
          <cell r="D1591" t="str">
            <v>HTJA040001</v>
          </cell>
          <cell r="E1591" t="str">
            <v>7479050219</v>
          </cell>
          <cell r="F1591" t="str">
            <v>AC-1700i FORD</v>
          </cell>
          <cell r="G1591">
            <v>8000</v>
          </cell>
          <cell r="H1591" t="str">
            <v>Nacional</v>
          </cell>
          <cell r="I1591">
            <v>11</v>
          </cell>
          <cell r="J1591" t="str">
            <v>AC-1700i</v>
          </cell>
          <cell r="L1591">
            <v>38420.799999999996</v>
          </cell>
          <cell r="M1591">
            <v>1670.4695652173912</v>
          </cell>
          <cell r="O1591" t="str">
            <v>PORTA PUNZÓN CORTO</v>
          </cell>
        </row>
        <row r="1592">
          <cell r="D1592" t="str">
            <v>HTJA040065</v>
          </cell>
          <cell r="E1592" t="str">
            <v>10019477T</v>
          </cell>
          <cell r="F1592" t="str">
            <v>AC-3300i FORD</v>
          </cell>
          <cell r="G1592">
            <v>10000</v>
          </cell>
          <cell r="H1592" t="str">
            <v>Nacional</v>
          </cell>
          <cell r="I1592">
            <v>8</v>
          </cell>
          <cell r="J1592" t="str">
            <v>AC 3300i</v>
          </cell>
          <cell r="L1592">
            <v>0</v>
          </cell>
          <cell r="M1592">
            <v>0</v>
          </cell>
          <cell r="O1592" t="str">
            <v>PLATO DE APOYO PARA RODAMIENTO</v>
          </cell>
        </row>
        <row r="1593">
          <cell r="D1593" t="str">
            <v>HTJA040066</v>
          </cell>
          <cell r="E1593" t="str">
            <v>10019477T</v>
          </cell>
          <cell r="F1593" t="str">
            <v>AC-3300i FORD</v>
          </cell>
          <cell r="G1593">
            <v>10000</v>
          </cell>
          <cell r="H1593" t="str">
            <v>Nacional</v>
          </cell>
          <cell r="I1593">
            <v>8</v>
          </cell>
          <cell r="J1593" t="str">
            <v>AC 3300i</v>
          </cell>
          <cell r="L1593">
            <v>0</v>
          </cell>
          <cell r="M1593">
            <v>0</v>
          </cell>
          <cell r="O1593" t="str">
            <v>PLACA CIRCULAR DE DESCARGA</v>
          </cell>
        </row>
        <row r="1594">
          <cell r="D1594" t="str">
            <v>HTJA040067</v>
          </cell>
          <cell r="E1594" t="str">
            <v>4302091005</v>
          </cell>
          <cell r="F1594" t="str">
            <v>C-2000 PL-BODY</v>
          </cell>
          <cell r="G1594">
            <v>8000</v>
          </cell>
          <cell r="H1594" t="str">
            <v>Nacional</v>
          </cell>
          <cell r="I1594">
            <v>6</v>
          </cell>
          <cell r="J1594" t="str">
            <v>C-2000</v>
          </cell>
          <cell r="L1594">
            <v>0</v>
          </cell>
          <cell r="M1594">
            <v>0</v>
          </cell>
          <cell r="O1594" t="str">
            <v>BOQUILLA TRES DEDOS</v>
          </cell>
        </row>
        <row r="1595">
          <cell r="D1595" t="str">
            <v>HTJA040006</v>
          </cell>
          <cell r="E1595" t="str">
            <v>7870050221</v>
          </cell>
          <cell r="F1595" t="str">
            <v>UF-3400 PQ-35 VW</v>
          </cell>
          <cell r="G1595">
            <v>8000</v>
          </cell>
          <cell r="H1595" t="str">
            <v>Nacional</v>
          </cell>
          <cell r="I1595">
            <v>10</v>
          </cell>
          <cell r="J1595" t="str">
            <v>UF-3400</v>
          </cell>
          <cell r="L1595">
            <v>45592.200000000012</v>
          </cell>
          <cell r="M1595">
            <v>1982.2695652173918</v>
          </cell>
          <cell r="O1595" t="str">
            <v>PORTA PUNZÓN CORTO</v>
          </cell>
        </row>
        <row r="1596">
          <cell r="D1596" t="str">
            <v>HTJA040064</v>
          </cell>
          <cell r="E1596" t="str">
            <v>10019477T</v>
          </cell>
          <cell r="F1596" t="str">
            <v>AC-3300i FORD</v>
          </cell>
          <cell r="G1596">
            <v>8000</v>
          </cell>
          <cell r="H1596" t="str">
            <v>Nacional</v>
          </cell>
          <cell r="I1596">
            <v>11</v>
          </cell>
          <cell r="J1596" t="str">
            <v>AC 3300i</v>
          </cell>
          <cell r="L1596">
            <v>0</v>
          </cell>
          <cell r="M1596">
            <v>0</v>
          </cell>
          <cell r="O1596" t="str">
            <v>PORTA PUNZÓN LARGO</v>
          </cell>
        </row>
        <row r="1597">
          <cell r="D1597" t="str">
            <v>HTJA040130</v>
          </cell>
          <cell r="E1597" t="str">
            <v>10060480</v>
          </cell>
          <cell r="F1597" t="str">
            <v>UF-2650 / UF 2500</v>
          </cell>
          <cell r="G1597">
            <v>8000</v>
          </cell>
          <cell r="H1597" t="str">
            <v>Nacional</v>
          </cell>
          <cell r="I1597">
            <v>11</v>
          </cell>
          <cell r="J1597" t="str">
            <v>UF-2650</v>
          </cell>
          <cell r="L1597">
            <v>58</v>
          </cell>
          <cell r="M1597">
            <v>2.5217391304347827</v>
          </cell>
          <cell r="O1597" t="str">
            <v>PORTA PUNZÓN CORTO</v>
          </cell>
        </row>
        <row r="1598">
          <cell r="D1598" t="str">
            <v>HTJA040069</v>
          </cell>
          <cell r="E1598" t="str">
            <v>10060762</v>
          </cell>
          <cell r="F1598" t="str">
            <v>UF-2600i Ford Explorer</v>
          </cell>
          <cell r="G1598">
            <v>100000</v>
          </cell>
          <cell r="H1598" t="str">
            <v>Nacional</v>
          </cell>
          <cell r="I1598">
            <v>10</v>
          </cell>
          <cell r="J1598" t="str">
            <v>UF-2600i</v>
          </cell>
          <cell r="L1598">
            <v>0</v>
          </cell>
          <cell r="M1598">
            <v>0</v>
          </cell>
          <cell r="O1598" t="str">
            <v>PLATO DE APOYO PARA RODAMIENTO</v>
          </cell>
        </row>
        <row r="1599">
          <cell r="D1599" t="str">
            <v>HTJA040069</v>
          </cell>
          <cell r="E1599" t="str">
            <v>00806088</v>
          </cell>
          <cell r="F1599" t="str">
            <v>UF-2600i Hyundai</v>
          </cell>
          <cell r="G1599">
            <v>100000</v>
          </cell>
          <cell r="H1599" t="str">
            <v>Nacional</v>
          </cell>
          <cell r="I1599">
            <v>10</v>
          </cell>
          <cell r="J1599" t="str">
            <v>UF-2600i</v>
          </cell>
          <cell r="L1599">
            <v>0</v>
          </cell>
          <cell r="M1599">
            <v>0</v>
          </cell>
          <cell r="O1599" t="str">
            <v>PLATO DE APOYO PARA RODAMIENTO</v>
          </cell>
        </row>
        <row r="1600">
          <cell r="D1600" t="str">
            <v>HTJA040069</v>
          </cell>
          <cell r="E1600" t="str">
            <v>8152050226</v>
          </cell>
          <cell r="F1600" t="str">
            <v>UF-2600i PQ-35 VW</v>
          </cell>
          <cell r="G1600">
            <v>100000</v>
          </cell>
          <cell r="H1600" t="str">
            <v>Nacional</v>
          </cell>
          <cell r="I1600">
            <v>10</v>
          </cell>
          <cell r="J1600" t="str">
            <v>UF-2600i</v>
          </cell>
          <cell r="L1600">
            <v>38227.399999999994</v>
          </cell>
          <cell r="M1600">
            <v>1662.0608695652172</v>
          </cell>
          <cell r="O1600" t="str">
            <v>PLATO DE APOYO PARA RODAMIENTO</v>
          </cell>
        </row>
        <row r="1601">
          <cell r="D1601" t="str">
            <v>HTJA040070</v>
          </cell>
          <cell r="E1601" t="str">
            <v>7056050202</v>
          </cell>
          <cell r="F1601" t="str">
            <v>A4 RF-91 Concept One</v>
          </cell>
          <cell r="G1601">
            <v>200000</v>
          </cell>
          <cell r="H1601" t="str">
            <v>Nacional</v>
          </cell>
          <cell r="I1601">
            <v>10</v>
          </cell>
          <cell r="J1601" t="str">
            <v>STD</v>
          </cell>
          <cell r="L1601">
            <v>0</v>
          </cell>
          <cell r="M1601">
            <v>0</v>
          </cell>
          <cell r="O1601" t="str">
            <v>PLACA DE SUJECIÓN DE PORTA PUNZÓN</v>
          </cell>
        </row>
        <row r="1602">
          <cell r="D1602" t="str">
            <v>HTJA040070</v>
          </cell>
          <cell r="E1602" t="str">
            <v>7174050203</v>
          </cell>
          <cell r="F1602" t="str">
            <v>A4 RF-95</v>
          </cell>
          <cell r="G1602">
            <v>200000</v>
          </cell>
          <cell r="H1602" t="str">
            <v>Nacional</v>
          </cell>
          <cell r="I1602">
            <v>10</v>
          </cell>
          <cell r="J1602" t="str">
            <v>STD</v>
          </cell>
          <cell r="L1602">
            <v>8133.6</v>
          </cell>
          <cell r="M1602">
            <v>353.63478260869567</v>
          </cell>
          <cell r="O1602" t="str">
            <v>PLACA DE SUJECIÓN DE PORTA PUNZÓN</v>
          </cell>
        </row>
        <row r="1603">
          <cell r="D1603" t="str">
            <v>HTJA040070</v>
          </cell>
          <cell r="E1603" t="str">
            <v>10019426</v>
          </cell>
          <cell r="F1603" t="str">
            <v>AC-1500i Honda 2NX / GMT</v>
          </cell>
          <cell r="G1603">
            <v>200000</v>
          </cell>
          <cell r="H1603" t="str">
            <v>Nacional</v>
          </cell>
          <cell r="I1603">
            <v>10</v>
          </cell>
          <cell r="J1603" t="str">
            <v>STD</v>
          </cell>
          <cell r="L1603">
            <v>32759.000000000004</v>
          </cell>
          <cell r="M1603">
            <v>1424.3043478260872</v>
          </cell>
          <cell r="O1603" t="str">
            <v>PLACA DE SUJECIÓN DE PORTA PUNZÓN</v>
          </cell>
        </row>
        <row r="1604">
          <cell r="D1604" t="str">
            <v>HTJA040070</v>
          </cell>
          <cell r="E1604" t="str">
            <v>7479050219</v>
          </cell>
          <cell r="F1604" t="str">
            <v>AC-1700i FORD</v>
          </cell>
          <cell r="G1604">
            <v>200000</v>
          </cell>
          <cell r="H1604" t="str">
            <v>Nacional</v>
          </cell>
          <cell r="I1604">
            <v>10</v>
          </cell>
          <cell r="J1604" t="str">
            <v>STD</v>
          </cell>
          <cell r="L1604">
            <v>38420.799999999996</v>
          </cell>
          <cell r="M1604">
            <v>1670.4695652173912</v>
          </cell>
          <cell r="O1604" t="str">
            <v>PLACA DE SUJECIÓN DE PORTA PUNZÓN</v>
          </cell>
        </row>
        <row r="1605">
          <cell r="D1605" t="str">
            <v>HTJA040070</v>
          </cell>
          <cell r="E1605" t="str">
            <v>8647050233</v>
          </cell>
          <cell r="F1605" t="str">
            <v>AC-2000i Honda Acura</v>
          </cell>
          <cell r="G1605">
            <v>200000</v>
          </cell>
          <cell r="H1605" t="str">
            <v>Nacional</v>
          </cell>
          <cell r="I1605">
            <v>10</v>
          </cell>
          <cell r="J1605" t="str">
            <v>STD</v>
          </cell>
          <cell r="L1605">
            <v>74729.200000000012</v>
          </cell>
          <cell r="M1605">
            <v>3249.0956521739135</v>
          </cell>
          <cell r="O1605" t="str">
            <v>PLACA DE SUJECIÓN DE PORTA PUNZÓN</v>
          </cell>
        </row>
        <row r="1606">
          <cell r="D1606" t="str">
            <v>HTJA040070</v>
          </cell>
          <cell r="E1606" t="str">
            <v>10221803</v>
          </cell>
          <cell r="F1606" t="str">
            <v>AC-2300i Gamma Suv</v>
          </cell>
          <cell r="G1606">
            <v>200000</v>
          </cell>
          <cell r="H1606" t="str">
            <v>Nacional</v>
          </cell>
          <cell r="I1606">
            <v>10</v>
          </cell>
          <cell r="J1606" t="str">
            <v>STD</v>
          </cell>
          <cell r="L1606">
            <v>0</v>
          </cell>
          <cell r="M1606">
            <v>0</v>
          </cell>
          <cell r="O1606" t="str">
            <v>PLACA DE SUJECIÓN DE PORTA PUNZÓN</v>
          </cell>
        </row>
        <row r="1607">
          <cell r="D1607" t="str">
            <v>HTJA040070</v>
          </cell>
          <cell r="E1607" t="str">
            <v>7324050215</v>
          </cell>
          <cell r="F1607" t="str">
            <v>AC-2300i PT-44</v>
          </cell>
          <cell r="G1607">
            <v>200000</v>
          </cell>
          <cell r="H1607" t="str">
            <v>Nacional</v>
          </cell>
          <cell r="I1607">
            <v>10</v>
          </cell>
          <cell r="J1607" t="str">
            <v>STD</v>
          </cell>
          <cell r="L1607">
            <v>58512.600000000006</v>
          </cell>
          <cell r="M1607">
            <v>2544.0260869565218</v>
          </cell>
          <cell r="O1607" t="str">
            <v>PLACA DE SUJECIÓN DE PORTA PUNZÓN</v>
          </cell>
        </row>
        <row r="1608">
          <cell r="D1608" t="str">
            <v>HTJA040070</v>
          </cell>
          <cell r="E1608" t="str">
            <v>10001024R</v>
          </cell>
          <cell r="F1608" t="str">
            <v>AC-2600i Ford Escape</v>
          </cell>
          <cell r="G1608">
            <v>200000</v>
          </cell>
          <cell r="H1608" t="str">
            <v>Nacional</v>
          </cell>
          <cell r="I1608">
            <v>10</v>
          </cell>
          <cell r="J1608" t="str">
            <v>STD</v>
          </cell>
          <cell r="L1608">
            <v>59203</v>
          </cell>
          <cell r="M1608">
            <v>2574.0434782608695</v>
          </cell>
          <cell r="O1608" t="str">
            <v>PLACA DE SUJECIÓN DE PORTA PUNZÓN</v>
          </cell>
        </row>
        <row r="1609">
          <cell r="D1609" t="str">
            <v>HTJA040070</v>
          </cell>
          <cell r="E1609" t="str">
            <v>7553050217</v>
          </cell>
          <cell r="F1609" t="str">
            <v>AC-2600i PT-Turbo</v>
          </cell>
          <cell r="G1609">
            <v>200000</v>
          </cell>
          <cell r="H1609" t="str">
            <v>Nacional</v>
          </cell>
          <cell r="I1609">
            <v>10</v>
          </cell>
          <cell r="J1609" t="str">
            <v>STD</v>
          </cell>
          <cell r="L1609">
            <v>37981.199999999997</v>
          </cell>
          <cell r="M1609">
            <v>1651.3565217391304</v>
          </cell>
          <cell r="O1609" t="str">
            <v>PLACA DE SUJECIÓN DE PORTA PUNZÓN</v>
          </cell>
        </row>
        <row r="1610">
          <cell r="D1610" t="str">
            <v>HTJA040070</v>
          </cell>
          <cell r="E1610" t="str">
            <v>10054551</v>
          </cell>
          <cell r="F1610" t="str">
            <v>AC-2650 JC49 / GS PLT / DNA</v>
          </cell>
          <cell r="G1610">
            <v>200000</v>
          </cell>
          <cell r="H1610" t="str">
            <v>Nacional</v>
          </cell>
          <cell r="I1610">
            <v>10</v>
          </cell>
          <cell r="J1610" t="str">
            <v>STD</v>
          </cell>
          <cell r="L1610">
            <v>11932</v>
          </cell>
          <cell r="M1610">
            <v>518.78260869565213</v>
          </cell>
          <cell r="O1610" t="str">
            <v>PLACA DE SUJECIÓN DE PORTA PUNZÓN</v>
          </cell>
        </row>
        <row r="1611">
          <cell r="D1611" t="str">
            <v>HTJA040070</v>
          </cell>
          <cell r="E1611" t="str">
            <v>00806342</v>
          </cell>
          <cell r="F1611" t="str">
            <v>AC-2900i VW</v>
          </cell>
          <cell r="G1611">
            <v>200000</v>
          </cell>
          <cell r="H1611" t="str">
            <v>Nacional</v>
          </cell>
          <cell r="I1611">
            <v>10</v>
          </cell>
          <cell r="J1611" t="str">
            <v>STD</v>
          </cell>
          <cell r="L1611">
            <v>23450.400000000001</v>
          </cell>
          <cell r="M1611">
            <v>1019.5826086956522</v>
          </cell>
          <cell r="O1611" t="str">
            <v>PLACA DE SUJECIÓN DE PORTA PUNZÓN</v>
          </cell>
        </row>
        <row r="1612">
          <cell r="D1612" t="str">
            <v>HTJA040070</v>
          </cell>
          <cell r="E1612" t="str">
            <v>10019477T</v>
          </cell>
          <cell r="F1612" t="str">
            <v>AC-3300i FORD</v>
          </cell>
          <cell r="G1612">
            <v>200000</v>
          </cell>
          <cell r="H1612" t="str">
            <v>Nacional</v>
          </cell>
          <cell r="I1612">
            <v>10</v>
          </cell>
          <cell r="J1612" t="str">
            <v>STD</v>
          </cell>
          <cell r="L1612">
            <v>0</v>
          </cell>
          <cell r="M1612">
            <v>0</v>
          </cell>
          <cell r="O1612" t="str">
            <v>PLACA DE SUJECIÓN DE PORTA PUNZÓN</v>
          </cell>
        </row>
        <row r="1613">
          <cell r="D1613" t="str">
            <v>HTJA040070</v>
          </cell>
          <cell r="E1613" t="str">
            <v>4302091005</v>
          </cell>
          <cell r="F1613" t="str">
            <v>C-2000 PL-BODY</v>
          </cell>
          <cell r="G1613">
            <v>200000</v>
          </cell>
          <cell r="H1613" t="str">
            <v>Nacional</v>
          </cell>
          <cell r="I1613">
            <v>10</v>
          </cell>
          <cell r="J1613" t="str">
            <v>STD</v>
          </cell>
          <cell r="L1613">
            <v>0</v>
          </cell>
          <cell r="M1613">
            <v>0</v>
          </cell>
          <cell r="O1613" t="str">
            <v>PLACA DE SUJECIÓN DE PORTA PUNZÓN</v>
          </cell>
        </row>
        <row r="1614">
          <cell r="D1614" t="str">
            <v>HTJA040070</v>
          </cell>
          <cell r="E1614" t="str">
            <v>10060762</v>
          </cell>
          <cell r="F1614" t="str">
            <v>UF-2600i Ford Explorer</v>
          </cell>
          <cell r="G1614">
            <v>200000</v>
          </cell>
          <cell r="H1614" t="str">
            <v>Nacional</v>
          </cell>
          <cell r="I1614">
            <v>10</v>
          </cell>
          <cell r="J1614" t="str">
            <v>STD</v>
          </cell>
          <cell r="L1614">
            <v>0</v>
          </cell>
          <cell r="M1614">
            <v>0</v>
          </cell>
          <cell r="O1614" t="str">
            <v>PLACA DE SUJECIÓN DE PORTA PUNZÓN</v>
          </cell>
        </row>
        <row r="1615">
          <cell r="D1615" t="str">
            <v>HTJA040070</v>
          </cell>
          <cell r="E1615" t="str">
            <v>00806088</v>
          </cell>
          <cell r="F1615" t="str">
            <v>UF-2600i Hyundai</v>
          </cell>
          <cell r="G1615">
            <v>200000</v>
          </cell>
          <cell r="H1615" t="str">
            <v>Nacional</v>
          </cell>
          <cell r="I1615">
            <v>10</v>
          </cell>
          <cell r="J1615" t="str">
            <v>STD</v>
          </cell>
          <cell r="L1615">
            <v>0</v>
          </cell>
          <cell r="M1615">
            <v>0</v>
          </cell>
          <cell r="O1615" t="str">
            <v>PLACA DE SUJECIÓN DE PORTA PUNZÓN</v>
          </cell>
        </row>
        <row r="1616">
          <cell r="D1616" t="str">
            <v>HTJA040070</v>
          </cell>
          <cell r="E1616" t="str">
            <v>8152050226</v>
          </cell>
          <cell r="F1616" t="str">
            <v>UF-2600i PQ-35 VW</v>
          </cell>
          <cell r="G1616">
            <v>200000</v>
          </cell>
          <cell r="H1616" t="str">
            <v>Nacional</v>
          </cell>
          <cell r="I1616">
            <v>10</v>
          </cell>
          <cell r="J1616" t="str">
            <v>STD</v>
          </cell>
          <cell r="L1616">
            <v>38227.399999999994</v>
          </cell>
          <cell r="M1616">
            <v>1662.0608695652172</v>
          </cell>
          <cell r="O1616" t="str">
            <v>PLACA DE SUJECIÓN DE PORTA PUNZÓN</v>
          </cell>
        </row>
        <row r="1617">
          <cell r="D1617" t="str">
            <v>HTJA040070</v>
          </cell>
          <cell r="E1617" t="str">
            <v>10018041</v>
          </cell>
          <cell r="F1617" t="str">
            <v>UF-3300i W</v>
          </cell>
          <cell r="G1617">
            <v>200000</v>
          </cell>
          <cell r="H1617" t="str">
            <v>Nacional</v>
          </cell>
          <cell r="I1617">
            <v>10</v>
          </cell>
          <cell r="J1617" t="str">
            <v>STD</v>
          </cell>
          <cell r="L1617">
            <v>13520.454678603319</v>
          </cell>
          <cell r="M1617">
            <v>587.84585559144864</v>
          </cell>
          <cell r="O1617" t="str">
            <v>PLACA DE SUJECIÓN DE PORTA PUNZÓN</v>
          </cell>
        </row>
        <row r="1618">
          <cell r="D1618" t="str">
            <v>HTJA040070</v>
          </cell>
          <cell r="E1618" t="str">
            <v>7870050221</v>
          </cell>
          <cell r="F1618" t="str">
            <v>UF-3400 PQ-35 VW</v>
          </cell>
          <cell r="G1618">
            <v>200000</v>
          </cell>
          <cell r="H1618" t="str">
            <v>Nacional</v>
          </cell>
          <cell r="I1618">
            <v>10</v>
          </cell>
          <cell r="J1618" t="str">
            <v>STD</v>
          </cell>
          <cell r="L1618">
            <v>45592.200000000012</v>
          </cell>
          <cell r="M1618">
            <v>1982.2695652173918</v>
          </cell>
          <cell r="O1618" t="str">
            <v>PLACA DE SUJECIÓN DE PORTA PUNZÓN</v>
          </cell>
        </row>
        <row r="1619">
          <cell r="D1619" t="str">
            <v>HTJA040070</v>
          </cell>
          <cell r="E1619" t="str">
            <v>10009621</v>
          </cell>
          <cell r="F1619" t="str">
            <v>UF-4600i W</v>
          </cell>
          <cell r="G1619">
            <v>200000</v>
          </cell>
          <cell r="H1619" t="str">
            <v>Nacional</v>
          </cell>
          <cell r="I1619">
            <v>10</v>
          </cell>
          <cell r="J1619" t="str">
            <v>STD</v>
          </cell>
          <cell r="L1619">
            <v>33932.483034337194</v>
          </cell>
          <cell r="M1619">
            <v>1475.3253493190084</v>
          </cell>
          <cell r="O1619" t="str">
            <v>PLACA DE SUJECIÓN DE PORTA PUNZÓN</v>
          </cell>
        </row>
        <row r="1620">
          <cell r="D1620" t="str">
            <v>HTJA040071</v>
          </cell>
          <cell r="E1620" t="str">
            <v>7056050202</v>
          </cell>
          <cell r="F1620" t="str">
            <v>A4 RF-91 Concept One</v>
          </cell>
          <cell r="G1620">
            <v>500000</v>
          </cell>
          <cell r="H1620" t="str">
            <v>Nacional</v>
          </cell>
          <cell r="I1620">
            <v>10</v>
          </cell>
          <cell r="J1620" t="str">
            <v>STD</v>
          </cell>
          <cell r="L1620">
            <v>0</v>
          </cell>
          <cell r="M1620">
            <v>0</v>
          </cell>
          <cell r="O1620" t="str">
            <v>DOSIFICADOR DE PIEZA</v>
          </cell>
        </row>
        <row r="1621">
          <cell r="D1621" t="str">
            <v>HTJA040071</v>
          </cell>
          <cell r="E1621" t="str">
            <v>7174050203</v>
          </cell>
          <cell r="F1621" t="str">
            <v>A4 RF-95</v>
          </cell>
          <cell r="G1621">
            <v>500000</v>
          </cell>
          <cell r="H1621" t="str">
            <v>Nacional</v>
          </cell>
          <cell r="I1621">
            <v>10</v>
          </cell>
          <cell r="J1621" t="str">
            <v>STD</v>
          </cell>
          <cell r="L1621">
            <v>8133.6</v>
          </cell>
          <cell r="M1621">
            <v>353.63478260869567</v>
          </cell>
          <cell r="O1621" t="str">
            <v>DOSIFICADOR DE PIEZA</v>
          </cell>
        </row>
        <row r="1622">
          <cell r="D1622" t="str">
            <v>HTJA040071</v>
          </cell>
          <cell r="E1622" t="str">
            <v>10019426</v>
          </cell>
          <cell r="F1622" t="str">
            <v>AC-1500i Honda 2NX / GMT</v>
          </cell>
          <cell r="G1622">
            <v>500000</v>
          </cell>
          <cell r="H1622" t="str">
            <v>Nacional</v>
          </cell>
          <cell r="I1622">
            <v>10</v>
          </cell>
          <cell r="J1622" t="str">
            <v>STD</v>
          </cell>
          <cell r="L1622">
            <v>32759.000000000004</v>
          </cell>
          <cell r="M1622">
            <v>1424.3043478260872</v>
          </cell>
          <cell r="O1622" t="str">
            <v>DOSIFICADOR DE PIEZA</v>
          </cell>
        </row>
        <row r="1623">
          <cell r="D1623" t="str">
            <v>HTJA040071</v>
          </cell>
          <cell r="E1623" t="str">
            <v>7479050219</v>
          </cell>
          <cell r="F1623" t="str">
            <v>AC-1700i FORD</v>
          </cell>
          <cell r="G1623">
            <v>500000</v>
          </cell>
          <cell r="H1623" t="str">
            <v>Nacional</v>
          </cell>
          <cell r="I1623">
            <v>10</v>
          </cell>
          <cell r="J1623" t="str">
            <v>STD</v>
          </cell>
          <cell r="L1623">
            <v>38420.799999999996</v>
          </cell>
          <cell r="M1623">
            <v>1670.4695652173912</v>
          </cell>
          <cell r="O1623" t="str">
            <v>DOSIFICADOR DE PIEZA</v>
          </cell>
        </row>
        <row r="1624">
          <cell r="D1624" t="str">
            <v>HTJA040071</v>
          </cell>
          <cell r="E1624" t="str">
            <v>8647050233</v>
          </cell>
          <cell r="F1624" t="str">
            <v>AC-2000i Honda Acura</v>
          </cell>
          <cell r="G1624">
            <v>500000</v>
          </cell>
          <cell r="H1624" t="str">
            <v>Nacional</v>
          </cell>
          <cell r="I1624">
            <v>10</v>
          </cell>
          <cell r="J1624" t="str">
            <v>STD</v>
          </cell>
          <cell r="L1624">
            <v>74729.200000000012</v>
          </cell>
          <cell r="M1624">
            <v>3249.0956521739135</v>
          </cell>
          <cell r="O1624" t="str">
            <v>DOSIFICADOR DE PIEZA</v>
          </cell>
        </row>
        <row r="1625">
          <cell r="D1625" t="str">
            <v>HTJA040071</v>
          </cell>
          <cell r="E1625" t="str">
            <v>10221803</v>
          </cell>
          <cell r="F1625" t="str">
            <v>AC-2300i Gamma Suv</v>
          </cell>
          <cell r="G1625">
            <v>500000</v>
          </cell>
          <cell r="H1625" t="str">
            <v>Nacional</v>
          </cell>
          <cell r="I1625">
            <v>10</v>
          </cell>
          <cell r="J1625" t="str">
            <v>STD</v>
          </cell>
          <cell r="L1625">
            <v>0</v>
          </cell>
          <cell r="M1625">
            <v>0</v>
          </cell>
          <cell r="O1625" t="str">
            <v>DOSIFICADOR DE PIEZA</v>
          </cell>
        </row>
        <row r="1626">
          <cell r="D1626" t="str">
            <v>HTJA040071</v>
          </cell>
          <cell r="E1626" t="str">
            <v>7324050215</v>
          </cell>
          <cell r="F1626" t="str">
            <v>AC-2300i PT-44</v>
          </cell>
          <cell r="G1626">
            <v>500000</v>
          </cell>
          <cell r="H1626" t="str">
            <v>Nacional</v>
          </cell>
          <cell r="I1626">
            <v>10</v>
          </cell>
          <cell r="J1626" t="str">
            <v>STD</v>
          </cell>
          <cell r="L1626">
            <v>58512.600000000006</v>
          </cell>
          <cell r="M1626">
            <v>2544.0260869565218</v>
          </cell>
          <cell r="O1626" t="str">
            <v>DOSIFICADOR DE PIEZA</v>
          </cell>
        </row>
        <row r="1627">
          <cell r="D1627" t="str">
            <v>HTJA040071</v>
          </cell>
          <cell r="E1627" t="str">
            <v>10001024R</v>
          </cell>
          <cell r="F1627" t="str">
            <v>AC-2600i Ford Escape</v>
          </cell>
          <cell r="G1627">
            <v>500000</v>
          </cell>
          <cell r="H1627" t="str">
            <v>Nacional</v>
          </cell>
          <cell r="I1627">
            <v>10</v>
          </cell>
          <cell r="J1627" t="str">
            <v>STD</v>
          </cell>
          <cell r="L1627">
            <v>59203</v>
          </cell>
          <cell r="M1627">
            <v>2574.0434782608695</v>
          </cell>
          <cell r="O1627" t="str">
            <v>DOSIFICADOR DE PIEZA</v>
          </cell>
        </row>
        <row r="1628">
          <cell r="D1628" t="str">
            <v>HTJA040071</v>
          </cell>
          <cell r="E1628" t="str">
            <v>7553050217</v>
          </cell>
          <cell r="F1628" t="str">
            <v>AC-2600i PT-Turbo</v>
          </cell>
          <cell r="G1628">
            <v>500000</v>
          </cell>
          <cell r="H1628" t="str">
            <v>Nacional</v>
          </cell>
          <cell r="I1628">
            <v>10</v>
          </cell>
          <cell r="J1628" t="str">
            <v>STD</v>
          </cell>
          <cell r="L1628">
            <v>37981.199999999997</v>
          </cell>
          <cell r="M1628">
            <v>1651.3565217391304</v>
          </cell>
          <cell r="O1628" t="str">
            <v>DOSIFICADOR DE PIEZA</v>
          </cell>
        </row>
        <row r="1629">
          <cell r="D1629" t="str">
            <v>HTJA040071</v>
          </cell>
          <cell r="E1629" t="str">
            <v>10054551</v>
          </cell>
          <cell r="F1629" t="str">
            <v>AC-2650 JC49 / GS PLT / DNA</v>
          </cell>
          <cell r="G1629">
            <v>500000</v>
          </cell>
          <cell r="H1629" t="str">
            <v>Nacional</v>
          </cell>
          <cell r="I1629">
            <v>10</v>
          </cell>
          <cell r="J1629" t="str">
            <v>STD</v>
          </cell>
          <cell r="L1629">
            <v>11932</v>
          </cell>
          <cell r="M1629">
            <v>518.78260869565213</v>
          </cell>
          <cell r="O1629" t="str">
            <v>DOSIFICADOR DE PIEZA</v>
          </cell>
        </row>
        <row r="1630">
          <cell r="D1630" t="str">
            <v>HTJA040071</v>
          </cell>
          <cell r="E1630" t="str">
            <v>00806342</v>
          </cell>
          <cell r="F1630" t="str">
            <v>AC-2900i VW</v>
          </cell>
          <cell r="G1630">
            <v>500000</v>
          </cell>
          <cell r="H1630" t="str">
            <v>Nacional</v>
          </cell>
          <cell r="I1630">
            <v>10</v>
          </cell>
          <cell r="J1630" t="str">
            <v>STD</v>
          </cell>
          <cell r="L1630">
            <v>23450.400000000001</v>
          </cell>
          <cell r="M1630">
            <v>1019.5826086956522</v>
          </cell>
          <cell r="O1630" t="str">
            <v>DOSIFICADOR DE PIEZA</v>
          </cell>
        </row>
        <row r="1631">
          <cell r="D1631" t="str">
            <v>HTJA040071</v>
          </cell>
          <cell r="E1631" t="str">
            <v>10019477T</v>
          </cell>
          <cell r="F1631" t="str">
            <v>AC-3300i FORD</v>
          </cell>
          <cell r="G1631">
            <v>500000</v>
          </cell>
          <cell r="H1631" t="str">
            <v>Nacional</v>
          </cell>
          <cell r="I1631">
            <v>10</v>
          </cell>
          <cell r="J1631" t="str">
            <v>STD</v>
          </cell>
          <cell r="L1631">
            <v>0</v>
          </cell>
          <cell r="M1631">
            <v>0</v>
          </cell>
          <cell r="O1631" t="str">
            <v>DOSIFICADOR DE PIEZA</v>
          </cell>
        </row>
        <row r="1632">
          <cell r="D1632" t="str">
            <v>HTJA040071</v>
          </cell>
          <cell r="E1632" t="str">
            <v>4302091005</v>
          </cell>
          <cell r="F1632" t="str">
            <v>C-2000 PL-BODY</v>
          </cell>
          <cell r="G1632">
            <v>500000</v>
          </cell>
          <cell r="H1632" t="str">
            <v>Nacional</v>
          </cell>
          <cell r="I1632">
            <v>10</v>
          </cell>
          <cell r="J1632" t="str">
            <v>STD</v>
          </cell>
          <cell r="L1632">
            <v>0</v>
          </cell>
          <cell r="M1632">
            <v>0</v>
          </cell>
          <cell r="O1632" t="str">
            <v>DOSIFICADOR DE PIEZA</v>
          </cell>
        </row>
        <row r="1633">
          <cell r="D1633" t="str">
            <v>HTJA040071</v>
          </cell>
          <cell r="E1633" t="str">
            <v>10060762</v>
          </cell>
          <cell r="F1633" t="str">
            <v>UF-2600i Ford Explorer</v>
          </cell>
          <cell r="G1633">
            <v>500000</v>
          </cell>
          <cell r="H1633" t="str">
            <v>Nacional</v>
          </cell>
          <cell r="I1633">
            <v>10</v>
          </cell>
          <cell r="J1633" t="str">
            <v>STD</v>
          </cell>
          <cell r="L1633">
            <v>0</v>
          </cell>
          <cell r="M1633">
            <v>0</v>
          </cell>
          <cell r="O1633" t="str">
            <v>DOSIFICADOR DE PIEZA</v>
          </cell>
        </row>
        <row r="1634">
          <cell r="D1634" t="str">
            <v>HTJA040071</v>
          </cell>
          <cell r="E1634" t="str">
            <v>00806088</v>
          </cell>
          <cell r="F1634" t="str">
            <v>UF-2600i Hyundai</v>
          </cell>
          <cell r="G1634">
            <v>500000</v>
          </cell>
          <cell r="H1634" t="str">
            <v>Nacional</v>
          </cell>
          <cell r="I1634">
            <v>10</v>
          </cell>
          <cell r="J1634" t="str">
            <v>STD</v>
          </cell>
          <cell r="L1634">
            <v>0</v>
          </cell>
          <cell r="M1634">
            <v>0</v>
          </cell>
          <cell r="O1634" t="str">
            <v>DOSIFICADOR DE PIEZA</v>
          </cell>
        </row>
        <row r="1635">
          <cell r="D1635" t="str">
            <v>HTJA040071</v>
          </cell>
          <cell r="E1635" t="str">
            <v>8152050226</v>
          </cell>
          <cell r="F1635" t="str">
            <v>UF-2600i PQ-35 VW</v>
          </cell>
          <cell r="G1635">
            <v>500000</v>
          </cell>
          <cell r="H1635" t="str">
            <v>Nacional</v>
          </cell>
          <cell r="I1635">
            <v>10</v>
          </cell>
          <cell r="J1635" t="str">
            <v>STD</v>
          </cell>
          <cell r="L1635">
            <v>38227.399999999994</v>
          </cell>
          <cell r="M1635">
            <v>1662.0608695652172</v>
          </cell>
          <cell r="O1635" t="str">
            <v>DOSIFICADOR DE PIEZA</v>
          </cell>
        </row>
        <row r="1636">
          <cell r="D1636" t="str">
            <v>HTJA040071</v>
          </cell>
          <cell r="E1636" t="str">
            <v>10018041</v>
          </cell>
          <cell r="F1636" t="str">
            <v>UF-3300i W</v>
          </cell>
          <cell r="G1636">
            <v>500000</v>
          </cell>
          <cell r="H1636" t="str">
            <v>Nacional</v>
          </cell>
          <cell r="I1636">
            <v>10</v>
          </cell>
          <cell r="J1636" t="str">
            <v>STD</v>
          </cell>
          <cell r="L1636">
            <v>13520.454678603319</v>
          </cell>
          <cell r="M1636">
            <v>587.84585559144864</v>
          </cell>
          <cell r="O1636" t="str">
            <v>DOSIFICADOR DE PIEZA</v>
          </cell>
        </row>
        <row r="1637">
          <cell r="D1637" t="str">
            <v>HTJA040071</v>
          </cell>
          <cell r="E1637" t="str">
            <v>7870050221</v>
          </cell>
          <cell r="F1637" t="str">
            <v>UF-3400 PQ-35 VW</v>
          </cell>
          <cell r="G1637">
            <v>500000</v>
          </cell>
          <cell r="H1637" t="str">
            <v>Nacional</v>
          </cell>
          <cell r="I1637">
            <v>10</v>
          </cell>
          <cell r="J1637" t="str">
            <v>STD</v>
          </cell>
          <cell r="L1637">
            <v>45592.200000000012</v>
          </cell>
          <cell r="M1637">
            <v>1982.2695652173918</v>
          </cell>
          <cell r="O1637" t="str">
            <v>DOSIFICADOR DE PIEZA</v>
          </cell>
        </row>
        <row r="1638">
          <cell r="D1638" t="str">
            <v>HTJA040071</v>
          </cell>
          <cell r="E1638" t="str">
            <v>10009621</v>
          </cell>
          <cell r="F1638" t="str">
            <v>UF-4600i W</v>
          </cell>
          <cell r="G1638">
            <v>500000</v>
          </cell>
          <cell r="H1638" t="str">
            <v>Nacional</v>
          </cell>
          <cell r="I1638">
            <v>10</v>
          </cell>
          <cell r="J1638" t="str">
            <v>STD</v>
          </cell>
          <cell r="L1638">
            <v>33932.483034337194</v>
          </cell>
          <cell r="M1638">
            <v>1475.3253493190084</v>
          </cell>
          <cell r="O1638" t="str">
            <v>DOSIFICADOR DE PIEZA</v>
          </cell>
        </row>
        <row r="1639">
          <cell r="D1639" t="str">
            <v>HTJA040075</v>
          </cell>
          <cell r="E1639" t="str">
            <v>7056050202</v>
          </cell>
          <cell r="F1639" t="str">
            <v>A4 RF-91 Concept One</v>
          </cell>
          <cell r="G1639">
            <v>200000</v>
          </cell>
          <cell r="H1639" t="str">
            <v>Nacional</v>
          </cell>
          <cell r="I1639">
            <v>10</v>
          </cell>
          <cell r="J1639" t="str">
            <v>STD</v>
          </cell>
          <cell r="L1639">
            <v>0</v>
          </cell>
          <cell r="M1639">
            <v>0</v>
          </cell>
          <cell r="O1639" t="str">
            <v>PLACA TRASERA DE CARGADOR</v>
          </cell>
        </row>
        <row r="1640">
          <cell r="D1640" t="str">
            <v>HTJA040075</v>
          </cell>
          <cell r="E1640" t="str">
            <v>7174050203</v>
          </cell>
          <cell r="F1640" t="str">
            <v>A4 RF-95</v>
          </cell>
          <cell r="G1640">
            <v>200000</v>
          </cell>
          <cell r="H1640" t="str">
            <v>Nacional</v>
          </cell>
          <cell r="I1640">
            <v>10</v>
          </cell>
          <cell r="J1640" t="str">
            <v>STD</v>
          </cell>
          <cell r="L1640">
            <v>8133.6</v>
          </cell>
          <cell r="M1640">
            <v>353.63478260869567</v>
          </cell>
          <cell r="O1640" t="str">
            <v>PLACA TRASERA DE CARGADOR</v>
          </cell>
        </row>
        <row r="1641">
          <cell r="D1641" t="str">
            <v>HTJA040075</v>
          </cell>
          <cell r="E1641" t="str">
            <v>10019426</v>
          </cell>
          <cell r="F1641" t="str">
            <v>AC-1500i Honda 2NX / GMT</v>
          </cell>
          <cell r="G1641">
            <v>200000</v>
          </cell>
          <cell r="H1641" t="str">
            <v>Nacional</v>
          </cell>
          <cell r="I1641">
            <v>10</v>
          </cell>
          <cell r="J1641" t="str">
            <v>STD</v>
          </cell>
          <cell r="L1641">
            <v>32759.000000000004</v>
          </cell>
          <cell r="M1641">
            <v>1424.3043478260872</v>
          </cell>
          <cell r="O1641" t="str">
            <v>PLACA TRASERA DE CARGADOR</v>
          </cell>
        </row>
        <row r="1642">
          <cell r="D1642" t="str">
            <v>HTJA040075</v>
          </cell>
          <cell r="E1642" t="str">
            <v>7479050219</v>
          </cell>
          <cell r="F1642" t="str">
            <v>AC-1700i FORD</v>
          </cell>
          <cell r="G1642">
            <v>200000</v>
          </cell>
          <cell r="H1642" t="str">
            <v>Nacional</v>
          </cell>
          <cell r="I1642">
            <v>10</v>
          </cell>
          <cell r="J1642" t="str">
            <v>STD</v>
          </cell>
          <cell r="L1642">
            <v>38420.799999999996</v>
          </cell>
          <cell r="M1642">
            <v>1670.4695652173912</v>
          </cell>
          <cell r="O1642" t="str">
            <v>PLACA TRASERA DE CARGADOR</v>
          </cell>
        </row>
        <row r="1643">
          <cell r="D1643" t="str">
            <v>HTJA040075</v>
          </cell>
          <cell r="E1643" t="str">
            <v>8647050233</v>
          </cell>
          <cell r="F1643" t="str">
            <v>AC-2000i Honda Acura</v>
          </cell>
          <cell r="G1643">
            <v>200000</v>
          </cell>
          <cell r="H1643" t="str">
            <v>Nacional</v>
          </cell>
          <cell r="I1643">
            <v>10</v>
          </cell>
          <cell r="J1643" t="str">
            <v>STD</v>
          </cell>
          <cell r="L1643">
            <v>74729.200000000012</v>
          </cell>
          <cell r="M1643">
            <v>3249.0956521739135</v>
          </cell>
          <cell r="O1643" t="str">
            <v>PLACA TRASERA DE CARGADOR</v>
          </cell>
        </row>
        <row r="1644">
          <cell r="D1644" t="str">
            <v>HTJA040075</v>
          </cell>
          <cell r="E1644" t="str">
            <v>10221803</v>
          </cell>
          <cell r="F1644" t="str">
            <v>AC-2300i Gamma Suv</v>
          </cell>
          <cell r="G1644">
            <v>200000</v>
          </cell>
          <cell r="H1644" t="str">
            <v>Nacional</v>
          </cell>
          <cell r="I1644">
            <v>10</v>
          </cell>
          <cell r="J1644" t="str">
            <v>STD</v>
          </cell>
          <cell r="L1644">
            <v>0</v>
          </cell>
          <cell r="M1644">
            <v>0</v>
          </cell>
          <cell r="O1644" t="str">
            <v>PLACA TRASERA DE CARGADOR</v>
          </cell>
        </row>
        <row r="1645">
          <cell r="D1645" t="str">
            <v>HTJA040075</v>
          </cell>
          <cell r="E1645" t="str">
            <v>7324050215</v>
          </cell>
          <cell r="F1645" t="str">
            <v>AC-2300i PT-44</v>
          </cell>
          <cell r="G1645">
            <v>200000</v>
          </cell>
          <cell r="H1645" t="str">
            <v>Nacional</v>
          </cell>
          <cell r="I1645">
            <v>10</v>
          </cell>
          <cell r="J1645" t="str">
            <v>STD</v>
          </cell>
          <cell r="L1645">
            <v>58512.600000000006</v>
          </cell>
          <cell r="M1645">
            <v>2544.0260869565218</v>
          </cell>
          <cell r="O1645" t="str">
            <v>PLACA TRASERA DE CARGADOR</v>
          </cell>
        </row>
        <row r="1646">
          <cell r="D1646" t="str">
            <v>HTJA040075</v>
          </cell>
          <cell r="E1646" t="str">
            <v>10001024R</v>
          </cell>
          <cell r="F1646" t="str">
            <v>AC-2600i Ford Escape</v>
          </cell>
          <cell r="G1646">
            <v>200000</v>
          </cell>
          <cell r="H1646" t="str">
            <v>Nacional</v>
          </cell>
          <cell r="I1646">
            <v>10</v>
          </cell>
          <cell r="J1646" t="str">
            <v>STD</v>
          </cell>
          <cell r="L1646">
            <v>59203</v>
          </cell>
          <cell r="M1646">
            <v>2574.0434782608695</v>
          </cell>
          <cell r="O1646" t="str">
            <v>PLACA TRASERA DE CARGADOR</v>
          </cell>
        </row>
        <row r="1647">
          <cell r="D1647" t="str">
            <v>HTJA040075</v>
          </cell>
          <cell r="E1647" t="str">
            <v>7553050217</v>
          </cell>
          <cell r="F1647" t="str">
            <v>AC-2600i PT-Turbo</v>
          </cell>
          <cell r="G1647">
            <v>200000</v>
          </cell>
          <cell r="H1647" t="str">
            <v>Nacional</v>
          </cell>
          <cell r="I1647">
            <v>10</v>
          </cell>
          <cell r="J1647" t="str">
            <v>STD</v>
          </cell>
          <cell r="L1647">
            <v>37981.199999999997</v>
          </cell>
          <cell r="M1647">
            <v>1651.3565217391304</v>
          </cell>
          <cell r="O1647" t="str">
            <v>PLACA TRASERA DE CARGADOR</v>
          </cell>
        </row>
        <row r="1648">
          <cell r="D1648" t="str">
            <v>HTJA040075</v>
          </cell>
          <cell r="E1648" t="str">
            <v>10054551</v>
          </cell>
          <cell r="F1648" t="str">
            <v>AC-2650 JC49 / GS PLT / DNA</v>
          </cell>
          <cell r="G1648">
            <v>200000</v>
          </cell>
          <cell r="H1648" t="str">
            <v>Nacional</v>
          </cell>
          <cell r="I1648">
            <v>10</v>
          </cell>
          <cell r="J1648" t="str">
            <v>STD</v>
          </cell>
          <cell r="L1648">
            <v>11932</v>
          </cell>
          <cell r="M1648">
            <v>518.78260869565213</v>
          </cell>
          <cell r="O1648" t="str">
            <v>PLACA TRASERA DE CARGADOR</v>
          </cell>
        </row>
        <row r="1649">
          <cell r="D1649" t="str">
            <v>HTJA040075</v>
          </cell>
          <cell r="E1649" t="str">
            <v>00806342</v>
          </cell>
          <cell r="F1649" t="str">
            <v>AC-2900i VW</v>
          </cell>
          <cell r="G1649">
            <v>200000</v>
          </cell>
          <cell r="H1649" t="str">
            <v>Nacional</v>
          </cell>
          <cell r="I1649">
            <v>10</v>
          </cell>
          <cell r="J1649" t="str">
            <v>STD</v>
          </cell>
          <cell r="L1649">
            <v>23450.400000000001</v>
          </cell>
          <cell r="M1649">
            <v>1019.5826086956522</v>
          </cell>
          <cell r="O1649" t="str">
            <v>PLACA TRASERA DE CARGADOR</v>
          </cell>
        </row>
        <row r="1650">
          <cell r="D1650" t="str">
            <v>HTJA040075</v>
          </cell>
          <cell r="E1650" t="str">
            <v>10019477T</v>
          </cell>
          <cell r="F1650" t="str">
            <v>AC-3300i FORD</v>
          </cell>
          <cell r="G1650">
            <v>200000</v>
          </cell>
          <cell r="H1650" t="str">
            <v>Nacional</v>
          </cell>
          <cell r="I1650">
            <v>10</v>
          </cell>
          <cell r="J1650" t="str">
            <v>STD</v>
          </cell>
          <cell r="L1650">
            <v>0</v>
          </cell>
          <cell r="M1650">
            <v>0</v>
          </cell>
          <cell r="O1650" t="str">
            <v>PLACA TRASERA DE CARGADOR</v>
          </cell>
        </row>
        <row r="1651">
          <cell r="D1651" t="str">
            <v>HTJA040075</v>
          </cell>
          <cell r="E1651" t="str">
            <v>4302091005</v>
          </cell>
          <cell r="F1651" t="str">
            <v>C-2000 PL-BODY</v>
          </cell>
          <cell r="G1651">
            <v>200000</v>
          </cell>
          <cell r="H1651" t="str">
            <v>Nacional</v>
          </cell>
          <cell r="I1651">
            <v>10</v>
          </cell>
          <cell r="J1651" t="str">
            <v>STD</v>
          </cell>
          <cell r="L1651">
            <v>0</v>
          </cell>
          <cell r="M1651">
            <v>0</v>
          </cell>
          <cell r="O1651" t="str">
            <v>PLACA TRASERA DE CARGADOR</v>
          </cell>
        </row>
        <row r="1652">
          <cell r="D1652" t="str">
            <v>HTJA040075</v>
          </cell>
          <cell r="E1652" t="str">
            <v>10060762</v>
          </cell>
          <cell r="F1652" t="str">
            <v>UF-2600i Ford Explorer</v>
          </cell>
          <cell r="G1652">
            <v>200000</v>
          </cell>
          <cell r="H1652" t="str">
            <v>Nacional</v>
          </cell>
          <cell r="I1652">
            <v>10</v>
          </cell>
          <cell r="J1652" t="str">
            <v>STD</v>
          </cell>
          <cell r="L1652">
            <v>0</v>
          </cell>
          <cell r="M1652">
            <v>0</v>
          </cell>
          <cell r="O1652" t="str">
            <v>PLACA TRASERA DE CARGADOR</v>
          </cell>
        </row>
        <row r="1653">
          <cell r="D1653" t="str">
            <v>HTJA040075</v>
          </cell>
          <cell r="E1653" t="str">
            <v>00806088</v>
          </cell>
          <cell r="F1653" t="str">
            <v>UF-2600i Hyundai</v>
          </cell>
          <cell r="G1653">
            <v>200000</v>
          </cell>
          <cell r="H1653" t="str">
            <v>Nacional</v>
          </cell>
          <cell r="I1653">
            <v>10</v>
          </cell>
          <cell r="J1653" t="str">
            <v>STD</v>
          </cell>
          <cell r="L1653">
            <v>0</v>
          </cell>
          <cell r="M1653">
            <v>0</v>
          </cell>
          <cell r="O1653" t="str">
            <v>PLACA TRASERA DE CARGADOR</v>
          </cell>
        </row>
        <row r="1654">
          <cell r="D1654" t="str">
            <v>HTJA040075</v>
          </cell>
          <cell r="E1654" t="str">
            <v>8152050226</v>
          </cell>
          <cell r="F1654" t="str">
            <v>UF-2600i PQ-35 VW</v>
          </cell>
          <cell r="G1654">
            <v>200000</v>
          </cell>
          <cell r="H1654" t="str">
            <v>Nacional</v>
          </cell>
          <cell r="I1654">
            <v>10</v>
          </cell>
          <cell r="J1654" t="str">
            <v>STD</v>
          </cell>
          <cell r="L1654">
            <v>38227.399999999994</v>
          </cell>
          <cell r="M1654">
            <v>1662.0608695652172</v>
          </cell>
          <cell r="O1654" t="str">
            <v>PLACA TRASERA DE CARGADOR</v>
          </cell>
        </row>
        <row r="1655">
          <cell r="D1655" t="str">
            <v>HTJA040075</v>
          </cell>
          <cell r="E1655" t="str">
            <v>10018041</v>
          </cell>
          <cell r="F1655" t="str">
            <v>UF-3300i W</v>
          </cell>
          <cell r="G1655">
            <v>200000</v>
          </cell>
          <cell r="H1655" t="str">
            <v>Nacional</v>
          </cell>
          <cell r="I1655">
            <v>10</v>
          </cell>
          <cell r="J1655" t="str">
            <v>STD</v>
          </cell>
          <cell r="L1655">
            <v>13520.454678603319</v>
          </cell>
          <cell r="M1655">
            <v>587.84585559144864</v>
          </cell>
          <cell r="O1655" t="str">
            <v>PLACA TRASERA DE CARGADOR</v>
          </cell>
        </row>
        <row r="1656">
          <cell r="D1656" t="str">
            <v>HTJA040075</v>
          </cell>
          <cell r="E1656" t="str">
            <v>7870050221</v>
          </cell>
          <cell r="F1656" t="str">
            <v>UF-3400 PQ-35 VW</v>
          </cell>
          <cell r="G1656">
            <v>200000</v>
          </cell>
          <cell r="H1656" t="str">
            <v>Nacional</v>
          </cell>
          <cell r="I1656">
            <v>10</v>
          </cell>
          <cell r="J1656" t="str">
            <v>STD</v>
          </cell>
          <cell r="L1656">
            <v>45592.200000000012</v>
          </cell>
          <cell r="M1656">
            <v>1982.2695652173918</v>
          </cell>
          <cell r="O1656" t="str">
            <v>PLACA TRASERA DE CARGADOR</v>
          </cell>
        </row>
        <row r="1657">
          <cell r="D1657" t="str">
            <v>HTJA040075</v>
          </cell>
          <cell r="E1657" t="str">
            <v>10009621</v>
          </cell>
          <cell r="F1657" t="str">
            <v>UF-4600i W</v>
          </cell>
          <cell r="G1657">
            <v>200000</v>
          </cell>
          <cell r="H1657" t="str">
            <v>Nacional</v>
          </cell>
          <cell r="I1657">
            <v>10</v>
          </cell>
          <cell r="J1657" t="str">
            <v>STD</v>
          </cell>
          <cell r="L1657">
            <v>33932.483034337194</v>
          </cell>
          <cell r="M1657">
            <v>1475.3253493190084</v>
          </cell>
          <cell r="O1657" t="str">
            <v>PLACA TRASERA DE CARGADOR</v>
          </cell>
        </row>
        <row r="1658">
          <cell r="D1658" t="str">
            <v>HTJA040078</v>
          </cell>
          <cell r="E1658" t="str">
            <v>7056050202</v>
          </cell>
          <cell r="F1658" t="str">
            <v>A4 RF-91 Concept One</v>
          </cell>
          <cell r="G1658">
            <v>100000</v>
          </cell>
          <cell r="H1658" t="str">
            <v>Nacional</v>
          </cell>
          <cell r="I1658">
            <v>10</v>
          </cell>
          <cell r="J1658" t="str">
            <v>STD</v>
          </cell>
          <cell r="L1658">
            <v>0</v>
          </cell>
          <cell r="M1658">
            <v>0</v>
          </cell>
          <cell r="O1658" t="str">
            <v>PLACA FRONTAL DE CARGADOR</v>
          </cell>
        </row>
        <row r="1659">
          <cell r="D1659" t="str">
            <v>HTJA040078</v>
          </cell>
          <cell r="E1659" t="str">
            <v>7174050203</v>
          </cell>
          <cell r="F1659" t="str">
            <v>A4 RF-95</v>
          </cell>
          <cell r="G1659">
            <v>100000</v>
          </cell>
          <cell r="H1659" t="str">
            <v>Nacional</v>
          </cell>
          <cell r="I1659">
            <v>10</v>
          </cell>
          <cell r="J1659" t="str">
            <v>STD</v>
          </cell>
          <cell r="L1659">
            <v>8133.6</v>
          </cell>
          <cell r="M1659">
            <v>353.63478260869567</v>
          </cell>
          <cell r="O1659" t="str">
            <v>PLACA FRONTAL DE CARGADOR</v>
          </cell>
        </row>
        <row r="1660">
          <cell r="D1660" t="str">
            <v>HTJA040078</v>
          </cell>
          <cell r="E1660" t="str">
            <v>10019426</v>
          </cell>
          <cell r="F1660" t="str">
            <v>AC-1500i Honda 2NX / GMT</v>
          </cell>
          <cell r="G1660">
            <v>100000</v>
          </cell>
          <cell r="H1660" t="str">
            <v>Nacional</v>
          </cell>
          <cell r="I1660">
            <v>10</v>
          </cell>
          <cell r="J1660" t="str">
            <v>STD</v>
          </cell>
          <cell r="L1660">
            <v>32759.000000000004</v>
          </cell>
          <cell r="M1660">
            <v>1424.3043478260872</v>
          </cell>
          <cell r="O1660" t="str">
            <v>PLACA FRONTAL DE CARGADOR</v>
          </cell>
        </row>
        <row r="1661">
          <cell r="D1661" t="str">
            <v>HTJA040078</v>
          </cell>
          <cell r="E1661" t="str">
            <v>7479050219</v>
          </cell>
          <cell r="F1661" t="str">
            <v>AC-1700i FORD</v>
          </cell>
          <cell r="G1661">
            <v>100000</v>
          </cell>
          <cell r="H1661" t="str">
            <v>Nacional</v>
          </cell>
          <cell r="I1661">
            <v>10</v>
          </cell>
          <cell r="J1661" t="str">
            <v>STD</v>
          </cell>
          <cell r="L1661">
            <v>38420.799999999996</v>
          </cell>
          <cell r="M1661">
            <v>1670.4695652173912</v>
          </cell>
          <cell r="O1661" t="str">
            <v>PLACA FRONTAL DE CARGADOR</v>
          </cell>
        </row>
        <row r="1662">
          <cell r="D1662" t="str">
            <v>HTJA040078</v>
          </cell>
          <cell r="E1662" t="str">
            <v>8647050233</v>
          </cell>
          <cell r="F1662" t="str">
            <v>AC-2000i Honda Acura</v>
          </cell>
          <cell r="G1662">
            <v>100000</v>
          </cell>
          <cell r="H1662" t="str">
            <v>Nacional</v>
          </cell>
          <cell r="I1662">
            <v>10</v>
          </cell>
          <cell r="J1662" t="str">
            <v>STD</v>
          </cell>
          <cell r="L1662">
            <v>74729.200000000012</v>
          </cell>
          <cell r="M1662">
            <v>3249.0956521739135</v>
          </cell>
          <cell r="O1662" t="str">
            <v>PLACA FRONTAL DE CARGADOR</v>
          </cell>
        </row>
        <row r="1663">
          <cell r="D1663" t="str">
            <v>HTJA040078</v>
          </cell>
          <cell r="E1663" t="str">
            <v>10221803</v>
          </cell>
          <cell r="F1663" t="str">
            <v>AC-2300i Gamma Suv</v>
          </cell>
          <cell r="G1663">
            <v>100000</v>
          </cell>
          <cell r="H1663" t="str">
            <v>Nacional</v>
          </cell>
          <cell r="I1663">
            <v>10</v>
          </cell>
          <cell r="J1663" t="str">
            <v>STD</v>
          </cell>
          <cell r="L1663">
            <v>0</v>
          </cell>
          <cell r="M1663">
            <v>0</v>
          </cell>
          <cell r="O1663" t="str">
            <v>PLACA FRONTAL DE CARGADOR</v>
          </cell>
        </row>
        <row r="1664">
          <cell r="D1664" t="str">
            <v>HTJA040078</v>
          </cell>
          <cell r="E1664" t="str">
            <v>7324050215</v>
          </cell>
          <cell r="F1664" t="str">
            <v>AC-2300i PT-44</v>
          </cell>
          <cell r="G1664">
            <v>100000</v>
          </cell>
          <cell r="H1664" t="str">
            <v>Nacional</v>
          </cell>
          <cell r="I1664">
            <v>10</v>
          </cell>
          <cell r="J1664" t="str">
            <v>STD</v>
          </cell>
          <cell r="L1664">
            <v>58512.600000000006</v>
          </cell>
          <cell r="M1664">
            <v>2544.0260869565218</v>
          </cell>
          <cell r="O1664" t="str">
            <v>PLACA FRONTAL DE CARGADOR</v>
          </cell>
        </row>
        <row r="1665">
          <cell r="D1665" t="str">
            <v>HTJA040078</v>
          </cell>
          <cell r="E1665" t="str">
            <v>10001024R</v>
          </cell>
          <cell r="F1665" t="str">
            <v>AC-2600i Ford Escape</v>
          </cell>
          <cell r="G1665">
            <v>100000</v>
          </cell>
          <cell r="H1665" t="str">
            <v>Nacional</v>
          </cell>
          <cell r="I1665">
            <v>10</v>
          </cell>
          <cell r="J1665" t="str">
            <v>STD</v>
          </cell>
          <cell r="L1665">
            <v>59203</v>
          </cell>
          <cell r="M1665">
            <v>2574.0434782608695</v>
          </cell>
          <cell r="O1665" t="str">
            <v>PLACA FRONTAL DE CARGADOR</v>
          </cell>
        </row>
        <row r="1666">
          <cell r="D1666" t="str">
            <v>HTJA040078</v>
          </cell>
          <cell r="E1666" t="str">
            <v>7553050217</v>
          </cell>
          <cell r="F1666" t="str">
            <v>AC-2600i PT-Turbo</v>
          </cell>
          <cell r="G1666">
            <v>100000</v>
          </cell>
          <cell r="H1666" t="str">
            <v>Nacional</v>
          </cell>
          <cell r="I1666">
            <v>10</v>
          </cell>
          <cell r="J1666" t="str">
            <v>STD</v>
          </cell>
          <cell r="L1666">
            <v>37981.199999999997</v>
          </cell>
          <cell r="M1666">
            <v>1651.3565217391304</v>
          </cell>
          <cell r="O1666" t="str">
            <v>PLACA FRONTAL DE CARGADOR</v>
          </cell>
        </row>
        <row r="1667">
          <cell r="D1667" t="str">
            <v>HTJA040078</v>
          </cell>
          <cell r="E1667" t="str">
            <v>10054551</v>
          </cell>
          <cell r="F1667" t="str">
            <v>AC-2650 JC49 / GS PLT / DNA</v>
          </cell>
          <cell r="G1667">
            <v>100000</v>
          </cell>
          <cell r="H1667" t="str">
            <v>Nacional</v>
          </cell>
          <cell r="I1667">
            <v>10</v>
          </cell>
          <cell r="J1667" t="str">
            <v>STD</v>
          </cell>
          <cell r="L1667">
            <v>11932</v>
          </cell>
          <cell r="M1667">
            <v>518.78260869565213</v>
          </cell>
          <cell r="O1667" t="str">
            <v>PLACA FRONTAL DE CARGADOR</v>
          </cell>
        </row>
        <row r="1668">
          <cell r="D1668" t="str">
            <v>HTJA040078</v>
          </cell>
          <cell r="E1668" t="str">
            <v>00806342</v>
          </cell>
          <cell r="F1668" t="str">
            <v>AC-2900i VW</v>
          </cell>
          <cell r="G1668">
            <v>100000</v>
          </cell>
          <cell r="H1668" t="str">
            <v>Nacional</v>
          </cell>
          <cell r="I1668">
            <v>10</v>
          </cell>
          <cell r="J1668" t="str">
            <v>STD</v>
          </cell>
          <cell r="L1668">
            <v>23450.400000000001</v>
          </cell>
          <cell r="M1668">
            <v>1019.5826086956522</v>
          </cell>
          <cell r="O1668" t="str">
            <v>PLACA FRONTAL DE CARGADOR</v>
          </cell>
        </row>
        <row r="1669">
          <cell r="D1669" t="str">
            <v>HTJA040078</v>
          </cell>
          <cell r="E1669" t="str">
            <v>10019477T</v>
          </cell>
          <cell r="F1669" t="str">
            <v>AC-3300i FORD</v>
          </cell>
          <cell r="G1669">
            <v>100000</v>
          </cell>
          <cell r="H1669" t="str">
            <v>Nacional</v>
          </cell>
          <cell r="I1669">
            <v>10</v>
          </cell>
          <cell r="J1669" t="str">
            <v>STD</v>
          </cell>
          <cell r="L1669">
            <v>0</v>
          </cell>
          <cell r="M1669">
            <v>0</v>
          </cell>
          <cell r="O1669" t="str">
            <v>PLACA FRONTAL DE CARGADOR</v>
          </cell>
        </row>
        <row r="1670">
          <cell r="D1670" t="str">
            <v>HTJA040078</v>
          </cell>
          <cell r="E1670" t="str">
            <v>4302091005</v>
          </cell>
          <cell r="F1670" t="str">
            <v>C-2000 PL-BODY</v>
          </cell>
          <cell r="G1670">
            <v>100000</v>
          </cell>
          <cell r="H1670" t="str">
            <v>Nacional</v>
          </cell>
          <cell r="I1670">
            <v>10</v>
          </cell>
          <cell r="J1670" t="str">
            <v>STD</v>
          </cell>
          <cell r="L1670">
            <v>0</v>
          </cell>
          <cell r="M1670">
            <v>0</v>
          </cell>
          <cell r="O1670" t="str">
            <v>PLACA FRONTAL DE CARGADOR</v>
          </cell>
        </row>
        <row r="1671">
          <cell r="D1671" t="str">
            <v>HTJA040078</v>
          </cell>
          <cell r="E1671" t="str">
            <v>10060762</v>
          </cell>
          <cell r="F1671" t="str">
            <v>UF-2600i Ford Explorer</v>
          </cell>
          <cell r="G1671">
            <v>100000</v>
          </cell>
          <cell r="H1671" t="str">
            <v>Nacional</v>
          </cell>
          <cell r="I1671">
            <v>10</v>
          </cell>
          <cell r="J1671" t="str">
            <v>STD</v>
          </cell>
          <cell r="L1671">
            <v>0</v>
          </cell>
          <cell r="M1671">
            <v>0</v>
          </cell>
          <cell r="O1671" t="str">
            <v>PLACA FRONTAL DE CARGADOR</v>
          </cell>
        </row>
        <row r="1672">
          <cell r="D1672" t="str">
            <v>HTJA040078</v>
          </cell>
          <cell r="E1672" t="str">
            <v>00806088</v>
          </cell>
          <cell r="F1672" t="str">
            <v>UF-2600i Hyundai</v>
          </cell>
          <cell r="G1672">
            <v>100000</v>
          </cell>
          <cell r="H1672" t="str">
            <v>Nacional</v>
          </cell>
          <cell r="I1672">
            <v>10</v>
          </cell>
          <cell r="J1672" t="str">
            <v>STD</v>
          </cell>
          <cell r="L1672">
            <v>0</v>
          </cell>
          <cell r="M1672">
            <v>0</v>
          </cell>
          <cell r="O1672" t="str">
            <v>PLACA FRONTAL DE CARGADOR</v>
          </cell>
        </row>
        <row r="1673">
          <cell r="D1673" t="str">
            <v>HTJA040078</v>
          </cell>
          <cell r="E1673" t="str">
            <v>8152050226</v>
          </cell>
          <cell r="F1673" t="str">
            <v>UF-2600i PQ-35 VW</v>
          </cell>
          <cell r="G1673">
            <v>100000</v>
          </cell>
          <cell r="H1673" t="str">
            <v>Nacional</v>
          </cell>
          <cell r="I1673">
            <v>10</v>
          </cell>
          <cell r="J1673" t="str">
            <v>STD</v>
          </cell>
          <cell r="L1673">
            <v>38227.399999999994</v>
          </cell>
          <cell r="M1673">
            <v>1662.0608695652172</v>
          </cell>
          <cell r="O1673" t="str">
            <v>PLACA FRONTAL DE CARGADOR</v>
          </cell>
        </row>
        <row r="1674">
          <cell r="D1674" t="str">
            <v>HTJA040078</v>
          </cell>
          <cell r="E1674" t="str">
            <v>10018041</v>
          </cell>
          <cell r="F1674" t="str">
            <v>UF-3300i W</v>
          </cell>
          <cell r="G1674">
            <v>100000</v>
          </cell>
          <cell r="H1674" t="str">
            <v>Nacional</v>
          </cell>
          <cell r="I1674">
            <v>10</v>
          </cell>
          <cell r="J1674" t="str">
            <v>STD</v>
          </cell>
          <cell r="L1674">
            <v>13520.454678603319</v>
          </cell>
          <cell r="M1674">
            <v>587.84585559144864</v>
          </cell>
          <cell r="O1674" t="str">
            <v>PLACA FRONTAL DE CARGADOR</v>
          </cell>
        </row>
        <row r="1675">
          <cell r="D1675" t="str">
            <v>HTJA040078</v>
          </cell>
          <cell r="E1675" t="str">
            <v>7870050221</v>
          </cell>
          <cell r="F1675" t="str">
            <v>UF-3400 PQ-35 VW</v>
          </cell>
          <cell r="G1675">
            <v>100000</v>
          </cell>
          <cell r="H1675" t="str">
            <v>Nacional</v>
          </cell>
          <cell r="I1675">
            <v>10</v>
          </cell>
          <cell r="J1675" t="str">
            <v>STD</v>
          </cell>
          <cell r="L1675">
            <v>45592.200000000012</v>
          </cell>
          <cell r="M1675">
            <v>1982.2695652173918</v>
          </cell>
          <cell r="O1675" t="str">
            <v>PLACA FRONTAL DE CARGADOR</v>
          </cell>
        </row>
        <row r="1676">
          <cell r="D1676" t="str">
            <v>HTJA040078</v>
          </cell>
          <cell r="E1676" t="str">
            <v>10009621</v>
          </cell>
          <cell r="F1676" t="str">
            <v>UF-4600i W</v>
          </cell>
          <cell r="G1676">
            <v>100000</v>
          </cell>
          <cell r="H1676" t="str">
            <v>Nacional</v>
          </cell>
          <cell r="I1676">
            <v>10</v>
          </cell>
          <cell r="J1676" t="str">
            <v>STD</v>
          </cell>
          <cell r="L1676">
            <v>33932.483034337194</v>
          </cell>
          <cell r="M1676">
            <v>1475.3253493190084</v>
          </cell>
          <cell r="O1676" t="str">
            <v>PLACA FRONTAL DE CARGADOR</v>
          </cell>
        </row>
        <row r="1677">
          <cell r="D1677" t="str">
            <v>HTJA040079</v>
          </cell>
          <cell r="E1677" t="str">
            <v>10019426</v>
          </cell>
          <cell r="F1677" t="str">
            <v>AC-1500i Honda 2NX / GMT</v>
          </cell>
          <cell r="G1677">
            <v>8000</v>
          </cell>
          <cell r="H1677" t="str">
            <v>Nacional</v>
          </cell>
          <cell r="I1677">
            <v>6</v>
          </cell>
          <cell r="J1677" t="str">
            <v>AC-1500i</v>
          </cell>
          <cell r="L1677">
            <v>32759.000000000004</v>
          </cell>
          <cell r="M1677">
            <v>1424.3043478260872</v>
          </cell>
          <cell r="O1677" t="str">
            <v>BOQUILLA CERRADA</v>
          </cell>
        </row>
        <row r="1678">
          <cell r="D1678" t="str">
            <v>HTJA040080</v>
          </cell>
          <cell r="E1678" t="str">
            <v>7479050219</v>
          </cell>
          <cell r="F1678" t="str">
            <v>AC-1700i FORD</v>
          </cell>
          <cell r="G1678">
            <v>8000</v>
          </cell>
          <cell r="H1678" t="str">
            <v>Nacional</v>
          </cell>
          <cell r="I1678">
            <v>6</v>
          </cell>
          <cell r="J1678" t="str">
            <v>AC-1700i</v>
          </cell>
          <cell r="L1678">
            <v>38420.799999999996</v>
          </cell>
          <cell r="M1678">
            <v>1670.4695652173912</v>
          </cell>
          <cell r="O1678" t="str">
            <v>BOQUILLA CERRADA</v>
          </cell>
        </row>
        <row r="1679">
          <cell r="D1679" t="str">
            <v>HTJA040081</v>
          </cell>
          <cell r="E1679" t="str">
            <v>4302091005</v>
          </cell>
          <cell r="F1679" t="str">
            <v>C-2000 PL-BODY</v>
          </cell>
          <cell r="G1679">
            <v>5000</v>
          </cell>
          <cell r="H1679" t="str">
            <v>Nacional</v>
          </cell>
          <cell r="I1679">
            <v>6</v>
          </cell>
          <cell r="J1679" t="str">
            <v>C-2000</v>
          </cell>
          <cell r="L1679">
            <v>0</v>
          </cell>
          <cell r="M1679">
            <v>0</v>
          </cell>
          <cell r="O1679" t="str">
            <v>BOQUILLA CERRADA</v>
          </cell>
        </row>
        <row r="1680">
          <cell r="D1680" t="str">
            <v>HTJA040082</v>
          </cell>
          <cell r="E1680" t="str">
            <v>7324050215</v>
          </cell>
          <cell r="F1680" t="str">
            <v>AC-2300i PT-44</v>
          </cell>
          <cell r="G1680">
            <v>5000</v>
          </cell>
          <cell r="H1680" t="str">
            <v>Nacional</v>
          </cell>
          <cell r="I1680">
            <v>6</v>
          </cell>
          <cell r="J1680" t="str">
            <v>AC-2300i</v>
          </cell>
          <cell r="L1680">
            <v>58512.600000000006</v>
          </cell>
          <cell r="M1680">
            <v>2544.0260869565218</v>
          </cell>
          <cell r="O1680" t="str">
            <v>BOQUILLA TRES DEDOS</v>
          </cell>
        </row>
        <row r="1681">
          <cell r="D1681" t="str">
            <v>HTJA040082</v>
          </cell>
          <cell r="E1681" t="str">
            <v>10221803</v>
          </cell>
          <cell r="F1681" t="str">
            <v>AC-2300i Gamma Suv</v>
          </cell>
          <cell r="G1681">
            <v>5000</v>
          </cell>
          <cell r="H1681" t="str">
            <v>Nacional</v>
          </cell>
          <cell r="I1681">
            <v>6</v>
          </cell>
          <cell r="J1681" t="str">
            <v>AC-2300i</v>
          </cell>
          <cell r="L1681">
            <v>0</v>
          </cell>
          <cell r="M1681">
            <v>0</v>
          </cell>
          <cell r="O1681" t="str">
            <v>BOQUILLA TRES DEDOS</v>
          </cell>
        </row>
        <row r="1682">
          <cell r="D1682" t="str">
            <v>HTJA040083</v>
          </cell>
          <cell r="E1682" t="str">
            <v>10019477T</v>
          </cell>
          <cell r="F1682" t="str">
            <v>AC-3300i FORD</v>
          </cell>
          <cell r="G1682">
            <v>10000</v>
          </cell>
          <cell r="H1682" t="str">
            <v>Nacional</v>
          </cell>
          <cell r="I1682">
            <v>8</v>
          </cell>
          <cell r="J1682" t="str">
            <v>AC 3300i</v>
          </cell>
          <cell r="L1682">
            <v>0</v>
          </cell>
          <cell r="M1682">
            <v>0</v>
          </cell>
          <cell r="O1682" t="str">
            <v>MATRIZ</v>
          </cell>
        </row>
        <row r="1683">
          <cell r="D1683" t="str">
            <v>HTJA040084</v>
          </cell>
          <cell r="E1683" t="str">
            <v>10019477T</v>
          </cell>
          <cell r="F1683" t="str">
            <v>AC-3300i FORD</v>
          </cell>
          <cell r="G1683">
            <v>3000</v>
          </cell>
          <cell r="H1683" t="str">
            <v>Nacional</v>
          </cell>
          <cell r="I1683">
            <v>6</v>
          </cell>
          <cell r="J1683" t="str">
            <v>AC 3300i</v>
          </cell>
          <cell r="L1683">
            <v>0</v>
          </cell>
          <cell r="M1683">
            <v>0</v>
          </cell>
          <cell r="O1683" t="str">
            <v>PUNZON</v>
          </cell>
        </row>
        <row r="1684">
          <cell r="D1684" t="str">
            <v>HTJA040085</v>
          </cell>
          <cell r="E1684" t="str">
            <v>10019477T</v>
          </cell>
          <cell r="F1684" t="str">
            <v>AC-3300i FORD</v>
          </cell>
          <cell r="G1684">
            <v>10000</v>
          </cell>
          <cell r="H1684" t="str">
            <v>Nacional</v>
          </cell>
          <cell r="I1684">
            <v>8</v>
          </cell>
          <cell r="J1684" t="str">
            <v>AC 3300i</v>
          </cell>
          <cell r="L1684">
            <v>0</v>
          </cell>
          <cell r="M1684">
            <v>0</v>
          </cell>
          <cell r="O1684" t="str">
            <v>BOQUILLA TRES DEDOS</v>
          </cell>
        </row>
        <row r="1685">
          <cell r="D1685" t="str">
            <v>HTJA040086</v>
          </cell>
          <cell r="E1685" t="str">
            <v>7056050202</v>
          </cell>
          <cell r="F1685" t="str">
            <v>A4 RF-91 Concept One</v>
          </cell>
          <cell r="G1685">
            <v>500000</v>
          </cell>
          <cell r="H1685" t="str">
            <v>Nacional</v>
          </cell>
          <cell r="I1685">
            <v>10</v>
          </cell>
          <cell r="J1685" t="str">
            <v>STD</v>
          </cell>
          <cell r="L1685">
            <v>0</v>
          </cell>
          <cell r="M1685">
            <v>0</v>
          </cell>
          <cell r="O1685" t="str">
            <v>CORONA BASE DE PLATO</v>
          </cell>
        </row>
        <row r="1686">
          <cell r="D1686" t="str">
            <v>HTJA040086</v>
          </cell>
          <cell r="E1686" t="str">
            <v>7174050203</v>
          </cell>
          <cell r="F1686" t="str">
            <v>A4 RF-95</v>
          </cell>
          <cell r="G1686">
            <v>500000</v>
          </cell>
          <cell r="H1686" t="str">
            <v>Nacional</v>
          </cell>
          <cell r="I1686">
            <v>10</v>
          </cell>
          <cell r="J1686" t="str">
            <v>STD</v>
          </cell>
          <cell r="L1686">
            <v>8133.6</v>
          </cell>
          <cell r="M1686">
            <v>353.63478260869567</v>
          </cell>
          <cell r="O1686" t="str">
            <v>CORONA BASE DE PLATO</v>
          </cell>
        </row>
        <row r="1687">
          <cell r="D1687" t="str">
            <v>HTJA040086</v>
          </cell>
          <cell r="E1687" t="str">
            <v>10019426</v>
          </cell>
          <cell r="F1687" t="str">
            <v>AC-1500i Honda 2NX / GMT</v>
          </cell>
          <cell r="G1687">
            <v>500000</v>
          </cell>
          <cell r="H1687" t="str">
            <v>Nacional</v>
          </cell>
          <cell r="I1687">
            <v>10</v>
          </cell>
          <cell r="J1687" t="str">
            <v>STD</v>
          </cell>
          <cell r="L1687">
            <v>32759.000000000004</v>
          </cell>
          <cell r="M1687">
            <v>1424.3043478260872</v>
          </cell>
          <cell r="O1687" t="str">
            <v>CORONA BASE DE PLATO</v>
          </cell>
        </row>
        <row r="1688">
          <cell r="D1688" t="str">
            <v>HTJA040086</v>
          </cell>
          <cell r="E1688" t="str">
            <v>7479050219</v>
          </cell>
          <cell r="F1688" t="str">
            <v>AC-1700i FORD</v>
          </cell>
          <cell r="G1688">
            <v>500000</v>
          </cell>
          <cell r="H1688" t="str">
            <v>Nacional</v>
          </cell>
          <cell r="I1688">
            <v>10</v>
          </cell>
          <cell r="J1688" t="str">
            <v>STD</v>
          </cell>
          <cell r="L1688">
            <v>38420.799999999996</v>
          </cell>
          <cell r="M1688">
            <v>1670.4695652173912</v>
          </cell>
          <cell r="O1688" t="str">
            <v>CORONA BASE DE PLATO</v>
          </cell>
        </row>
        <row r="1689">
          <cell r="D1689" t="str">
            <v>HTJA040086</v>
          </cell>
          <cell r="E1689" t="str">
            <v>8647050233</v>
          </cell>
          <cell r="F1689" t="str">
            <v>AC-2000i Honda Acura</v>
          </cell>
          <cell r="G1689">
            <v>500000</v>
          </cell>
          <cell r="H1689" t="str">
            <v>Nacional</v>
          </cell>
          <cell r="I1689">
            <v>10</v>
          </cell>
          <cell r="J1689" t="str">
            <v>STD</v>
          </cell>
          <cell r="L1689">
            <v>74729.200000000012</v>
          </cell>
          <cell r="M1689">
            <v>3249.0956521739135</v>
          </cell>
          <cell r="O1689" t="str">
            <v>CORONA BASE DE PLATO</v>
          </cell>
        </row>
        <row r="1690">
          <cell r="D1690" t="str">
            <v>HTJA040086</v>
          </cell>
          <cell r="E1690" t="str">
            <v>10221803</v>
          </cell>
          <cell r="F1690" t="str">
            <v>AC-2300i Gamma Suv</v>
          </cell>
          <cell r="G1690">
            <v>500000</v>
          </cell>
          <cell r="H1690" t="str">
            <v>Nacional</v>
          </cell>
          <cell r="I1690">
            <v>10</v>
          </cell>
          <cell r="J1690" t="str">
            <v>STD</v>
          </cell>
          <cell r="L1690">
            <v>0</v>
          </cell>
          <cell r="M1690">
            <v>0</v>
          </cell>
          <cell r="O1690" t="str">
            <v>CORONA BASE DE PLATO</v>
          </cell>
        </row>
        <row r="1691">
          <cell r="D1691" t="str">
            <v>HTJA040086</v>
          </cell>
          <cell r="E1691" t="str">
            <v>7324050215</v>
          </cell>
          <cell r="F1691" t="str">
            <v>AC-2300i PT-44</v>
          </cell>
          <cell r="G1691">
            <v>500000</v>
          </cell>
          <cell r="H1691" t="str">
            <v>Nacional</v>
          </cell>
          <cell r="I1691">
            <v>10</v>
          </cell>
          <cell r="J1691" t="str">
            <v>STD</v>
          </cell>
          <cell r="L1691">
            <v>58512.600000000006</v>
          </cell>
          <cell r="M1691">
            <v>2544.0260869565218</v>
          </cell>
          <cell r="O1691" t="str">
            <v>CORONA BASE DE PLATO</v>
          </cell>
        </row>
        <row r="1692">
          <cell r="D1692" t="str">
            <v>HTJA040086</v>
          </cell>
          <cell r="E1692" t="str">
            <v>10001024R</v>
          </cell>
          <cell r="F1692" t="str">
            <v>AC-2600i Ford Escape</v>
          </cell>
          <cell r="G1692">
            <v>500000</v>
          </cell>
          <cell r="H1692" t="str">
            <v>Nacional</v>
          </cell>
          <cell r="I1692">
            <v>10</v>
          </cell>
          <cell r="J1692" t="str">
            <v>STD</v>
          </cell>
          <cell r="L1692">
            <v>59203</v>
          </cell>
          <cell r="M1692">
            <v>2574.0434782608695</v>
          </cell>
          <cell r="O1692" t="str">
            <v>CORONA BASE DE PLATO</v>
          </cell>
        </row>
        <row r="1693">
          <cell r="D1693" t="str">
            <v>HTJA040086</v>
          </cell>
          <cell r="E1693" t="str">
            <v>7553050217</v>
          </cell>
          <cell r="F1693" t="str">
            <v>AC-2600i PT-Turbo</v>
          </cell>
          <cell r="G1693">
            <v>500000</v>
          </cell>
          <cell r="H1693" t="str">
            <v>Nacional</v>
          </cell>
          <cell r="I1693">
            <v>10</v>
          </cell>
          <cell r="J1693" t="str">
            <v>STD</v>
          </cell>
          <cell r="L1693">
            <v>37981.199999999997</v>
          </cell>
          <cell r="M1693">
            <v>1651.3565217391304</v>
          </cell>
          <cell r="O1693" t="str">
            <v>CORONA BASE DE PLATO</v>
          </cell>
        </row>
        <row r="1694">
          <cell r="D1694" t="str">
            <v>HTJA040086</v>
          </cell>
          <cell r="E1694" t="str">
            <v>10054551</v>
          </cell>
          <cell r="F1694" t="str">
            <v>AC-2650 JC49 / GS PLT / DNA</v>
          </cell>
          <cell r="G1694">
            <v>500000</v>
          </cell>
          <cell r="H1694" t="str">
            <v>Nacional</v>
          </cell>
          <cell r="I1694">
            <v>10</v>
          </cell>
          <cell r="J1694" t="str">
            <v>STD</v>
          </cell>
          <cell r="L1694">
            <v>11932</v>
          </cell>
          <cell r="M1694">
            <v>518.78260869565213</v>
          </cell>
          <cell r="O1694" t="str">
            <v>CORONA BASE DE PLATO</v>
          </cell>
        </row>
        <row r="1695">
          <cell r="D1695" t="str">
            <v>HTJA040086</v>
          </cell>
          <cell r="E1695" t="str">
            <v>00806342</v>
          </cell>
          <cell r="F1695" t="str">
            <v>AC-2900i VW</v>
          </cell>
          <cell r="G1695">
            <v>500000</v>
          </cell>
          <cell r="H1695" t="str">
            <v>Nacional</v>
          </cell>
          <cell r="I1695">
            <v>10</v>
          </cell>
          <cell r="J1695" t="str">
            <v>STD</v>
          </cell>
          <cell r="L1695">
            <v>23450.400000000001</v>
          </cell>
          <cell r="M1695">
            <v>1019.5826086956522</v>
          </cell>
          <cell r="O1695" t="str">
            <v>CORONA BASE DE PLATO</v>
          </cell>
        </row>
        <row r="1696">
          <cell r="D1696" t="str">
            <v>HTJA040086</v>
          </cell>
          <cell r="E1696" t="str">
            <v>10019477T</v>
          </cell>
          <cell r="F1696" t="str">
            <v>AC-3300i FORD</v>
          </cell>
          <cell r="G1696">
            <v>500000</v>
          </cell>
          <cell r="H1696" t="str">
            <v>Nacional</v>
          </cell>
          <cell r="I1696">
            <v>10</v>
          </cell>
          <cell r="J1696" t="str">
            <v>STD</v>
          </cell>
          <cell r="L1696">
            <v>0</v>
          </cell>
          <cell r="M1696">
            <v>0</v>
          </cell>
          <cell r="O1696" t="str">
            <v>CORONA BASE DE PLATO</v>
          </cell>
        </row>
        <row r="1697">
          <cell r="D1697" t="str">
            <v>HTJA040086</v>
          </cell>
          <cell r="E1697" t="str">
            <v>4302091005</v>
          </cell>
          <cell r="F1697" t="str">
            <v>C-2000 PL-BODY</v>
          </cell>
          <cell r="G1697">
            <v>500000</v>
          </cell>
          <cell r="H1697" t="str">
            <v>Nacional</v>
          </cell>
          <cell r="I1697">
            <v>10</v>
          </cell>
          <cell r="J1697" t="str">
            <v>STD</v>
          </cell>
          <cell r="L1697">
            <v>0</v>
          </cell>
          <cell r="M1697">
            <v>0</v>
          </cell>
          <cell r="O1697" t="str">
            <v>CORONA BASE DE PLATO</v>
          </cell>
        </row>
        <row r="1698">
          <cell r="D1698" t="str">
            <v>HTJA040086</v>
          </cell>
          <cell r="E1698" t="str">
            <v>10060762</v>
          </cell>
          <cell r="F1698" t="str">
            <v>UF-2600i Ford Explorer</v>
          </cell>
          <cell r="G1698">
            <v>500000</v>
          </cell>
          <cell r="H1698" t="str">
            <v>Nacional</v>
          </cell>
          <cell r="I1698">
            <v>10</v>
          </cell>
          <cell r="J1698" t="str">
            <v>STD</v>
          </cell>
          <cell r="L1698">
            <v>0</v>
          </cell>
          <cell r="M1698">
            <v>0</v>
          </cell>
          <cell r="O1698" t="str">
            <v>CORONA BASE DE PLATO</v>
          </cell>
        </row>
        <row r="1699">
          <cell r="D1699" t="str">
            <v>HTJA040086</v>
          </cell>
          <cell r="E1699" t="str">
            <v>00806088</v>
          </cell>
          <cell r="F1699" t="str">
            <v>UF-2600i Hyundai</v>
          </cell>
          <cell r="G1699">
            <v>500000</v>
          </cell>
          <cell r="H1699" t="str">
            <v>Nacional</v>
          </cell>
          <cell r="I1699">
            <v>10</v>
          </cell>
          <cell r="J1699" t="str">
            <v>STD</v>
          </cell>
          <cell r="L1699">
            <v>0</v>
          </cell>
          <cell r="M1699">
            <v>0</v>
          </cell>
          <cell r="O1699" t="str">
            <v>CORONA BASE DE PLATO</v>
          </cell>
        </row>
        <row r="1700">
          <cell r="D1700" t="str">
            <v>HTJA040086</v>
          </cell>
          <cell r="E1700" t="str">
            <v>8152050226</v>
          </cell>
          <cell r="F1700" t="str">
            <v>UF-2600i PQ-35 VW</v>
          </cell>
          <cell r="G1700">
            <v>500000</v>
          </cell>
          <cell r="H1700" t="str">
            <v>Nacional</v>
          </cell>
          <cell r="I1700">
            <v>10</v>
          </cell>
          <cell r="J1700" t="str">
            <v>STD</v>
          </cell>
          <cell r="L1700">
            <v>38227.399999999994</v>
          </cell>
          <cell r="M1700">
            <v>1662.0608695652172</v>
          </cell>
          <cell r="O1700" t="str">
            <v>CORONA BASE DE PLATO</v>
          </cell>
        </row>
        <row r="1701">
          <cell r="D1701" t="str">
            <v>HTJA040086</v>
          </cell>
          <cell r="E1701" t="str">
            <v>10018041</v>
          </cell>
          <cell r="F1701" t="str">
            <v>UF-3300i W</v>
          </cell>
          <cell r="G1701">
            <v>500000</v>
          </cell>
          <cell r="H1701" t="str">
            <v>Nacional</v>
          </cell>
          <cell r="I1701">
            <v>10</v>
          </cell>
          <cell r="J1701" t="str">
            <v>STD</v>
          </cell>
          <cell r="L1701">
            <v>13520.454678603319</v>
          </cell>
          <cell r="M1701">
            <v>587.84585559144864</v>
          </cell>
          <cell r="O1701" t="str">
            <v>CORONA BASE DE PLATO</v>
          </cell>
        </row>
        <row r="1702">
          <cell r="D1702" t="str">
            <v>HTJA040086</v>
          </cell>
          <cell r="E1702" t="str">
            <v>7870050221</v>
          </cell>
          <cell r="F1702" t="str">
            <v>UF-3400 PQ-35 VW</v>
          </cell>
          <cell r="G1702">
            <v>500000</v>
          </cell>
          <cell r="H1702" t="str">
            <v>Nacional</v>
          </cell>
          <cell r="I1702">
            <v>10</v>
          </cell>
          <cell r="J1702" t="str">
            <v>STD</v>
          </cell>
          <cell r="L1702">
            <v>45592.200000000012</v>
          </cell>
          <cell r="M1702">
            <v>1982.2695652173918</v>
          </cell>
          <cell r="O1702" t="str">
            <v>CORONA BASE DE PLATO</v>
          </cell>
        </row>
        <row r="1703">
          <cell r="D1703" t="str">
            <v>HTJA040086</v>
          </cell>
          <cell r="E1703" t="str">
            <v>10009621</v>
          </cell>
          <cell r="F1703" t="str">
            <v>UF-4600i W</v>
          </cell>
          <cell r="G1703">
            <v>500000</v>
          </cell>
          <cell r="H1703" t="str">
            <v>Nacional</v>
          </cell>
          <cell r="I1703">
            <v>10</v>
          </cell>
          <cell r="J1703" t="str">
            <v>STD</v>
          </cell>
          <cell r="L1703">
            <v>33932.483034337194</v>
          </cell>
          <cell r="M1703">
            <v>1475.3253493190084</v>
          </cell>
          <cell r="O1703" t="str">
            <v>CORONA BASE DE PLATO</v>
          </cell>
        </row>
        <row r="1704">
          <cell r="D1704" t="str">
            <v>HTJA040088</v>
          </cell>
          <cell r="E1704" t="str">
            <v>7870050221</v>
          </cell>
          <cell r="F1704" t="str">
            <v>UF-3400 PQ-35 VW</v>
          </cell>
          <cell r="G1704">
            <v>200000</v>
          </cell>
          <cell r="H1704" t="str">
            <v>Nacional</v>
          </cell>
          <cell r="I1704">
            <v>8</v>
          </cell>
          <cell r="J1704" t="str">
            <v>UF-3400</v>
          </cell>
          <cell r="L1704">
            <v>45592.200000000012</v>
          </cell>
          <cell r="M1704">
            <v>1982.2695652173918</v>
          </cell>
          <cell r="O1704" t="str">
            <v>PLATO DE APOYO PARA RODAMIENTO</v>
          </cell>
        </row>
        <row r="1705">
          <cell r="D1705" t="str">
            <v>HTJA040089</v>
          </cell>
          <cell r="E1705" t="str">
            <v>10019426</v>
          </cell>
          <cell r="F1705" t="str">
            <v>AC-1500i Honda 2NX / GMT</v>
          </cell>
          <cell r="G1705">
            <v>200000</v>
          </cell>
          <cell r="H1705" t="str">
            <v>Nacional</v>
          </cell>
          <cell r="I1705">
            <v>8</v>
          </cell>
          <cell r="J1705" t="str">
            <v>AC-1500i</v>
          </cell>
          <cell r="L1705">
            <v>32759.000000000004</v>
          </cell>
          <cell r="M1705">
            <v>1424.3043478260872</v>
          </cell>
          <cell r="O1705" t="str">
            <v>PLACA DE DESCARGA CUADRADA</v>
          </cell>
        </row>
        <row r="1706">
          <cell r="D1706" t="str">
            <v>HTJA040090</v>
          </cell>
          <cell r="E1706" t="str">
            <v>7479050219</v>
          </cell>
          <cell r="F1706" t="str">
            <v>AC-1700i FORD</v>
          </cell>
          <cell r="G1706">
            <v>5000</v>
          </cell>
          <cell r="H1706" t="str">
            <v>Nacional</v>
          </cell>
          <cell r="I1706">
            <v>6</v>
          </cell>
          <cell r="J1706" t="str">
            <v>AC-1700i</v>
          </cell>
          <cell r="L1706">
            <v>38420.799999999996</v>
          </cell>
          <cell r="M1706">
            <v>1670.4695652173912</v>
          </cell>
          <cell r="O1706" t="str">
            <v>MATRIZ</v>
          </cell>
        </row>
        <row r="1707">
          <cell r="D1707" t="str">
            <v>HTJA040097</v>
          </cell>
          <cell r="E1707" t="str">
            <v>7870050221</v>
          </cell>
          <cell r="F1707" t="str">
            <v>UF-3400 PQ-35 VW</v>
          </cell>
          <cell r="G1707">
            <v>100000</v>
          </cell>
          <cell r="H1707" t="str">
            <v>Nacional</v>
          </cell>
          <cell r="I1707">
            <v>8</v>
          </cell>
          <cell r="J1707" t="str">
            <v>UF-3400</v>
          </cell>
          <cell r="L1707">
            <v>45592.200000000012</v>
          </cell>
          <cell r="M1707">
            <v>1982.2695652173918</v>
          </cell>
          <cell r="O1707" t="str">
            <v>CONO EXPANSOR CORTO</v>
          </cell>
        </row>
        <row r="1708">
          <cell r="D1708" t="str">
            <v>HTJA040099</v>
          </cell>
          <cell r="E1708" t="str">
            <v>7553050217</v>
          </cell>
          <cell r="F1708" t="str">
            <v>AC-2600i PT-Turbo</v>
          </cell>
          <cell r="G1708">
            <v>4000</v>
          </cell>
          <cell r="H1708" t="str">
            <v>Nacional</v>
          </cell>
          <cell r="I1708">
            <v>6</v>
          </cell>
          <cell r="J1708" t="str">
            <v>AC-2600i</v>
          </cell>
          <cell r="L1708">
            <v>37981.199999999997</v>
          </cell>
          <cell r="M1708">
            <v>1651.3565217391304</v>
          </cell>
          <cell r="O1708" t="str">
            <v>MATRIZ  R 7.10</v>
          </cell>
        </row>
        <row r="1709">
          <cell r="D1709" t="str">
            <v>HTJA040100</v>
          </cell>
          <cell r="E1709" t="str">
            <v>10001024R</v>
          </cell>
          <cell r="F1709" t="str">
            <v>AC-2600i Ford Escape</v>
          </cell>
          <cell r="G1709">
            <v>4000</v>
          </cell>
          <cell r="H1709" t="str">
            <v>Nacional</v>
          </cell>
          <cell r="I1709">
            <v>6</v>
          </cell>
          <cell r="J1709" t="str">
            <v>AC-2600i</v>
          </cell>
          <cell r="L1709">
            <v>59203</v>
          </cell>
          <cell r="M1709">
            <v>2574.0434782608695</v>
          </cell>
          <cell r="O1709" t="str">
            <v>MATRIZ  R 5.50</v>
          </cell>
        </row>
        <row r="1710">
          <cell r="D1710" t="str">
            <v>HTJA040136</v>
          </cell>
          <cell r="E1710" t="str">
            <v>00806342</v>
          </cell>
          <cell r="F1710" t="str">
            <v>AC-2900i VW</v>
          </cell>
          <cell r="G1710">
            <v>10000</v>
          </cell>
          <cell r="H1710" t="str">
            <v>Nacional</v>
          </cell>
          <cell r="I1710">
            <v>11</v>
          </cell>
          <cell r="J1710" t="str">
            <v>AC-2900i</v>
          </cell>
          <cell r="L1710">
            <v>23450.400000000001</v>
          </cell>
          <cell r="M1710">
            <v>1019.5826086956522</v>
          </cell>
          <cell r="O1710" t="str">
            <v>PORTA PUNZÓN CORTO</v>
          </cell>
        </row>
        <row r="1711">
          <cell r="D1711" t="str">
            <v>HTJA040102</v>
          </cell>
          <cell r="E1711" t="str">
            <v>7870050221</v>
          </cell>
          <cell r="F1711" t="str">
            <v>UF-3400 PQ-35 VW</v>
          </cell>
          <cell r="G1711">
            <v>15000</v>
          </cell>
          <cell r="H1711" t="str">
            <v>Nacional</v>
          </cell>
          <cell r="I1711">
            <v>8</v>
          </cell>
          <cell r="J1711" t="str">
            <v>UF-3400</v>
          </cell>
          <cell r="L1711">
            <v>45592.200000000012</v>
          </cell>
          <cell r="M1711">
            <v>1982.2695652173918</v>
          </cell>
          <cell r="O1711" t="str">
            <v>BOQUILLA TRES DEDOS</v>
          </cell>
        </row>
        <row r="1712">
          <cell r="D1712" t="str">
            <v>HTJA040103</v>
          </cell>
          <cell r="E1712" t="str">
            <v>7870050221</v>
          </cell>
          <cell r="F1712" t="str">
            <v>UF-3400 PQ-35 VW</v>
          </cell>
          <cell r="G1712">
            <v>100000</v>
          </cell>
          <cell r="H1712" t="str">
            <v>Nacional</v>
          </cell>
          <cell r="I1712">
            <v>8</v>
          </cell>
          <cell r="J1712" t="str">
            <v>UF-3400</v>
          </cell>
          <cell r="L1712">
            <v>45592.200000000012</v>
          </cell>
          <cell r="M1712">
            <v>1982.2695652173918</v>
          </cell>
          <cell r="O1712" t="str">
            <v>PLACA DE DESCARGA CIRCULAR</v>
          </cell>
        </row>
        <row r="1713">
          <cell r="D1713" t="str">
            <v>HTJA040104</v>
          </cell>
          <cell r="E1713" t="str">
            <v>7056050202</v>
          </cell>
          <cell r="F1713" t="str">
            <v>A4 RF-91 Concept One</v>
          </cell>
          <cell r="G1713">
            <v>200000</v>
          </cell>
          <cell r="H1713" t="str">
            <v>Nacional</v>
          </cell>
          <cell r="I1713">
            <v>10</v>
          </cell>
          <cell r="J1713" t="str">
            <v>STD</v>
          </cell>
          <cell r="L1713">
            <v>0</v>
          </cell>
          <cell r="M1713">
            <v>0</v>
          </cell>
          <cell r="O1713" t="str">
            <v>PLACA PORTA SENSOR DE DESCARGA</v>
          </cell>
        </row>
        <row r="1714">
          <cell r="D1714" t="str">
            <v>HTJA040104</v>
          </cell>
          <cell r="E1714" t="str">
            <v>7174050203</v>
          </cell>
          <cell r="F1714" t="str">
            <v>A4 RF-95</v>
          </cell>
          <cell r="G1714">
            <v>200000</v>
          </cell>
          <cell r="H1714" t="str">
            <v>Nacional</v>
          </cell>
          <cell r="I1714">
            <v>10</v>
          </cell>
          <cell r="J1714" t="str">
            <v>STD</v>
          </cell>
          <cell r="L1714">
            <v>8133.6</v>
          </cell>
          <cell r="M1714">
            <v>353.63478260869567</v>
          </cell>
          <cell r="O1714" t="str">
            <v>PLACA PORTA SENSOR DE DESCARGA</v>
          </cell>
        </row>
        <row r="1715">
          <cell r="D1715" t="str">
            <v>HTJA040104</v>
          </cell>
          <cell r="E1715" t="str">
            <v>10019426</v>
          </cell>
          <cell r="F1715" t="str">
            <v>AC-1500i Honda 2NX / GMT</v>
          </cell>
          <cell r="G1715">
            <v>200000</v>
          </cell>
          <cell r="H1715" t="str">
            <v>Nacional</v>
          </cell>
          <cell r="I1715">
            <v>10</v>
          </cell>
          <cell r="J1715" t="str">
            <v>STD</v>
          </cell>
          <cell r="L1715">
            <v>32759.000000000004</v>
          </cell>
          <cell r="M1715">
            <v>1424.3043478260872</v>
          </cell>
          <cell r="O1715" t="str">
            <v>PLACA PORTA SENSOR DE DESCARGA</v>
          </cell>
        </row>
        <row r="1716">
          <cell r="D1716" t="str">
            <v>HTJA040104</v>
          </cell>
          <cell r="E1716" t="str">
            <v>7479050219</v>
          </cell>
          <cell r="F1716" t="str">
            <v>AC-1700i FORD</v>
          </cell>
          <cell r="G1716">
            <v>200000</v>
          </cell>
          <cell r="H1716" t="str">
            <v>Nacional</v>
          </cell>
          <cell r="I1716">
            <v>10</v>
          </cell>
          <cell r="J1716" t="str">
            <v>STD</v>
          </cell>
          <cell r="L1716">
            <v>38420.799999999996</v>
          </cell>
          <cell r="M1716">
            <v>1670.4695652173912</v>
          </cell>
          <cell r="O1716" t="str">
            <v>PLACA PORTA SENSOR DE DESCARGA</v>
          </cell>
        </row>
        <row r="1717">
          <cell r="D1717" t="str">
            <v>HTJA040104</v>
          </cell>
          <cell r="E1717" t="str">
            <v>8647050233</v>
          </cell>
          <cell r="F1717" t="str">
            <v>AC-2000i Honda Acura</v>
          </cell>
          <cell r="G1717">
            <v>200000</v>
          </cell>
          <cell r="H1717" t="str">
            <v>Nacional</v>
          </cell>
          <cell r="I1717">
            <v>10</v>
          </cell>
          <cell r="J1717" t="str">
            <v>STD</v>
          </cell>
          <cell r="L1717">
            <v>74729.200000000012</v>
          </cell>
          <cell r="M1717">
            <v>3249.0956521739135</v>
          </cell>
          <cell r="O1717" t="str">
            <v>PLACA PORTA SENSOR DE DESCARGA</v>
          </cell>
        </row>
        <row r="1718">
          <cell r="D1718" t="str">
            <v>HTJA040104</v>
          </cell>
          <cell r="E1718" t="str">
            <v>10221803</v>
          </cell>
          <cell r="F1718" t="str">
            <v>AC-2300i Gamma Suv</v>
          </cell>
          <cell r="G1718">
            <v>200000</v>
          </cell>
          <cell r="H1718" t="str">
            <v>Nacional</v>
          </cell>
          <cell r="I1718">
            <v>10</v>
          </cell>
          <cell r="J1718" t="str">
            <v>STD</v>
          </cell>
          <cell r="L1718">
            <v>0</v>
          </cell>
          <cell r="M1718">
            <v>0</v>
          </cell>
          <cell r="O1718" t="str">
            <v>PLACA PORTA SENSOR DE DESCARGA</v>
          </cell>
        </row>
        <row r="1719">
          <cell r="D1719" t="str">
            <v>HTJA040104</v>
          </cell>
          <cell r="E1719" t="str">
            <v>7324050215</v>
          </cell>
          <cell r="F1719" t="str">
            <v>AC-2300i PT-44</v>
          </cell>
          <cell r="G1719">
            <v>200000</v>
          </cell>
          <cell r="H1719" t="str">
            <v>Nacional</v>
          </cell>
          <cell r="I1719">
            <v>10</v>
          </cell>
          <cell r="J1719" t="str">
            <v>STD</v>
          </cell>
          <cell r="L1719">
            <v>58512.600000000006</v>
          </cell>
          <cell r="M1719">
            <v>2544.0260869565218</v>
          </cell>
          <cell r="O1719" t="str">
            <v>PLACA PORTA SENSOR DE DESCARGA</v>
          </cell>
        </row>
        <row r="1720">
          <cell r="D1720" t="str">
            <v>HTJA040104</v>
          </cell>
          <cell r="E1720" t="str">
            <v>10001024R</v>
          </cell>
          <cell r="F1720" t="str">
            <v>AC-2600i Ford Escape</v>
          </cell>
          <cell r="G1720">
            <v>200000</v>
          </cell>
          <cell r="H1720" t="str">
            <v>Nacional</v>
          </cell>
          <cell r="I1720">
            <v>10</v>
          </cell>
          <cell r="J1720" t="str">
            <v>STD</v>
          </cell>
          <cell r="L1720">
            <v>59203</v>
          </cell>
          <cell r="M1720">
            <v>2574.0434782608695</v>
          </cell>
          <cell r="O1720" t="str">
            <v>PLACA PORTA SENSOR DE DESCARGA</v>
          </cell>
        </row>
        <row r="1721">
          <cell r="D1721" t="str">
            <v>HTJA040104</v>
          </cell>
          <cell r="E1721" t="str">
            <v>7553050217</v>
          </cell>
          <cell r="F1721" t="str">
            <v>AC-2600i PT-Turbo</v>
          </cell>
          <cell r="G1721">
            <v>200000</v>
          </cell>
          <cell r="H1721" t="str">
            <v>Nacional</v>
          </cell>
          <cell r="I1721">
            <v>10</v>
          </cell>
          <cell r="J1721" t="str">
            <v>STD</v>
          </cell>
          <cell r="L1721">
            <v>37981.199999999997</v>
          </cell>
          <cell r="M1721">
            <v>1651.3565217391304</v>
          </cell>
          <cell r="O1721" t="str">
            <v>PLACA PORTA SENSOR DE DESCARGA</v>
          </cell>
        </row>
        <row r="1722">
          <cell r="D1722" t="str">
            <v>HTJA040104</v>
          </cell>
          <cell r="E1722" t="str">
            <v>10054551</v>
          </cell>
          <cell r="F1722" t="str">
            <v>AC-2650 JC49 / GS PLT / DNA</v>
          </cell>
          <cell r="G1722">
            <v>200000</v>
          </cell>
          <cell r="H1722" t="str">
            <v>Nacional</v>
          </cell>
          <cell r="I1722">
            <v>10</v>
          </cell>
          <cell r="J1722" t="str">
            <v>STD</v>
          </cell>
          <cell r="L1722">
            <v>11932</v>
          </cell>
          <cell r="M1722">
            <v>518.78260869565213</v>
          </cell>
          <cell r="O1722" t="str">
            <v>PLACA PORTA SENSOR DE DESCARGA</v>
          </cell>
        </row>
        <row r="1723">
          <cell r="D1723" t="str">
            <v>HTJA040104</v>
          </cell>
          <cell r="E1723" t="str">
            <v>00806342</v>
          </cell>
          <cell r="F1723" t="str">
            <v>AC-2900i VW</v>
          </cell>
          <cell r="G1723">
            <v>200000</v>
          </cell>
          <cell r="H1723" t="str">
            <v>Nacional</v>
          </cell>
          <cell r="I1723">
            <v>10</v>
          </cell>
          <cell r="J1723" t="str">
            <v>STD</v>
          </cell>
          <cell r="L1723">
            <v>23450.400000000001</v>
          </cell>
          <cell r="M1723">
            <v>1019.5826086956522</v>
          </cell>
          <cell r="O1723" t="str">
            <v>PLACA PORTA SENSOR DE DESCARGA</v>
          </cell>
        </row>
        <row r="1724">
          <cell r="D1724" t="str">
            <v>HTJA040104</v>
          </cell>
          <cell r="E1724" t="str">
            <v>10019477T</v>
          </cell>
          <cell r="F1724" t="str">
            <v>AC-3300i FORD</v>
          </cell>
          <cell r="G1724">
            <v>200000</v>
          </cell>
          <cell r="H1724" t="str">
            <v>Nacional</v>
          </cell>
          <cell r="I1724">
            <v>10</v>
          </cell>
          <cell r="J1724" t="str">
            <v>STD</v>
          </cell>
          <cell r="L1724">
            <v>0</v>
          </cell>
          <cell r="M1724">
            <v>0</v>
          </cell>
          <cell r="O1724" t="str">
            <v>PLACA PORTA SENSOR DE DESCARGA</v>
          </cell>
        </row>
        <row r="1725">
          <cell r="D1725" t="str">
            <v>HTJA040104</v>
          </cell>
          <cell r="E1725" t="str">
            <v>4302091005</v>
          </cell>
          <cell r="F1725" t="str">
            <v>C-2000 PL-BODY</v>
          </cell>
          <cell r="G1725">
            <v>200000</v>
          </cell>
          <cell r="H1725" t="str">
            <v>Nacional</v>
          </cell>
          <cell r="I1725">
            <v>10</v>
          </cell>
          <cell r="J1725" t="str">
            <v>STD</v>
          </cell>
          <cell r="L1725">
            <v>0</v>
          </cell>
          <cell r="M1725">
            <v>0</v>
          </cell>
          <cell r="O1725" t="str">
            <v>PLACA PORTA SENSOR DE DESCARGA</v>
          </cell>
        </row>
        <row r="1726">
          <cell r="D1726" t="str">
            <v>HTJA040104</v>
          </cell>
          <cell r="E1726" t="str">
            <v>10060762</v>
          </cell>
          <cell r="F1726" t="str">
            <v>UF-2600i Ford Explorer</v>
          </cell>
          <cell r="G1726">
            <v>200000</v>
          </cell>
          <cell r="H1726" t="str">
            <v>Nacional</v>
          </cell>
          <cell r="I1726">
            <v>10</v>
          </cell>
          <cell r="J1726" t="str">
            <v>STD</v>
          </cell>
          <cell r="L1726">
            <v>0</v>
          </cell>
          <cell r="M1726">
            <v>0</v>
          </cell>
          <cell r="O1726" t="str">
            <v>PLACA PORTA SENSOR DE DESCARGA</v>
          </cell>
        </row>
        <row r="1727">
          <cell r="D1727" t="str">
            <v>HTJA040104</v>
          </cell>
          <cell r="E1727" t="str">
            <v>00806088</v>
          </cell>
          <cell r="F1727" t="str">
            <v>UF-2600i Hyundai</v>
          </cell>
          <cell r="G1727">
            <v>200000</v>
          </cell>
          <cell r="H1727" t="str">
            <v>Nacional</v>
          </cell>
          <cell r="I1727">
            <v>10</v>
          </cell>
          <cell r="J1727" t="str">
            <v>STD</v>
          </cell>
          <cell r="L1727">
            <v>0</v>
          </cell>
          <cell r="M1727">
            <v>0</v>
          </cell>
          <cell r="O1727" t="str">
            <v>PLACA PORTA SENSOR DE DESCARGA</v>
          </cell>
        </row>
        <row r="1728">
          <cell r="D1728" t="str">
            <v>HTJA040104</v>
          </cell>
          <cell r="E1728" t="str">
            <v>8152050226</v>
          </cell>
          <cell r="F1728" t="str">
            <v>UF-2600i PQ-35 VW</v>
          </cell>
          <cell r="G1728">
            <v>200000</v>
          </cell>
          <cell r="H1728" t="str">
            <v>Nacional</v>
          </cell>
          <cell r="I1728">
            <v>10</v>
          </cell>
          <cell r="J1728" t="str">
            <v>STD</v>
          </cell>
          <cell r="L1728">
            <v>38227.399999999994</v>
          </cell>
          <cell r="M1728">
            <v>1662.0608695652172</v>
          </cell>
          <cell r="O1728" t="str">
            <v>PLACA PORTA SENSOR DE DESCARGA</v>
          </cell>
        </row>
        <row r="1729">
          <cell r="D1729" t="str">
            <v>HTJA040104</v>
          </cell>
          <cell r="E1729" t="str">
            <v>10018041</v>
          </cell>
          <cell r="F1729" t="str">
            <v>UF-3300i W</v>
          </cell>
          <cell r="G1729">
            <v>200000</v>
          </cell>
          <cell r="H1729" t="str">
            <v>Nacional</v>
          </cell>
          <cell r="I1729">
            <v>10</v>
          </cell>
          <cell r="J1729" t="str">
            <v>STD</v>
          </cell>
          <cell r="L1729">
            <v>13520.454678603319</v>
          </cell>
          <cell r="M1729">
            <v>587.84585559144864</v>
          </cell>
          <cell r="O1729" t="str">
            <v>PLACA PORTA SENSOR DE DESCARGA</v>
          </cell>
        </row>
        <row r="1730">
          <cell r="D1730" t="str">
            <v>HTJA040104</v>
          </cell>
          <cell r="E1730" t="str">
            <v>7870050221</v>
          </cell>
          <cell r="F1730" t="str">
            <v>UF-3400 PQ-35 VW</v>
          </cell>
          <cell r="G1730">
            <v>200000</v>
          </cell>
          <cell r="H1730" t="str">
            <v>Nacional</v>
          </cell>
          <cell r="I1730">
            <v>10</v>
          </cell>
          <cell r="J1730" t="str">
            <v>STD</v>
          </cell>
          <cell r="L1730">
            <v>45592.200000000012</v>
          </cell>
          <cell r="M1730">
            <v>1982.2695652173918</v>
          </cell>
          <cell r="O1730" t="str">
            <v>PLACA PORTA SENSOR DE DESCARGA</v>
          </cell>
        </row>
        <row r="1731">
          <cell r="D1731" t="str">
            <v>HTJA040104</v>
          </cell>
          <cell r="E1731" t="str">
            <v>10009621</v>
          </cell>
          <cell r="F1731" t="str">
            <v>UF-4600i W</v>
          </cell>
          <cell r="G1731">
            <v>200000</v>
          </cell>
          <cell r="H1731" t="str">
            <v>Nacional</v>
          </cell>
          <cell r="I1731">
            <v>10</v>
          </cell>
          <cell r="J1731" t="str">
            <v>STD</v>
          </cell>
          <cell r="L1731">
            <v>33932.483034337194</v>
          </cell>
          <cell r="M1731">
            <v>1475.3253493190084</v>
          </cell>
          <cell r="O1731" t="str">
            <v>PLACA PORTA SENSOR DE DESCARGA</v>
          </cell>
        </row>
        <row r="1732">
          <cell r="D1732" t="str">
            <v>HTJA040107</v>
          </cell>
          <cell r="E1732" t="str">
            <v>7056050202</v>
          </cell>
          <cell r="F1732" t="str">
            <v>A4 RF-91 Concept One</v>
          </cell>
          <cell r="G1732">
            <v>200000</v>
          </cell>
          <cell r="H1732" t="str">
            <v>Nacional</v>
          </cell>
          <cell r="I1732">
            <v>10</v>
          </cell>
          <cell r="J1732" t="str">
            <v>STD</v>
          </cell>
          <cell r="L1732">
            <v>0</v>
          </cell>
          <cell r="M1732">
            <v>0</v>
          </cell>
          <cell r="O1732" t="str">
            <v>PLACA GUARDA INFERIOR DE POKAYOKE</v>
          </cell>
        </row>
        <row r="1733">
          <cell r="D1733" t="str">
            <v>HTJA040107</v>
          </cell>
          <cell r="E1733" t="str">
            <v>7174050203</v>
          </cell>
          <cell r="F1733" t="str">
            <v>A4 RF-95</v>
          </cell>
          <cell r="G1733">
            <v>200000</v>
          </cell>
          <cell r="H1733" t="str">
            <v>Nacional</v>
          </cell>
          <cell r="I1733">
            <v>10</v>
          </cell>
          <cell r="J1733" t="str">
            <v>STD</v>
          </cell>
          <cell r="L1733">
            <v>8133.6</v>
          </cell>
          <cell r="M1733">
            <v>353.63478260869567</v>
          </cell>
          <cell r="O1733" t="str">
            <v>PLACA GUARDA INFERIOR DE POKAYOKE</v>
          </cell>
        </row>
        <row r="1734">
          <cell r="D1734" t="str">
            <v>HTJA040107</v>
          </cell>
          <cell r="E1734" t="str">
            <v>10019426</v>
          </cell>
          <cell r="F1734" t="str">
            <v>AC-1500i Honda 2NX / GMT</v>
          </cell>
          <cell r="G1734">
            <v>200000</v>
          </cell>
          <cell r="H1734" t="str">
            <v>Nacional</v>
          </cell>
          <cell r="I1734">
            <v>10</v>
          </cell>
          <cell r="J1734" t="str">
            <v>STD</v>
          </cell>
          <cell r="L1734">
            <v>32759.000000000004</v>
          </cell>
          <cell r="M1734">
            <v>1424.3043478260872</v>
          </cell>
          <cell r="O1734" t="str">
            <v>PLACA GUARDA INFERIOR DE POKAYOKE</v>
          </cell>
        </row>
        <row r="1735">
          <cell r="D1735" t="str">
            <v>HTJA040107</v>
          </cell>
          <cell r="E1735" t="str">
            <v>7479050219</v>
          </cell>
          <cell r="F1735" t="str">
            <v>AC-1700i FORD</v>
          </cell>
          <cell r="G1735">
            <v>200000</v>
          </cell>
          <cell r="H1735" t="str">
            <v>Nacional</v>
          </cell>
          <cell r="I1735">
            <v>10</v>
          </cell>
          <cell r="J1735" t="str">
            <v>STD</v>
          </cell>
          <cell r="L1735">
            <v>38420.799999999996</v>
          </cell>
          <cell r="M1735">
            <v>1670.4695652173912</v>
          </cell>
          <cell r="O1735" t="str">
            <v>PLACA GUARDA INFERIOR DE POKAYOKE</v>
          </cell>
        </row>
        <row r="1736">
          <cell r="D1736" t="str">
            <v>HTJA040107</v>
          </cell>
          <cell r="E1736" t="str">
            <v>8647050233</v>
          </cell>
          <cell r="F1736" t="str">
            <v>AC-2000i Honda Acura</v>
          </cell>
          <cell r="G1736">
            <v>200000</v>
          </cell>
          <cell r="H1736" t="str">
            <v>Nacional</v>
          </cell>
          <cell r="I1736">
            <v>10</v>
          </cell>
          <cell r="J1736" t="str">
            <v>STD</v>
          </cell>
          <cell r="L1736">
            <v>74729.200000000012</v>
          </cell>
          <cell r="M1736">
            <v>3249.0956521739135</v>
          </cell>
          <cell r="O1736" t="str">
            <v>PLACA GUARDA INFERIOR DE POKAYOKE</v>
          </cell>
        </row>
        <row r="1737">
          <cell r="D1737" t="str">
            <v>HTJA040107</v>
          </cell>
          <cell r="E1737" t="str">
            <v>10221803</v>
          </cell>
          <cell r="F1737" t="str">
            <v>AC-2300i Gamma Suv</v>
          </cell>
          <cell r="G1737">
            <v>200000</v>
          </cell>
          <cell r="H1737" t="str">
            <v>Nacional</v>
          </cell>
          <cell r="I1737">
            <v>10</v>
          </cell>
          <cell r="J1737" t="str">
            <v>STD</v>
          </cell>
          <cell r="L1737">
            <v>0</v>
          </cell>
          <cell r="M1737">
            <v>0</v>
          </cell>
          <cell r="O1737" t="str">
            <v>PLACA GUARDA INFERIOR DE POKAYOKE</v>
          </cell>
        </row>
        <row r="1738">
          <cell r="D1738" t="str">
            <v>HTJA040107</v>
          </cell>
          <cell r="E1738" t="str">
            <v>7324050215</v>
          </cell>
          <cell r="F1738" t="str">
            <v>AC-2300i PT-44</v>
          </cell>
          <cell r="G1738">
            <v>200000</v>
          </cell>
          <cell r="H1738" t="str">
            <v>Nacional</v>
          </cell>
          <cell r="I1738">
            <v>10</v>
          </cell>
          <cell r="J1738" t="str">
            <v>STD</v>
          </cell>
          <cell r="L1738">
            <v>58512.600000000006</v>
          </cell>
          <cell r="M1738">
            <v>2544.0260869565218</v>
          </cell>
          <cell r="O1738" t="str">
            <v>PLACA GUARDA INFERIOR DE POKAYOKE</v>
          </cell>
        </row>
        <row r="1739">
          <cell r="D1739" t="str">
            <v>HTJA040107</v>
          </cell>
          <cell r="E1739" t="str">
            <v>10001024R</v>
          </cell>
          <cell r="F1739" t="str">
            <v>AC-2600i Ford Escape</v>
          </cell>
          <cell r="G1739">
            <v>200000</v>
          </cell>
          <cell r="H1739" t="str">
            <v>Nacional</v>
          </cell>
          <cell r="I1739">
            <v>10</v>
          </cell>
          <cell r="J1739" t="str">
            <v>STD</v>
          </cell>
          <cell r="L1739">
            <v>59203</v>
          </cell>
          <cell r="M1739">
            <v>2574.0434782608695</v>
          </cell>
          <cell r="O1739" t="str">
            <v>PLACA GUARDA INFERIOR DE POKAYOKE</v>
          </cell>
        </row>
        <row r="1740">
          <cell r="D1740" t="str">
            <v>HTJA040107</v>
          </cell>
          <cell r="E1740" t="str">
            <v>7553050217</v>
          </cell>
          <cell r="F1740" t="str">
            <v>AC-2600i PT-Turbo</v>
          </cell>
          <cell r="G1740">
            <v>200000</v>
          </cell>
          <cell r="H1740" t="str">
            <v>Nacional</v>
          </cell>
          <cell r="I1740">
            <v>10</v>
          </cell>
          <cell r="J1740" t="str">
            <v>STD</v>
          </cell>
          <cell r="L1740">
            <v>37981.199999999997</v>
          </cell>
          <cell r="M1740">
            <v>1651.3565217391304</v>
          </cell>
          <cell r="O1740" t="str">
            <v>PLACA GUARDA INFERIOR DE POKAYOKE</v>
          </cell>
        </row>
        <row r="1741">
          <cell r="D1741" t="str">
            <v>HTJA040107</v>
          </cell>
          <cell r="E1741" t="str">
            <v>10054551</v>
          </cell>
          <cell r="F1741" t="str">
            <v>AC-2650 JC49 / GS PLT / DNA</v>
          </cell>
          <cell r="G1741">
            <v>200000</v>
          </cell>
          <cell r="H1741" t="str">
            <v>Nacional</v>
          </cell>
          <cell r="I1741">
            <v>10</v>
          </cell>
          <cell r="J1741" t="str">
            <v>STD</v>
          </cell>
          <cell r="L1741">
            <v>11932</v>
          </cell>
          <cell r="M1741">
            <v>518.78260869565213</v>
          </cell>
          <cell r="O1741" t="str">
            <v>PLACA GUARDA INFERIOR DE POKAYOKE</v>
          </cell>
        </row>
        <row r="1742">
          <cell r="D1742" t="str">
            <v>HTJA040107</v>
          </cell>
          <cell r="E1742" t="str">
            <v>00806342</v>
          </cell>
          <cell r="F1742" t="str">
            <v>AC-2900i VW</v>
          </cell>
          <cell r="G1742">
            <v>200000</v>
          </cell>
          <cell r="H1742" t="str">
            <v>Nacional</v>
          </cell>
          <cell r="I1742">
            <v>10</v>
          </cell>
          <cell r="J1742" t="str">
            <v>STD</v>
          </cell>
          <cell r="L1742">
            <v>23450.400000000001</v>
          </cell>
          <cell r="M1742">
            <v>1019.5826086956522</v>
          </cell>
          <cell r="O1742" t="str">
            <v>PLACA GUARDA INFERIOR DE POKAYOKE</v>
          </cell>
        </row>
        <row r="1743">
          <cell r="D1743" t="str">
            <v>HTJA040107</v>
          </cell>
          <cell r="E1743" t="str">
            <v>10019477T</v>
          </cell>
          <cell r="F1743" t="str">
            <v>AC-3300i FORD</v>
          </cell>
          <cell r="G1743">
            <v>200000</v>
          </cell>
          <cell r="H1743" t="str">
            <v>Nacional</v>
          </cell>
          <cell r="I1743">
            <v>10</v>
          </cell>
          <cell r="J1743" t="str">
            <v>STD</v>
          </cell>
          <cell r="L1743">
            <v>0</v>
          </cell>
          <cell r="M1743">
            <v>0</v>
          </cell>
          <cell r="O1743" t="str">
            <v>PLACA GUARDA INFERIOR DE POKAYOKE</v>
          </cell>
        </row>
        <row r="1744">
          <cell r="D1744" t="str">
            <v>HTJA040107</v>
          </cell>
          <cell r="E1744" t="str">
            <v>4302091005</v>
          </cell>
          <cell r="F1744" t="str">
            <v>C-2000 PL-BODY</v>
          </cell>
          <cell r="G1744">
            <v>200000</v>
          </cell>
          <cell r="H1744" t="str">
            <v>Nacional</v>
          </cell>
          <cell r="I1744">
            <v>10</v>
          </cell>
          <cell r="J1744" t="str">
            <v>STD</v>
          </cell>
          <cell r="L1744">
            <v>0</v>
          </cell>
          <cell r="M1744">
            <v>0</v>
          </cell>
          <cell r="O1744" t="str">
            <v>PLACA GUARDA INFERIOR DE POKAYOKE</v>
          </cell>
        </row>
        <row r="1745">
          <cell r="D1745" t="str">
            <v>HTJA040107</v>
          </cell>
          <cell r="E1745" t="str">
            <v>10060762</v>
          </cell>
          <cell r="F1745" t="str">
            <v>UF-2600i Ford Explorer</v>
          </cell>
          <cell r="G1745">
            <v>200000</v>
          </cell>
          <cell r="H1745" t="str">
            <v>Nacional</v>
          </cell>
          <cell r="I1745">
            <v>10</v>
          </cell>
          <cell r="J1745" t="str">
            <v>STD</v>
          </cell>
          <cell r="L1745">
            <v>0</v>
          </cell>
          <cell r="M1745">
            <v>0</v>
          </cell>
          <cell r="O1745" t="str">
            <v>PLACA GUARDA INFERIOR DE POKAYOKE</v>
          </cell>
        </row>
        <row r="1746">
          <cell r="D1746" t="str">
            <v>HTJA040107</v>
          </cell>
          <cell r="E1746" t="str">
            <v>00806088</v>
          </cell>
          <cell r="F1746" t="str">
            <v>UF-2600i Hyundai</v>
          </cell>
          <cell r="G1746">
            <v>200000</v>
          </cell>
          <cell r="H1746" t="str">
            <v>Nacional</v>
          </cell>
          <cell r="I1746">
            <v>10</v>
          </cell>
          <cell r="J1746" t="str">
            <v>STD</v>
          </cell>
          <cell r="L1746">
            <v>0</v>
          </cell>
          <cell r="M1746">
            <v>0</v>
          </cell>
          <cell r="O1746" t="str">
            <v>PLACA GUARDA INFERIOR DE POKAYOKE</v>
          </cell>
        </row>
        <row r="1747">
          <cell r="D1747" t="str">
            <v>HTJA040107</v>
          </cell>
          <cell r="E1747" t="str">
            <v>8152050226</v>
          </cell>
          <cell r="F1747" t="str">
            <v>UF-2600i PQ-35 VW</v>
          </cell>
          <cell r="G1747">
            <v>200000</v>
          </cell>
          <cell r="H1747" t="str">
            <v>Nacional</v>
          </cell>
          <cell r="I1747">
            <v>10</v>
          </cell>
          <cell r="J1747" t="str">
            <v>STD</v>
          </cell>
          <cell r="L1747">
            <v>38227.399999999994</v>
          </cell>
          <cell r="M1747">
            <v>1662.0608695652172</v>
          </cell>
          <cell r="O1747" t="str">
            <v>PLACA GUARDA INFERIOR DE POKAYOKE</v>
          </cell>
        </row>
        <row r="1748">
          <cell r="D1748" t="str">
            <v>HTJA040107</v>
          </cell>
          <cell r="E1748" t="str">
            <v>10018041</v>
          </cell>
          <cell r="F1748" t="str">
            <v>UF-3300i W</v>
          </cell>
          <cell r="G1748">
            <v>200000</v>
          </cell>
          <cell r="H1748" t="str">
            <v>Nacional</v>
          </cell>
          <cell r="I1748">
            <v>10</v>
          </cell>
          <cell r="J1748" t="str">
            <v>STD</v>
          </cell>
          <cell r="L1748">
            <v>13520.454678603319</v>
          </cell>
          <cell r="M1748">
            <v>587.84585559144864</v>
          </cell>
          <cell r="O1748" t="str">
            <v>PLACA GUARDA INFERIOR DE POKAYOKE</v>
          </cell>
        </row>
        <row r="1749">
          <cell r="D1749" t="str">
            <v>HTJA040107</v>
          </cell>
          <cell r="E1749" t="str">
            <v>7870050221</v>
          </cell>
          <cell r="F1749" t="str">
            <v>UF-3400 PQ-35 VW</v>
          </cell>
          <cell r="G1749">
            <v>200000</v>
          </cell>
          <cell r="H1749" t="str">
            <v>Nacional</v>
          </cell>
          <cell r="I1749">
            <v>10</v>
          </cell>
          <cell r="J1749" t="str">
            <v>STD</v>
          </cell>
          <cell r="L1749">
            <v>45592.200000000012</v>
          </cell>
          <cell r="M1749">
            <v>1982.2695652173918</v>
          </cell>
          <cell r="O1749" t="str">
            <v>PLACA GUARDA INFERIOR DE POKAYOKE</v>
          </cell>
        </row>
        <row r="1750">
          <cell r="D1750" t="str">
            <v>HTJA040107</v>
          </cell>
          <cell r="E1750" t="str">
            <v>10009621</v>
          </cell>
          <cell r="F1750" t="str">
            <v>UF-4600i W</v>
          </cell>
          <cell r="G1750">
            <v>200000</v>
          </cell>
          <cell r="H1750" t="str">
            <v>Nacional</v>
          </cell>
          <cell r="I1750">
            <v>10</v>
          </cell>
          <cell r="J1750" t="str">
            <v>STD</v>
          </cell>
          <cell r="L1750">
            <v>33932.483034337194</v>
          </cell>
          <cell r="M1750">
            <v>1475.3253493190084</v>
          </cell>
          <cell r="O1750" t="str">
            <v>PLACA GUARDA INFERIOR DE POKAYOKE</v>
          </cell>
        </row>
        <row r="1751">
          <cell r="D1751" t="str">
            <v>HTJA040114</v>
          </cell>
          <cell r="E1751" t="str">
            <v>4302091005</v>
          </cell>
          <cell r="F1751" t="str">
            <v>C-2000 PL-BODY</v>
          </cell>
          <cell r="G1751">
            <v>5000</v>
          </cell>
          <cell r="H1751" t="str">
            <v>Nacional</v>
          </cell>
          <cell r="I1751">
            <v>6</v>
          </cell>
          <cell r="J1751" t="str">
            <v>C-2000</v>
          </cell>
          <cell r="L1751">
            <v>0</v>
          </cell>
          <cell r="M1751">
            <v>0</v>
          </cell>
          <cell r="O1751" t="str">
            <v>MATRIZ</v>
          </cell>
        </row>
        <row r="1752">
          <cell r="D1752" t="str">
            <v>HTJA040115</v>
          </cell>
          <cell r="E1752" t="str">
            <v>8647050233</v>
          </cell>
          <cell r="F1752" t="str">
            <v>AC-2000i Honda Acura</v>
          </cell>
          <cell r="G1752">
            <v>5000</v>
          </cell>
          <cell r="H1752" t="str">
            <v>Nacional</v>
          </cell>
          <cell r="I1752">
            <v>6</v>
          </cell>
          <cell r="J1752" t="str">
            <v>AC-2000i</v>
          </cell>
          <cell r="L1752">
            <v>74729.200000000012</v>
          </cell>
          <cell r="M1752">
            <v>3249.0956521739135</v>
          </cell>
          <cell r="O1752" t="str">
            <v>MATRIZ</v>
          </cell>
        </row>
        <row r="1753">
          <cell r="D1753" t="str">
            <v>HTJA040116</v>
          </cell>
          <cell r="E1753" t="str">
            <v>10019426</v>
          </cell>
          <cell r="F1753" t="str">
            <v>AC-1500i Honda 2NX / GMT</v>
          </cell>
          <cell r="G1753">
            <v>200000</v>
          </cell>
          <cell r="H1753" t="str">
            <v>Nacional</v>
          </cell>
          <cell r="I1753">
            <v>8</v>
          </cell>
          <cell r="J1753" t="str">
            <v>AC-1500i</v>
          </cell>
          <cell r="L1753">
            <v>32759.000000000004</v>
          </cell>
          <cell r="M1753">
            <v>1424.3043478260872</v>
          </cell>
          <cell r="O1753" t="str">
            <v>PLATO DE APOYO PARA RODAMIENTO</v>
          </cell>
        </row>
        <row r="1754">
          <cell r="D1754" t="str">
            <v>HTJA040117</v>
          </cell>
          <cell r="E1754" t="str">
            <v>7479050219</v>
          </cell>
          <cell r="F1754" t="str">
            <v>AC-1700i FORD</v>
          </cell>
          <cell r="G1754">
            <v>200000</v>
          </cell>
          <cell r="H1754" t="str">
            <v>Nacional</v>
          </cell>
          <cell r="I1754">
            <v>8</v>
          </cell>
          <cell r="J1754" t="str">
            <v>AC-1700i</v>
          </cell>
          <cell r="L1754">
            <v>38420.799999999996</v>
          </cell>
          <cell r="M1754">
            <v>1670.4695652173912</v>
          </cell>
          <cell r="O1754" t="str">
            <v>PLATO DE APOYO PARA RODAMIENTO</v>
          </cell>
        </row>
        <row r="1755">
          <cell r="D1755" t="str">
            <v>HTJA040118</v>
          </cell>
          <cell r="E1755" t="str">
            <v>7174050203</v>
          </cell>
          <cell r="F1755" t="str">
            <v>A4 RF-95</v>
          </cell>
          <cell r="G1755">
            <v>200000</v>
          </cell>
          <cell r="H1755" t="str">
            <v>Nacional</v>
          </cell>
          <cell r="I1755">
            <v>8</v>
          </cell>
          <cell r="J1755" t="str">
            <v>A4 RF-95</v>
          </cell>
          <cell r="L1755">
            <v>8133.6</v>
          </cell>
          <cell r="M1755">
            <v>353.63478260869567</v>
          </cell>
          <cell r="O1755" t="str">
            <v>PLATO DE APOYO</v>
          </cell>
        </row>
        <row r="1756">
          <cell r="D1756" t="str">
            <v>HTJA040119</v>
          </cell>
          <cell r="E1756" t="str">
            <v>7174050203</v>
          </cell>
          <cell r="F1756" t="str">
            <v>A4 RF-95</v>
          </cell>
          <cell r="G1756">
            <v>4000</v>
          </cell>
          <cell r="H1756" t="str">
            <v>Nacional</v>
          </cell>
          <cell r="I1756">
            <v>6</v>
          </cell>
          <cell r="J1756" t="str">
            <v>A4 RF-95</v>
          </cell>
          <cell r="L1756">
            <v>8133.6</v>
          </cell>
          <cell r="M1756">
            <v>353.63478260869567</v>
          </cell>
          <cell r="O1756" t="str">
            <v>MATRIZ</v>
          </cell>
        </row>
        <row r="1757">
          <cell r="D1757" t="str">
            <v>HTJA040205</v>
          </cell>
          <cell r="E1757" t="str">
            <v>10009621</v>
          </cell>
          <cell r="F1757" t="str">
            <v>UF-4600i W</v>
          </cell>
          <cell r="G1757">
            <v>8000</v>
          </cell>
          <cell r="H1757" t="str">
            <v>Nacional</v>
          </cell>
          <cell r="I1757">
            <v>10</v>
          </cell>
          <cell r="J1757" t="str">
            <v>UF-4600</v>
          </cell>
          <cell r="L1757">
            <v>33932.483034337194</v>
          </cell>
          <cell r="M1757">
            <v>1475.3253493190084</v>
          </cell>
          <cell r="O1757" t="str">
            <v>PORTA PUNZÓN CORTO</v>
          </cell>
        </row>
        <row r="1758">
          <cell r="D1758" t="str">
            <v>HTJA040121</v>
          </cell>
          <cell r="E1758" t="str">
            <v>7174050203</v>
          </cell>
          <cell r="F1758" t="str">
            <v>A4 RF-95</v>
          </cell>
          <cell r="G1758">
            <v>5000</v>
          </cell>
          <cell r="H1758" t="str">
            <v>Nacional</v>
          </cell>
          <cell r="I1758">
            <v>6</v>
          </cell>
          <cell r="J1758" t="str">
            <v>A4 RF-95</v>
          </cell>
          <cell r="L1758">
            <v>8133.6</v>
          </cell>
          <cell r="M1758">
            <v>353.63478260869567</v>
          </cell>
          <cell r="O1758" t="str">
            <v>PUNZON</v>
          </cell>
        </row>
        <row r="1759">
          <cell r="D1759" t="str">
            <v>HTJA040122</v>
          </cell>
          <cell r="E1759" t="str">
            <v>10054551</v>
          </cell>
          <cell r="F1759" t="str">
            <v>AC-2650 JC49 / GS PLT / DNA</v>
          </cell>
          <cell r="G1759">
            <v>200000</v>
          </cell>
          <cell r="H1759" t="str">
            <v>Nacional</v>
          </cell>
          <cell r="I1759">
            <v>8</v>
          </cell>
          <cell r="J1759" t="str">
            <v>AC-2650</v>
          </cell>
          <cell r="L1759">
            <v>11932</v>
          </cell>
          <cell r="M1759">
            <v>518.78260869565213</v>
          </cell>
          <cell r="O1759" t="str">
            <v>PLATO DE APOYO</v>
          </cell>
        </row>
        <row r="1760">
          <cell r="D1760" t="str">
            <v>HTJA040123</v>
          </cell>
          <cell r="E1760" t="str">
            <v>10054551</v>
          </cell>
          <cell r="F1760" t="str">
            <v>AC-2650 JC49 / GS PLT / DNA</v>
          </cell>
          <cell r="G1760">
            <v>5000</v>
          </cell>
          <cell r="H1760" t="str">
            <v>Nacional</v>
          </cell>
          <cell r="I1760">
            <v>6</v>
          </cell>
          <cell r="J1760" t="str">
            <v>AC-2650</v>
          </cell>
          <cell r="L1760">
            <v>11932</v>
          </cell>
          <cell r="M1760">
            <v>518.78260869565213</v>
          </cell>
          <cell r="O1760" t="str">
            <v>PUNZON</v>
          </cell>
        </row>
        <row r="1761">
          <cell r="D1761" t="str">
            <v>HTJA040124</v>
          </cell>
          <cell r="E1761" t="str">
            <v>10054551</v>
          </cell>
          <cell r="F1761" t="str">
            <v>AC-2650 JC49 / GS PLT / DNA</v>
          </cell>
          <cell r="G1761">
            <v>6000</v>
          </cell>
          <cell r="H1761" t="str">
            <v>Nacional</v>
          </cell>
          <cell r="I1761">
            <v>6</v>
          </cell>
          <cell r="J1761" t="str">
            <v>AC-2650</v>
          </cell>
          <cell r="L1761">
            <v>11932</v>
          </cell>
          <cell r="M1761">
            <v>518.78260869565213</v>
          </cell>
          <cell r="O1761" t="str">
            <v>MATRIZ</v>
          </cell>
        </row>
        <row r="1762">
          <cell r="D1762" t="str">
            <v>HTJA040125</v>
          </cell>
          <cell r="E1762" t="str">
            <v>00806088</v>
          </cell>
          <cell r="F1762" t="str">
            <v>UF-2600i Hyundai</v>
          </cell>
          <cell r="G1762">
            <v>4000</v>
          </cell>
          <cell r="H1762" t="str">
            <v>Nacional</v>
          </cell>
          <cell r="I1762">
            <v>6</v>
          </cell>
          <cell r="J1762" t="str">
            <v>UF-2600i</v>
          </cell>
          <cell r="L1762">
            <v>0</v>
          </cell>
          <cell r="M1762">
            <v>0</v>
          </cell>
          <cell r="O1762" t="str">
            <v>PUNZON</v>
          </cell>
        </row>
        <row r="1763">
          <cell r="D1763" t="str">
            <v>HTJA040125</v>
          </cell>
          <cell r="E1763" t="str">
            <v>10060762</v>
          </cell>
          <cell r="F1763" t="str">
            <v>UF-2600i Ford Explorer</v>
          </cell>
          <cell r="G1763">
            <v>4000</v>
          </cell>
          <cell r="H1763" t="str">
            <v>Nacional</v>
          </cell>
          <cell r="I1763">
            <v>6</v>
          </cell>
          <cell r="J1763" t="str">
            <v>UF-2600i</v>
          </cell>
          <cell r="L1763">
            <v>0</v>
          </cell>
          <cell r="M1763">
            <v>0</v>
          </cell>
          <cell r="O1763" t="str">
            <v>PUNZON</v>
          </cell>
        </row>
        <row r="1764">
          <cell r="D1764" t="str">
            <v>HTJA040125</v>
          </cell>
          <cell r="E1764" t="str">
            <v>8152050226</v>
          </cell>
          <cell r="F1764" t="str">
            <v>UF-2600i PQ-35 VW</v>
          </cell>
          <cell r="G1764">
            <v>4000</v>
          </cell>
          <cell r="H1764" t="str">
            <v>Nacional</v>
          </cell>
          <cell r="I1764">
            <v>6</v>
          </cell>
          <cell r="J1764" t="str">
            <v>UF-2600i</v>
          </cell>
          <cell r="L1764">
            <v>38227.399999999994</v>
          </cell>
          <cell r="M1764">
            <v>1662.0608695652172</v>
          </cell>
          <cell r="O1764" t="str">
            <v>PUNZON</v>
          </cell>
        </row>
        <row r="1765">
          <cell r="D1765" t="str">
            <v>HTJA040126</v>
          </cell>
          <cell r="E1765" t="str">
            <v>10060762</v>
          </cell>
          <cell r="F1765" t="str">
            <v>UF-2600i Ford Explorer</v>
          </cell>
          <cell r="G1765">
            <v>5000</v>
          </cell>
          <cell r="H1765" t="str">
            <v>Nacional</v>
          </cell>
          <cell r="I1765">
            <v>6</v>
          </cell>
          <cell r="J1765" t="str">
            <v>UF-2600i</v>
          </cell>
          <cell r="L1765">
            <v>0</v>
          </cell>
          <cell r="M1765">
            <v>0</v>
          </cell>
          <cell r="O1765" t="str">
            <v>MATRIZ</v>
          </cell>
        </row>
        <row r="1766">
          <cell r="D1766" t="str">
            <v>HTJA040126</v>
          </cell>
          <cell r="E1766" t="str">
            <v>00806088</v>
          </cell>
          <cell r="F1766" t="str">
            <v>UF-2600i Hyundai</v>
          </cell>
          <cell r="G1766">
            <v>5000</v>
          </cell>
          <cell r="H1766" t="str">
            <v>Nacional</v>
          </cell>
          <cell r="I1766">
            <v>6</v>
          </cell>
          <cell r="J1766" t="str">
            <v>UF-2600i</v>
          </cell>
          <cell r="L1766">
            <v>0</v>
          </cell>
          <cell r="M1766">
            <v>0</v>
          </cell>
          <cell r="O1766" t="str">
            <v>MATRIZ</v>
          </cell>
        </row>
        <row r="1767">
          <cell r="D1767" t="str">
            <v>HTJA040126</v>
          </cell>
          <cell r="E1767" t="str">
            <v>8152050226</v>
          </cell>
          <cell r="F1767" t="str">
            <v>UF-2600i PQ-35 VW</v>
          </cell>
          <cell r="G1767">
            <v>5000</v>
          </cell>
          <cell r="H1767" t="str">
            <v>Nacional</v>
          </cell>
          <cell r="I1767">
            <v>6</v>
          </cell>
          <cell r="J1767" t="str">
            <v>UF-2600i</v>
          </cell>
          <cell r="L1767">
            <v>38227.399999999994</v>
          </cell>
          <cell r="M1767">
            <v>1662.0608695652172</v>
          </cell>
          <cell r="O1767" t="str">
            <v>MATRIZ</v>
          </cell>
        </row>
        <row r="1768">
          <cell r="D1768" t="str">
            <v>HTJA040015</v>
          </cell>
          <cell r="E1768" t="str">
            <v>7174050203</v>
          </cell>
          <cell r="F1768" t="str">
            <v>A4 RF-95</v>
          </cell>
          <cell r="G1768">
            <v>10000</v>
          </cell>
          <cell r="H1768" t="str">
            <v>Nacional</v>
          </cell>
          <cell r="I1768">
            <v>11</v>
          </cell>
          <cell r="J1768" t="str">
            <v>A4 RF-95</v>
          </cell>
          <cell r="L1768">
            <v>8133.6</v>
          </cell>
          <cell r="M1768">
            <v>353.63478260869567</v>
          </cell>
          <cell r="O1768" t="str">
            <v>PORTA PUNZÓN LARGO</v>
          </cell>
        </row>
        <row r="1769">
          <cell r="D1769" t="str">
            <v>HTJA040056</v>
          </cell>
          <cell r="E1769" t="str">
            <v>7324050215</v>
          </cell>
          <cell r="F1769" t="str">
            <v>AC-2300i PT-44</v>
          </cell>
          <cell r="G1769">
            <v>8000</v>
          </cell>
          <cell r="H1769" t="str">
            <v>Nacional</v>
          </cell>
          <cell r="I1769">
            <v>11</v>
          </cell>
          <cell r="J1769" t="str">
            <v>AC-2300i</v>
          </cell>
          <cell r="L1769">
            <v>58512.600000000006</v>
          </cell>
          <cell r="M1769">
            <v>2544.0260869565218</v>
          </cell>
          <cell r="O1769" t="str">
            <v>PORTA PUNZÓN LARGO</v>
          </cell>
        </row>
        <row r="1770">
          <cell r="D1770" t="str">
            <v>HTJA040131</v>
          </cell>
          <cell r="E1770" t="str">
            <v>10060480</v>
          </cell>
          <cell r="F1770" t="str">
            <v>UF-2650 / UF 2500</v>
          </cell>
          <cell r="G1770">
            <v>100000</v>
          </cell>
          <cell r="H1770" t="str">
            <v>Nacional</v>
          </cell>
          <cell r="I1770">
            <v>10</v>
          </cell>
          <cell r="J1770" t="str">
            <v>UF-2650</v>
          </cell>
          <cell r="L1770">
            <v>58</v>
          </cell>
          <cell r="M1770">
            <v>2.5217391304347827</v>
          </cell>
          <cell r="O1770" t="str">
            <v>PLATO DE APOYO PARA RODAMIENTO</v>
          </cell>
        </row>
        <row r="1771">
          <cell r="D1771" t="str">
            <v>HTJA040133</v>
          </cell>
          <cell r="E1771" t="str">
            <v>10060480</v>
          </cell>
          <cell r="F1771" t="str">
            <v>UF-2650 / UF 2500</v>
          </cell>
          <cell r="G1771">
            <v>3000</v>
          </cell>
          <cell r="H1771" t="str">
            <v>Nacional</v>
          </cell>
          <cell r="I1771">
            <v>6</v>
          </cell>
          <cell r="J1771" t="str">
            <v>UF-2650</v>
          </cell>
          <cell r="L1771">
            <v>58</v>
          </cell>
          <cell r="M1771">
            <v>2.5217391304347827</v>
          </cell>
          <cell r="O1771" t="str">
            <v>MATRIZ</v>
          </cell>
        </row>
        <row r="1772">
          <cell r="D1772" t="str">
            <v>HTJA040134</v>
          </cell>
          <cell r="E1772" t="str">
            <v>10060480</v>
          </cell>
          <cell r="F1772" t="str">
            <v>UF-2650 / UF 2500</v>
          </cell>
          <cell r="G1772">
            <v>8000</v>
          </cell>
          <cell r="H1772" t="str">
            <v>Nacional</v>
          </cell>
          <cell r="I1772">
            <v>6</v>
          </cell>
          <cell r="J1772" t="str">
            <v>UF-2650</v>
          </cell>
          <cell r="L1772">
            <v>58</v>
          </cell>
          <cell r="M1772">
            <v>2.5217391304347827</v>
          </cell>
          <cell r="O1772" t="str">
            <v>BOQUILLA CERRADA</v>
          </cell>
        </row>
        <row r="1773">
          <cell r="D1773" t="str">
            <v>HTJA040135</v>
          </cell>
          <cell r="E1773" t="str">
            <v>10060480</v>
          </cell>
          <cell r="F1773" t="str">
            <v>UF-2650 / UF 2500</v>
          </cell>
          <cell r="G1773">
            <v>100000</v>
          </cell>
          <cell r="H1773" t="str">
            <v>Nacional</v>
          </cell>
          <cell r="I1773">
            <v>10</v>
          </cell>
          <cell r="J1773" t="str">
            <v>UF-2650</v>
          </cell>
          <cell r="L1773">
            <v>58</v>
          </cell>
          <cell r="M1773">
            <v>2.5217391304347827</v>
          </cell>
          <cell r="O1773" t="str">
            <v>PLACA CIRCULAR DE DESCARGA</v>
          </cell>
        </row>
        <row r="1774">
          <cell r="D1774" t="str">
            <v>HTJA040056</v>
          </cell>
          <cell r="E1774" t="str">
            <v>10221803</v>
          </cell>
          <cell r="F1774" t="str">
            <v>AC-2300i Gamma Suv</v>
          </cell>
          <cell r="G1774">
            <v>8000</v>
          </cell>
          <cell r="H1774" t="str">
            <v>Nacional</v>
          </cell>
          <cell r="I1774">
            <v>11</v>
          </cell>
          <cell r="J1774" t="str">
            <v>AC-2300i</v>
          </cell>
          <cell r="L1774">
            <v>0</v>
          </cell>
          <cell r="M1774">
            <v>0</v>
          </cell>
          <cell r="O1774" t="str">
            <v>PORTA PUNZÓN LARGO</v>
          </cell>
        </row>
        <row r="1775">
          <cell r="D1775" t="str">
            <v>HTJA040138</v>
          </cell>
          <cell r="E1775" t="str">
            <v>00806342</v>
          </cell>
          <cell r="F1775" t="str">
            <v>AC-2900i VW</v>
          </cell>
          <cell r="G1775">
            <v>5000</v>
          </cell>
          <cell r="H1775" t="str">
            <v>Nacional</v>
          </cell>
          <cell r="I1775">
            <v>6</v>
          </cell>
          <cell r="J1775" t="str">
            <v>AC-2900i</v>
          </cell>
          <cell r="L1775">
            <v>23450.400000000001</v>
          </cell>
          <cell r="M1775">
            <v>1019.5826086956522</v>
          </cell>
          <cell r="O1775" t="str">
            <v>PUNZON</v>
          </cell>
        </row>
        <row r="1776">
          <cell r="D1776" t="str">
            <v>HTJA040139</v>
          </cell>
          <cell r="E1776" t="str">
            <v>00806342</v>
          </cell>
          <cell r="F1776" t="str">
            <v>AC-2900i VW</v>
          </cell>
          <cell r="G1776">
            <v>5000</v>
          </cell>
          <cell r="H1776" t="str">
            <v>Nacional</v>
          </cell>
          <cell r="I1776">
            <v>6</v>
          </cell>
          <cell r="J1776" t="str">
            <v>AC-2900i</v>
          </cell>
          <cell r="L1776">
            <v>23450.400000000001</v>
          </cell>
          <cell r="M1776">
            <v>1019.5826086956522</v>
          </cell>
          <cell r="O1776" t="str">
            <v>MATRIZ</v>
          </cell>
        </row>
        <row r="1777">
          <cell r="D1777" t="str">
            <v>HTJA040140</v>
          </cell>
          <cell r="E1777" t="str">
            <v>00806342</v>
          </cell>
          <cell r="F1777" t="str">
            <v>AC-2900i VW</v>
          </cell>
          <cell r="G1777">
            <v>8000</v>
          </cell>
          <cell r="H1777" t="str">
            <v>Nacional</v>
          </cell>
          <cell r="I1777">
            <v>6</v>
          </cell>
          <cell r="J1777" t="str">
            <v>AC-2900i</v>
          </cell>
          <cell r="L1777">
            <v>23450.400000000001</v>
          </cell>
          <cell r="M1777">
            <v>1019.5826086956522</v>
          </cell>
          <cell r="O1777" t="str">
            <v>BOQUILLA CERRADA</v>
          </cell>
        </row>
        <row r="1778">
          <cell r="D1778" t="str">
            <v>HTJA040141</v>
          </cell>
          <cell r="E1778" t="str">
            <v>00806342</v>
          </cell>
          <cell r="F1778" t="str">
            <v>AC-2900i VW</v>
          </cell>
          <cell r="G1778">
            <v>200000</v>
          </cell>
          <cell r="H1778" t="str">
            <v>Nacional</v>
          </cell>
          <cell r="I1778">
            <v>8</v>
          </cell>
          <cell r="J1778" t="str">
            <v>AC-2900i</v>
          </cell>
          <cell r="L1778">
            <v>23450.400000000001</v>
          </cell>
          <cell r="M1778">
            <v>1019.5826086956522</v>
          </cell>
          <cell r="O1778" t="str">
            <v>PLACA CIRCULAR DE DESCARGA</v>
          </cell>
        </row>
        <row r="1779">
          <cell r="D1779" t="str">
            <v>HTJA040142</v>
          </cell>
          <cell r="E1779" t="str">
            <v>7056050202</v>
          </cell>
          <cell r="F1779" t="str">
            <v>A4 RF-91 Concept One</v>
          </cell>
          <cell r="G1779">
            <v>100000</v>
          </cell>
          <cell r="H1779" t="str">
            <v>Nacional</v>
          </cell>
          <cell r="I1779">
            <v>8</v>
          </cell>
          <cell r="J1779" t="str">
            <v>STD</v>
          </cell>
          <cell r="L1779">
            <v>0</v>
          </cell>
          <cell r="M1779">
            <v>0</v>
          </cell>
          <cell r="O1779" t="str">
            <v>CONO EXPANSOR PARA BOQUILLA ø39.50</v>
          </cell>
        </row>
        <row r="1780">
          <cell r="D1780" t="str">
            <v>HTJA040142</v>
          </cell>
          <cell r="E1780" t="str">
            <v>7174050203</v>
          </cell>
          <cell r="F1780" t="str">
            <v>A4 RF-95</v>
          </cell>
          <cell r="G1780">
            <v>100000</v>
          </cell>
          <cell r="H1780" t="str">
            <v>Nacional</v>
          </cell>
          <cell r="I1780">
            <v>8</v>
          </cell>
          <cell r="J1780" t="str">
            <v>STD</v>
          </cell>
          <cell r="L1780">
            <v>8133.6</v>
          </cell>
          <cell r="M1780">
            <v>353.63478260869567</v>
          </cell>
          <cell r="O1780" t="str">
            <v>CONO EXPANSOR PARA BOQUILLA ø39.50</v>
          </cell>
        </row>
        <row r="1781">
          <cell r="D1781" t="str">
            <v>HTJA040142</v>
          </cell>
          <cell r="E1781" t="str">
            <v>10019426</v>
          </cell>
          <cell r="F1781" t="str">
            <v>AC-1500i Honda 2NX / GMT</v>
          </cell>
          <cell r="G1781">
            <v>100000</v>
          </cell>
          <cell r="H1781" t="str">
            <v>Nacional</v>
          </cell>
          <cell r="I1781">
            <v>8</v>
          </cell>
          <cell r="J1781" t="str">
            <v>STD</v>
          </cell>
          <cell r="L1781">
            <v>32759.000000000004</v>
          </cell>
          <cell r="M1781">
            <v>1424.3043478260872</v>
          </cell>
          <cell r="O1781" t="str">
            <v>CONO EXPANSOR PARA BOQUILLA ø39.50</v>
          </cell>
        </row>
        <row r="1782">
          <cell r="D1782" t="str">
            <v>HTJA040142</v>
          </cell>
          <cell r="E1782" t="str">
            <v>7479050219</v>
          </cell>
          <cell r="F1782" t="str">
            <v>AC-1700i FORD</v>
          </cell>
          <cell r="G1782">
            <v>100000</v>
          </cell>
          <cell r="H1782" t="str">
            <v>Nacional</v>
          </cell>
          <cell r="I1782">
            <v>8</v>
          </cell>
          <cell r="J1782" t="str">
            <v>STD</v>
          </cell>
          <cell r="L1782">
            <v>38420.799999999996</v>
          </cell>
          <cell r="M1782">
            <v>1670.4695652173912</v>
          </cell>
          <cell r="O1782" t="str">
            <v>CONO EXPANSOR PARA BOQUILLA ø39.50</v>
          </cell>
        </row>
        <row r="1783">
          <cell r="D1783" t="str">
            <v>HTJA040142</v>
          </cell>
          <cell r="E1783" t="str">
            <v>8647050233</v>
          </cell>
          <cell r="F1783" t="str">
            <v>AC-2000i Honda Acura</v>
          </cell>
          <cell r="G1783">
            <v>100000</v>
          </cell>
          <cell r="H1783" t="str">
            <v>Nacional</v>
          </cell>
          <cell r="I1783">
            <v>8</v>
          </cell>
          <cell r="J1783" t="str">
            <v>STD</v>
          </cell>
          <cell r="L1783">
            <v>74729.200000000012</v>
          </cell>
          <cell r="M1783">
            <v>3249.0956521739135</v>
          </cell>
          <cell r="O1783" t="str">
            <v>CONO EXPANSOR PARA BOQUILLA ø39.50</v>
          </cell>
        </row>
        <row r="1784">
          <cell r="D1784" t="str">
            <v>HTJA040142</v>
          </cell>
          <cell r="E1784" t="str">
            <v>10221803</v>
          </cell>
          <cell r="F1784" t="str">
            <v>AC-2300i Gamma Suv</v>
          </cell>
          <cell r="G1784">
            <v>100000</v>
          </cell>
          <cell r="H1784" t="str">
            <v>Nacional</v>
          </cell>
          <cell r="I1784">
            <v>8</v>
          </cell>
          <cell r="J1784" t="str">
            <v>STD</v>
          </cell>
          <cell r="L1784">
            <v>0</v>
          </cell>
          <cell r="M1784">
            <v>0</v>
          </cell>
          <cell r="O1784" t="str">
            <v>CONO EXPANSOR PARA BOQUILLA ø39.50</v>
          </cell>
        </row>
        <row r="1785">
          <cell r="D1785" t="str">
            <v>HTJA040142</v>
          </cell>
          <cell r="E1785" t="str">
            <v>7324050215</v>
          </cell>
          <cell r="F1785" t="str">
            <v>AC-2300i PT-44</v>
          </cell>
          <cell r="G1785">
            <v>100000</v>
          </cell>
          <cell r="H1785" t="str">
            <v>Nacional</v>
          </cell>
          <cell r="I1785">
            <v>8</v>
          </cell>
          <cell r="J1785" t="str">
            <v>STD</v>
          </cell>
          <cell r="L1785">
            <v>58512.600000000006</v>
          </cell>
          <cell r="M1785">
            <v>2544.0260869565218</v>
          </cell>
          <cell r="O1785" t="str">
            <v>CONO EXPANSOR PARA BOQUILLA ø39.50</v>
          </cell>
        </row>
        <row r="1786">
          <cell r="D1786" t="str">
            <v>HTJA040142</v>
          </cell>
          <cell r="E1786" t="str">
            <v>10001024R</v>
          </cell>
          <cell r="F1786" t="str">
            <v>AC-2600i Ford Escape</v>
          </cell>
          <cell r="G1786">
            <v>100000</v>
          </cell>
          <cell r="H1786" t="str">
            <v>Nacional</v>
          </cell>
          <cell r="I1786">
            <v>8</v>
          </cell>
          <cell r="J1786" t="str">
            <v>STD</v>
          </cell>
          <cell r="L1786">
            <v>59203</v>
          </cell>
          <cell r="M1786">
            <v>2574.0434782608695</v>
          </cell>
          <cell r="O1786" t="str">
            <v>CONO EXPANSOR PARA BOQUILLA ø39.50</v>
          </cell>
        </row>
        <row r="1787">
          <cell r="D1787" t="str">
            <v>HTJA040142</v>
          </cell>
          <cell r="E1787" t="str">
            <v>7553050217</v>
          </cell>
          <cell r="F1787" t="str">
            <v>AC-2600i PT-Turbo</v>
          </cell>
          <cell r="G1787">
            <v>100000</v>
          </cell>
          <cell r="H1787" t="str">
            <v>Nacional</v>
          </cell>
          <cell r="I1787">
            <v>8</v>
          </cell>
          <cell r="J1787" t="str">
            <v>STD</v>
          </cell>
          <cell r="L1787">
            <v>37981.199999999997</v>
          </cell>
          <cell r="M1787">
            <v>1651.3565217391304</v>
          </cell>
          <cell r="O1787" t="str">
            <v>CONO EXPANSOR PARA BOQUILLA ø39.50</v>
          </cell>
        </row>
        <row r="1788">
          <cell r="D1788" t="str">
            <v>HTJA040142</v>
          </cell>
          <cell r="E1788" t="str">
            <v>10054551</v>
          </cell>
          <cell r="F1788" t="str">
            <v>AC-2650 JC49 / GS PLT / DNA</v>
          </cell>
          <cell r="G1788">
            <v>100000</v>
          </cell>
          <cell r="H1788" t="str">
            <v>Nacional</v>
          </cell>
          <cell r="I1788">
            <v>8</v>
          </cell>
          <cell r="J1788" t="str">
            <v>STD</v>
          </cell>
          <cell r="L1788">
            <v>11932</v>
          </cell>
          <cell r="M1788">
            <v>518.78260869565213</v>
          </cell>
          <cell r="O1788" t="str">
            <v>CONO EXPANSOR PARA BOQUILLA ø39.50</v>
          </cell>
        </row>
        <row r="1789">
          <cell r="D1789" t="str">
            <v>HTJA040142</v>
          </cell>
          <cell r="E1789" t="str">
            <v>00806342</v>
          </cell>
          <cell r="F1789" t="str">
            <v>AC-2900i VW</v>
          </cell>
          <cell r="G1789">
            <v>100000</v>
          </cell>
          <cell r="H1789" t="str">
            <v>Nacional</v>
          </cell>
          <cell r="I1789">
            <v>8</v>
          </cell>
          <cell r="J1789" t="str">
            <v>STD</v>
          </cell>
          <cell r="L1789">
            <v>23450.400000000001</v>
          </cell>
          <cell r="M1789">
            <v>1019.5826086956522</v>
          </cell>
          <cell r="O1789" t="str">
            <v>CONO EXPANSOR PARA BOQUILLA ø39.50</v>
          </cell>
        </row>
        <row r="1790">
          <cell r="D1790" t="str">
            <v>HTJA040142</v>
          </cell>
          <cell r="E1790" t="str">
            <v>10019477T</v>
          </cell>
          <cell r="F1790" t="str">
            <v>AC-3300i FORD</v>
          </cell>
          <cell r="G1790">
            <v>100000</v>
          </cell>
          <cell r="H1790" t="str">
            <v>Nacional</v>
          </cell>
          <cell r="I1790">
            <v>8</v>
          </cell>
          <cell r="J1790" t="str">
            <v>STD</v>
          </cell>
          <cell r="L1790">
            <v>0</v>
          </cell>
          <cell r="M1790">
            <v>0</v>
          </cell>
          <cell r="O1790" t="str">
            <v>CONO EXPANSOR PARA BOQUILLA ø39.50</v>
          </cell>
        </row>
        <row r="1791">
          <cell r="D1791" t="str">
            <v>HTJA040142</v>
          </cell>
          <cell r="E1791" t="str">
            <v>4302091005</v>
          </cell>
          <cell r="F1791" t="str">
            <v>C-2000 PL-BODY</v>
          </cell>
          <cell r="G1791">
            <v>100000</v>
          </cell>
          <cell r="H1791" t="str">
            <v>Nacional</v>
          </cell>
          <cell r="I1791">
            <v>8</v>
          </cell>
          <cell r="J1791" t="str">
            <v>STD</v>
          </cell>
          <cell r="L1791">
            <v>0</v>
          </cell>
          <cell r="M1791">
            <v>0</v>
          </cell>
          <cell r="O1791" t="str">
            <v>CONO EXPANSOR PARA BOQUILLA ø39.50</v>
          </cell>
        </row>
        <row r="1792">
          <cell r="D1792" t="str">
            <v>HTJA040142</v>
          </cell>
          <cell r="E1792" t="str">
            <v>10060762</v>
          </cell>
          <cell r="F1792" t="str">
            <v>UF-2600i Ford Explorer</v>
          </cell>
          <cell r="G1792">
            <v>100000</v>
          </cell>
          <cell r="H1792" t="str">
            <v>Nacional</v>
          </cell>
          <cell r="I1792">
            <v>8</v>
          </cell>
          <cell r="J1792" t="str">
            <v>STD</v>
          </cell>
          <cell r="L1792">
            <v>0</v>
          </cell>
          <cell r="M1792">
            <v>0</v>
          </cell>
          <cell r="O1792" t="str">
            <v>CONO EXPANSOR PARA BOQUILLA ø39.50</v>
          </cell>
        </row>
        <row r="1793">
          <cell r="D1793" t="str">
            <v>HTJA040142</v>
          </cell>
          <cell r="E1793" t="str">
            <v>00806088</v>
          </cell>
          <cell r="F1793" t="str">
            <v>UF-2600i Hyundai</v>
          </cell>
          <cell r="G1793">
            <v>100000</v>
          </cell>
          <cell r="H1793" t="str">
            <v>Nacional</v>
          </cell>
          <cell r="I1793">
            <v>8</v>
          </cell>
          <cell r="J1793" t="str">
            <v>STD</v>
          </cell>
          <cell r="L1793">
            <v>0</v>
          </cell>
          <cell r="M1793">
            <v>0</v>
          </cell>
          <cell r="O1793" t="str">
            <v>CONO EXPANSOR PARA BOQUILLA ø39.50</v>
          </cell>
        </row>
        <row r="1794">
          <cell r="D1794" t="str">
            <v>HTJA040142</v>
          </cell>
          <cell r="E1794" t="str">
            <v>8152050226</v>
          </cell>
          <cell r="F1794" t="str">
            <v>UF-2600i PQ-35 VW</v>
          </cell>
          <cell r="G1794">
            <v>100000</v>
          </cell>
          <cell r="H1794" t="str">
            <v>Nacional</v>
          </cell>
          <cell r="I1794">
            <v>8</v>
          </cell>
          <cell r="J1794" t="str">
            <v>STD</v>
          </cell>
          <cell r="L1794">
            <v>38227.399999999994</v>
          </cell>
          <cell r="M1794">
            <v>1662.0608695652172</v>
          </cell>
          <cell r="O1794" t="str">
            <v>CONO EXPANSOR PARA BOQUILLA ø39.50</v>
          </cell>
        </row>
        <row r="1795">
          <cell r="D1795" t="str">
            <v>HTJA040142</v>
          </cell>
          <cell r="E1795" t="str">
            <v>10018041</v>
          </cell>
          <cell r="F1795" t="str">
            <v>UF-3300i W</v>
          </cell>
          <cell r="G1795">
            <v>100000</v>
          </cell>
          <cell r="H1795" t="str">
            <v>Nacional</v>
          </cell>
          <cell r="I1795">
            <v>8</v>
          </cell>
          <cell r="J1795" t="str">
            <v>STD</v>
          </cell>
          <cell r="L1795">
            <v>13520.454678603319</v>
          </cell>
          <cell r="M1795">
            <v>587.84585559144864</v>
          </cell>
          <cell r="O1795" t="str">
            <v>CONO EXPANSOR PARA BOQUILLA ø39.50</v>
          </cell>
        </row>
        <row r="1796">
          <cell r="D1796" t="str">
            <v>HTJA040142</v>
          </cell>
          <cell r="E1796" t="str">
            <v>7870050221</v>
          </cell>
          <cell r="F1796" t="str">
            <v>UF-3400 PQ-35 VW</v>
          </cell>
          <cell r="G1796">
            <v>100000</v>
          </cell>
          <cell r="H1796" t="str">
            <v>Nacional</v>
          </cell>
          <cell r="I1796">
            <v>8</v>
          </cell>
          <cell r="J1796" t="str">
            <v>STD</v>
          </cell>
          <cell r="L1796">
            <v>45592.200000000012</v>
          </cell>
          <cell r="M1796">
            <v>1982.2695652173918</v>
          </cell>
          <cell r="O1796" t="str">
            <v>CONO EXPANSOR PARA BOQUILLA ø39.50</v>
          </cell>
        </row>
        <row r="1797">
          <cell r="D1797" t="str">
            <v>HTJA040142</v>
          </cell>
          <cell r="E1797" t="str">
            <v>10009621</v>
          </cell>
          <cell r="F1797" t="str">
            <v>UF-4600i W</v>
          </cell>
          <cell r="G1797">
            <v>100000</v>
          </cell>
          <cell r="H1797" t="str">
            <v>Nacional</v>
          </cell>
          <cell r="I1797">
            <v>8</v>
          </cell>
          <cell r="J1797" t="str">
            <v>STD</v>
          </cell>
          <cell r="L1797">
            <v>33932.483034337194</v>
          </cell>
          <cell r="M1797">
            <v>1475.3253493190084</v>
          </cell>
          <cell r="O1797" t="str">
            <v>CONO EXPANSOR PARA BOQUILLA ø39.50</v>
          </cell>
        </row>
        <row r="1798">
          <cell r="D1798" t="str">
            <v>HTJA040060</v>
          </cell>
          <cell r="E1798" t="str">
            <v>7553050217</v>
          </cell>
          <cell r="F1798" t="str">
            <v>AC-2600i PT-Turbo</v>
          </cell>
          <cell r="G1798">
            <v>25000</v>
          </cell>
          <cell r="H1798" t="str">
            <v>Nacional</v>
          </cell>
          <cell r="I1798">
            <v>10</v>
          </cell>
          <cell r="J1798" t="str">
            <v>AC-2600i</v>
          </cell>
          <cell r="L1798">
            <v>37981.199999999997</v>
          </cell>
          <cell r="M1798">
            <v>1651.3565217391304</v>
          </cell>
          <cell r="O1798" t="str">
            <v>PORTA PUNZÓN LARGO</v>
          </cell>
        </row>
        <row r="1799">
          <cell r="D1799" t="str">
            <v>HTJA040152</v>
          </cell>
          <cell r="E1799" t="str">
            <v>7479050219</v>
          </cell>
          <cell r="F1799" t="str">
            <v>AC-1700i FORD</v>
          </cell>
          <cell r="G1799">
            <v>3000</v>
          </cell>
          <cell r="H1799" t="str">
            <v>Nacional</v>
          </cell>
          <cell r="I1799">
            <v>6</v>
          </cell>
          <cell r="J1799" t="str">
            <v>AC-1700i</v>
          </cell>
          <cell r="L1799">
            <v>38420.799999999996</v>
          </cell>
          <cell r="M1799">
            <v>1670.4695652173912</v>
          </cell>
          <cell r="O1799" t="str">
            <v>PUNZON</v>
          </cell>
        </row>
        <row r="1800">
          <cell r="D1800" t="str">
            <v>HTJA040153</v>
          </cell>
          <cell r="E1800" t="str">
            <v>10054551</v>
          </cell>
          <cell r="F1800" t="str">
            <v>AC-2650 JC49 / GS PLT / DNA</v>
          </cell>
          <cell r="G1800">
            <v>5000</v>
          </cell>
          <cell r="H1800" t="str">
            <v>Nacional</v>
          </cell>
          <cell r="I1800">
            <v>6</v>
          </cell>
          <cell r="J1800" t="str">
            <v>AC-2650</v>
          </cell>
          <cell r="L1800">
            <v>11932</v>
          </cell>
          <cell r="M1800">
            <v>518.78260869565213</v>
          </cell>
          <cell r="O1800" t="str">
            <v>BOQUILLA TRES DEDOS</v>
          </cell>
        </row>
        <row r="1801">
          <cell r="D1801" t="str">
            <v>HTJA040060</v>
          </cell>
          <cell r="E1801" t="str">
            <v>10001024R</v>
          </cell>
          <cell r="F1801" t="str">
            <v>AC-2600i Ford Escape</v>
          </cell>
          <cell r="G1801">
            <v>25000</v>
          </cell>
          <cell r="H1801" t="str">
            <v>Nacional</v>
          </cell>
          <cell r="I1801">
            <v>10</v>
          </cell>
          <cell r="J1801" t="str">
            <v>AC-2600i</v>
          </cell>
          <cell r="L1801">
            <v>59203</v>
          </cell>
          <cell r="M1801">
            <v>2574.0434782608695</v>
          </cell>
          <cell r="O1801" t="str">
            <v>PORTA PUNZÓN LARGO</v>
          </cell>
        </row>
        <row r="1802">
          <cell r="D1802" t="str">
            <v>HTJA040155</v>
          </cell>
          <cell r="E1802" t="str">
            <v>4302091005</v>
          </cell>
          <cell r="F1802" t="str">
            <v>C-2000 PL-BODY</v>
          </cell>
          <cell r="G1802">
            <v>200000</v>
          </cell>
          <cell r="H1802" t="str">
            <v>Nacional</v>
          </cell>
          <cell r="I1802">
            <v>8</v>
          </cell>
          <cell r="J1802" t="str">
            <v>C-2000</v>
          </cell>
          <cell r="L1802">
            <v>0</v>
          </cell>
          <cell r="M1802">
            <v>0</v>
          </cell>
          <cell r="O1802" t="str">
            <v>PLATO DE APOYO</v>
          </cell>
        </row>
        <row r="1803">
          <cell r="D1803" t="str">
            <v>HTJA040068</v>
          </cell>
          <cell r="E1803" t="str">
            <v>8152050226</v>
          </cell>
          <cell r="F1803" t="str">
            <v>UF-2600i PQ-35 VW</v>
          </cell>
          <cell r="G1803">
            <v>8000</v>
          </cell>
          <cell r="H1803" t="str">
            <v>Nacional</v>
          </cell>
          <cell r="I1803">
            <v>11</v>
          </cell>
          <cell r="J1803" t="str">
            <v>UF-2600i</v>
          </cell>
          <cell r="L1803">
            <v>38227.399999999994</v>
          </cell>
          <cell r="M1803">
            <v>1662.0608695652172</v>
          </cell>
          <cell r="O1803" t="str">
            <v>PORTA PUNZÓN LARGO</v>
          </cell>
        </row>
        <row r="1804">
          <cell r="D1804" t="str">
            <v>HTJA040068</v>
          </cell>
          <cell r="E1804" t="str">
            <v>10060762</v>
          </cell>
          <cell r="F1804" t="str">
            <v>UF-2600i Ford Explorer</v>
          </cell>
          <cell r="G1804">
            <v>8000</v>
          </cell>
          <cell r="H1804" t="str">
            <v>Nacional</v>
          </cell>
          <cell r="I1804">
            <v>11</v>
          </cell>
          <cell r="J1804" t="str">
            <v>UF-2600i</v>
          </cell>
          <cell r="L1804">
            <v>0</v>
          </cell>
          <cell r="M1804">
            <v>0</v>
          </cell>
          <cell r="O1804" t="str">
            <v>PORTA PUNZÓN LARGO</v>
          </cell>
        </row>
        <row r="1805">
          <cell r="D1805" t="str">
            <v>HTJA040068</v>
          </cell>
          <cell r="E1805" t="str">
            <v>00806088</v>
          </cell>
          <cell r="F1805" t="str">
            <v>UF-2600i Hyundai</v>
          </cell>
          <cell r="G1805">
            <v>8000</v>
          </cell>
          <cell r="H1805" t="str">
            <v>Nacional</v>
          </cell>
          <cell r="I1805">
            <v>11</v>
          </cell>
          <cell r="J1805" t="str">
            <v>UF-2600i</v>
          </cell>
          <cell r="L1805">
            <v>0</v>
          </cell>
          <cell r="M1805">
            <v>0</v>
          </cell>
          <cell r="O1805" t="str">
            <v>PORTA PUNZÓN LARGO</v>
          </cell>
        </row>
        <row r="1806">
          <cell r="D1806" t="str">
            <v>HTJA040157</v>
          </cell>
          <cell r="E1806" t="str">
            <v>7479050219</v>
          </cell>
          <cell r="F1806" t="str">
            <v>AC-1700i FORD</v>
          </cell>
          <cell r="G1806">
            <v>200000</v>
          </cell>
          <cell r="H1806" t="str">
            <v>Nacional</v>
          </cell>
          <cell r="I1806">
            <v>8</v>
          </cell>
          <cell r="J1806" t="str">
            <v>AC-1700i</v>
          </cell>
          <cell r="L1806">
            <v>38420.799999999996</v>
          </cell>
          <cell r="M1806">
            <v>1670.4695652173912</v>
          </cell>
          <cell r="O1806" t="str">
            <v>PLACA DE CARGA</v>
          </cell>
        </row>
        <row r="1807">
          <cell r="D1807" t="str">
            <v>HTJA040158</v>
          </cell>
          <cell r="E1807" t="str">
            <v>7479050219</v>
          </cell>
          <cell r="F1807" t="str">
            <v>AC-1700i FORD</v>
          </cell>
          <cell r="G1807">
            <v>200000</v>
          </cell>
          <cell r="H1807" t="str">
            <v>Nacional</v>
          </cell>
          <cell r="I1807">
            <v>8</v>
          </cell>
          <cell r="J1807" t="str">
            <v>AC-1700i</v>
          </cell>
          <cell r="L1807">
            <v>38420.799999999996</v>
          </cell>
          <cell r="M1807">
            <v>1670.4695652173912</v>
          </cell>
          <cell r="O1807" t="str">
            <v>PLACA DE DESCARGA CIRCULAR</v>
          </cell>
        </row>
        <row r="1808">
          <cell r="D1808" t="str">
            <v>HTJA040159</v>
          </cell>
          <cell r="E1808" t="str">
            <v>4302091005</v>
          </cell>
          <cell r="F1808" t="str">
            <v>C-2000 PL-BODY</v>
          </cell>
          <cell r="G1808">
            <v>200000</v>
          </cell>
          <cell r="H1808" t="str">
            <v>Nacional</v>
          </cell>
          <cell r="I1808">
            <v>8</v>
          </cell>
          <cell r="J1808" t="str">
            <v>C-2000</v>
          </cell>
          <cell r="L1808">
            <v>0</v>
          </cell>
          <cell r="M1808">
            <v>0</v>
          </cell>
          <cell r="O1808" t="str">
            <v>PLACA DE DESCARGA</v>
          </cell>
        </row>
        <row r="1809">
          <cell r="D1809" t="str">
            <v>HTJA040160</v>
          </cell>
          <cell r="E1809" t="str">
            <v>7056050202</v>
          </cell>
          <cell r="F1809" t="str">
            <v>A4 RF-91 Concept One</v>
          </cell>
          <cell r="G1809">
            <v>100000</v>
          </cell>
          <cell r="H1809" t="str">
            <v>Nacional</v>
          </cell>
          <cell r="I1809">
            <v>10</v>
          </cell>
          <cell r="J1809" t="str">
            <v>STD</v>
          </cell>
          <cell r="L1809">
            <v>0</v>
          </cell>
          <cell r="M1809">
            <v>0</v>
          </cell>
          <cell r="O1809" t="str">
            <v>TORNILLO DE SUJECIÓN DE PORTA PUNZÓN</v>
          </cell>
        </row>
        <row r="1810">
          <cell r="D1810" t="str">
            <v>HTJA040160</v>
          </cell>
          <cell r="E1810" t="str">
            <v>7174050203</v>
          </cell>
          <cell r="F1810" t="str">
            <v>A4 RF-95</v>
          </cell>
          <cell r="G1810">
            <v>100000</v>
          </cell>
          <cell r="H1810" t="str">
            <v>Nacional</v>
          </cell>
          <cell r="I1810">
            <v>10</v>
          </cell>
          <cell r="J1810" t="str">
            <v>STD</v>
          </cell>
          <cell r="L1810">
            <v>8133.6</v>
          </cell>
          <cell r="M1810">
            <v>353.63478260869567</v>
          </cell>
          <cell r="O1810" t="str">
            <v>TORNILLO DE SUJECIÓN DE PORTA PUNZÓN</v>
          </cell>
        </row>
        <row r="1811">
          <cell r="D1811" t="str">
            <v>HTJA040160</v>
          </cell>
          <cell r="E1811" t="str">
            <v>10019426</v>
          </cell>
          <cell r="F1811" t="str">
            <v>AC-1500i Honda 2NX / GMT</v>
          </cell>
          <cell r="G1811">
            <v>100000</v>
          </cell>
          <cell r="H1811" t="str">
            <v>Nacional</v>
          </cell>
          <cell r="I1811">
            <v>10</v>
          </cell>
          <cell r="J1811" t="str">
            <v>STD</v>
          </cell>
          <cell r="L1811">
            <v>32759.000000000004</v>
          </cell>
          <cell r="M1811">
            <v>1424.3043478260872</v>
          </cell>
          <cell r="O1811" t="str">
            <v>TORNILLO DE SUJECIÓN DE PORTA PUNZÓN</v>
          </cell>
        </row>
        <row r="1812">
          <cell r="D1812" t="str">
            <v>HTJA040160</v>
          </cell>
          <cell r="E1812" t="str">
            <v>7479050219</v>
          </cell>
          <cell r="F1812" t="str">
            <v>AC-1700i FORD</v>
          </cell>
          <cell r="G1812">
            <v>100000</v>
          </cell>
          <cell r="H1812" t="str">
            <v>Nacional</v>
          </cell>
          <cell r="I1812">
            <v>10</v>
          </cell>
          <cell r="J1812" t="str">
            <v>STD</v>
          </cell>
          <cell r="L1812">
            <v>38420.799999999996</v>
          </cell>
          <cell r="M1812">
            <v>1670.4695652173912</v>
          </cell>
          <cell r="O1812" t="str">
            <v>TORNILLO DE SUJECIÓN DE PORTA PUNZÓN</v>
          </cell>
        </row>
        <row r="1813">
          <cell r="D1813" t="str">
            <v>HTJA040160</v>
          </cell>
          <cell r="E1813" t="str">
            <v>8647050233</v>
          </cell>
          <cell r="F1813" t="str">
            <v>AC-2000i Honda Acura</v>
          </cell>
          <cell r="G1813">
            <v>100000</v>
          </cell>
          <cell r="H1813" t="str">
            <v>Nacional</v>
          </cell>
          <cell r="I1813">
            <v>10</v>
          </cell>
          <cell r="J1813" t="str">
            <v>STD</v>
          </cell>
          <cell r="L1813">
            <v>74729.200000000012</v>
          </cell>
          <cell r="M1813">
            <v>3249.0956521739135</v>
          </cell>
          <cell r="O1813" t="str">
            <v>TORNILLO DE SUJECIÓN DE PORTA PUNZÓN</v>
          </cell>
        </row>
        <row r="1814">
          <cell r="D1814" t="str">
            <v>HTJA040160</v>
          </cell>
          <cell r="E1814" t="str">
            <v>10221803</v>
          </cell>
          <cell r="F1814" t="str">
            <v>AC-2300i Gamma Suv</v>
          </cell>
          <cell r="G1814">
            <v>100000</v>
          </cell>
          <cell r="H1814" t="str">
            <v>Nacional</v>
          </cell>
          <cell r="I1814">
            <v>10</v>
          </cell>
          <cell r="J1814" t="str">
            <v>STD</v>
          </cell>
          <cell r="L1814">
            <v>0</v>
          </cell>
          <cell r="M1814">
            <v>0</v>
          </cell>
          <cell r="O1814" t="str">
            <v>TORNILLO DE SUJECIÓN DE PORTA PUNZÓN</v>
          </cell>
        </row>
        <row r="1815">
          <cell r="D1815" t="str">
            <v>HTJA040160</v>
          </cell>
          <cell r="E1815" t="str">
            <v>7324050215</v>
          </cell>
          <cell r="F1815" t="str">
            <v>AC-2300i PT-44</v>
          </cell>
          <cell r="G1815">
            <v>100000</v>
          </cell>
          <cell r="H1815" t="str">
            <v>Nacional</v>
          </cell>
          <cell r="I1815">
            <v>10</v>
          </cell>
          <cell r="J1815" t="str">
            <v>STD</v>
          </cell>
          <cell r="L1815">
            <v>58512.600000000006</v>
          </cell>
          <cell r="M1815">
            <v>2544.0260869565218</v>
          </cell>
          <cell r="O1815" t="str">
            <v>TORNILLO DE SUJECIÓN DE PORTA PUNZÓN</v>
          </cell>
        </row>
        <row r="1816">
          <cell r="D1816" t="str">
            <v>HTJA040160</v>
          </cell>
          <cell r="E1816" t="str">
            <v>10001024R</v>
          </cell>
          <cell r="F1816" t="str">
            <v>AC-2600i Ford Escape</v>
          </cell>
          <cell r="G1816">
            <v>100000</v>
          </cell>
          <cell r="H1816" t="str">
            <v>Nacional</v>
          </cell>
          <cell r="I1816">
            <v>10</v>
          </cell>
          <cell r="J1816" t="str">
            <v>STD</v>
          </cell>
          <cell r="L1816">
            <v>59203</v>
          </cell>
          <cell r="M1816">
            <v>2574.0434782608695</v>
          </cell>
          <cell r="O1816" t="str">
            <v>TORNILLO DE SUJECIÓN DE PORTA PUNZÓN</v>
          </cell>
        </row>
        <row r="1817">
          <cell r="D1817" t="str">
            <v>HTJA040160</v>
          </cell>
          <cell r="E1817" t="str">
            <v>7553050217</v>
          </cell>
          <cell r="F1817" t="str">
            <v>AC-2600i PT-Turbo</v>
          </cell>
          <cell r="G1817">
            <v>100000</v>
          </cell>
          <cell r="H1817" t="str">
            <v>Nacional</v>
          </cell>
          <cell r="I1817">
            <v>10</v>
          </cell>
          <cell r="J1817" t="str">
            <v>STD</v>
          </cell>
          <cell r="L1817">
            <v>37981.199999999997</v>
          </cell>
          <cell r="M1817">
            <v>1651.3565217391304</v>
          </cell>
          <cell r="O1817" t="str">
            <v>TORNILLO DE SUJECIÓN DE PORTA PUNZÓN</v>
          </cell>
        </row>
        <row r="1818">
          <cell r="D1818" t="str">
            <v>HTJA040160</v>
          </cell>
          <cell r="E1818" t="str">
            <v>10054551</v>
          </cell>
          <cell r="F1818" t="str">
            <v>AC-2650 JC49 / GS PLT / DNA</v>
          </cell>
          <cell r="G1818">
            <v>100000</v>
          </cell>
          <cell r="H1818" t="str">
            <v>Nacional</v>
          </cell>
          <cell r="I1818">
            <v>10</v>
          </cell>
          <cell r="J1818" t="str">
            <v>STD</v>
          </cell>
          <cell r="L1818">
            <v>11932</v>
          </cell>
          <cell r="M1818">
            <v>518.78260869565213</v>
          </cell>
          <cell r="O1818" t="str">
            <v>TORNILLO DE SUJECIÓN DE PORTA PUNZÓN</v>
          </cell>
        </row>
        <row r="1819">
          <cell r="D1819" t="str">
            <v>HTJA040160</v>
          </cell>
          <cell r="E1819" t="str">
            <v>00806342</v>
          </cell>
          <cell r="F1819" t="str">
            <v>AC-2900i VW</v>
          </cell>
          <cell r="G1819">
            <v>100000</v>
          </cell>
          <cell r="H1819" t="str">
            <v>Nacional</v>
          </cell>
          <cell r="I1819">
            <v>10</v>
          </cell>
          <cell r="J1819" t="str">
            <v>STD</v>
          </cell>
          <cell r="L1819">
            <v>23450.400000000001</v>
          </cell>
          <cell r="M1819">
            <v>1019.5826086956522</v>
          </cell>
          <cell r="O1819" t="str">
            <v>TORNILLO DE SUJECIÓN DE PORTA PUNZÓN</v>
          </cell>
        </row>
        <row r="1820">
          <cell r="D1820" t="str">
            <v>HTJA040160</v>
          </cell>
          <cell r="E1820" t="str">
            <v>10019477T</v>
          </cell>
          <cell r="F1820" t="str">
            <v>AC-3300i FORD</v>
          </cell>
          <cell r="G1820">
            <v>100000</v>
          </cell>
          <cell r="H1820" t="str">
            <v>Nacional</v>
          </cell>
          <cell r="I1820">
            <v>10</v>
          </cell>
          <cell r="J1820" t="str">
            <v>STD</v>
          </cell>
          <cell r="L1820">
            <v>0</v>
          </cell>
          <cell r="M1820">
            <v>0</v>
          </cell>
          <cell r="O1820" t="str">
            <v>TORNILLO DE SUJECIÓN DE PORTA PUNZÓN</v>
          </cell>
        </row>
        <row r="1821">
          <cell r="D1821" t="str">
            <v>HTJA040160</v>
          </cell>
          <cell r="E1821" t="str">
            <v>4302091005</v>
          </cell>
          <cell r="F1821" t="str">
            <v>C-2000 PL-BODY</v>
          </cell>
          <cell r="G1821">
            <v>100000</v>
          </cell>
          <cell r="H1821" t="str">
            <v>Nacional</v>
          </cell>
          <cell r="I1821">
            <v>10</v>
          </cell>
          <cell r="J1821" t="str">
            <v>STD</v>
          </cell>
          <cell r="L1821">
            <v>0</v>
          </cell>
          <cell r="M1821">
            <v>0</v>
          </cell>
          <cell r="O1821" t="str">
            <v>TORNILLO DE SUJECIÓN DE PORTA PUNZÓN</v>
          </cell>
        </row>
        <row r="1822">
          <cell r="D1822" t="str">
            <v>HTJA040160</v>
          </cell>
          <cell r="E1822" t="str">
            <v>10060762</v>
          </cell>
          <cell r="F1822" t="str">
            <v>UF-2600i Ford Explorer</v>
          </cell>
          <cell r="G1822">
            <v>100000</v>
          </cell>
          <cell r="H1822" t="str">
            <v>Nacional</v>
          </cell>
          <cell r="I1822">
            <v>10</v>
          </cell>
          <cell r="J1822" t="str">
            <v>STD</v>
          </cell>
          <cell r="L1822">
            <v>0</v>
          </cell>
          <cell r="M1822">
            <v>0</v>
          </cell>
          <cell r="O1822" t="str">
            <v>TORNILLO DE SUJECIÓN DE PORTA PUNZÓN</v>
          </cell>
        </row>
        <row r="1823">
          <cell r="D1823" t="str">
            <v>HTJA040160</v>
          </cell>
          <cell r="E1823" t="str">
            <v>00806088</v>
          </cell>
          <cell r="F1823" t="str">
            <v>UF-2600i Hyundai</v>
          </cell>
          <cell r="G1823">
            <v>100000</v>
          </cell>
          <cell r="H1823" t="str">
            <v>Nacional</v>
          </cell>
          <cell r="I1823">
            <v>10</v>
          </cell>
          <cell r="J1823" t="str">
            <v>STD</v>
          </cell>
          <cell r="L1823">
            <v>0</v>
          </cell>
          <cell r="M1823">
            <v>0</v>
          </cell>
          <cell r="O1823" t="str">
            <v>TORNILLO DE SUJECIÓN DE PORTA PUNZÓN</v>
          </cell>
        </row>
        <row r="1824">
          <cell r="D1824" t="str">
            <v>HTJA040160</v>
          </cell>
          <cell r="E1824" t="str">
            <v>8152050226</v>
          </cell>
          <cell r="F1824" t="str">
            <v>UF-2600i PQ-35 VW</v>
          </cell>
          <cell r="G1824">
            <v>100000</v>
          </cell>
          <cell r="H1824" t="str">
            <v>Nacional</v>
          </cell>
          <cell r="I1824">
            <v>10</v>
          </cell>
          <cell r="J1824" t="str">
            <v>STD</v>
          </cell>
          <cell r="L1824">
            <v>38227.399999999994</v>
          </cell>
          <cell r="M1824">
            <v>1662.0608695652172</v>
          </cell>
          <cell r="O1824" t="str">
            <v>TORNILLO DE SUJECIÓN DE PORTA PUNZÓN</v>
          </cell>
        </row>
        <row r="1825">
          <cell r="D1825" t="str">
            <v>HTJA040160</v>
          </cell>
          <cell r="E1825" t="str">
            <v>10018041</v>
          </cell>
          <cell r="F1825" t="str">
            <v>UF-3300i W</v>
          </cell>
          <cell r="G1825">
            <v>100000</v>
          </cell>
          <cell r="H1825" t="str">
            <v>Nacional</v>
          </cell>
          <cell r="I1825">
            <v>10</v>
          </cell>
          <cell r="J1825" t="str">
            <v>STD</v>
          </cell>
          <cell r="L1825">
            <v>13520.454678603319</v>
          </cell>
          <cell r="M1825">
            <v>587.84585559144864</v>
          </cell>
          <cell r="O1825" t="str">
            <v>TORNILLO DE SUJECIÓN DE PORTA PUNZÓN</v>
          </cell>
        </row>
        <row r="1826">
          <cell r="D1826" t="str">
            <v>HTJA040160</v>
          </cell>
          <cell r="E1826" t="str">
            <v>7870050221</v>
          </cell>
          <cell r="F1826" t="str">
            <v>UF-3400 PQ-35 VW</v>
          </cell>
          <cell r="G1826">
            <v>100000</v>
          </cell>
          <cell r="H1826" t="str">
            <v>Nacional</v>
          </cell>
          <cell r="I1826">
            <v>10</v>
          </cell>
          <cell r="J1826" t="str">
            <v>STD</v>
          </cell>
          <cell r="L1826">
            <v>45592.200000000012</v>
          </cell>
          <cell r="M1826">
            <v>1982.2695652173918</v>
          </cell>
          <cell r="O1826" t="str">
            <v>TORNILLO DE SUJECIÓN DE PORTA PUNZÓN</v>
          </cell>
        </row>
        <row r="1827">
          <cell r="D1827" t="str">
            <v>HTJA040160</v>
          </cell>
          <cell r="E1827" t="str">
            <v>10009621</v>
          </cell>
          <cell r="F1827" t="str">
            <v>UF-4600i W</v>
          </cell>
          <cell r="G1827">
            <v>100000</v>
          </cell>
          <cell r="H1827" t="str">
            <v>Nacional</v>
          </cell>
          <cell r="I1827">
            <v>10</v>
          </cell>
          <cell r="J1827" t="str">
            <v>STD</v>
          </cell>
          <cell r="L1827">
            <v>33932.483034337194</v>
          </cell>
          <cell r="M1827">
            <v>1475.3253493190084</v>
          </cell>
          <cell r="O1827" t="str">
            <v>TORNILLO DE SUJECIÓN DE PORTA PUNZÓN</v>
          </cell>
        </row>
        <row r="1828">
          <cell r="D1828" t="str">
            <v>HTJA040161</v>
          </cell>
          <cell r="E1828" t="str">
            <v>7174050203</v>
          </cell>
          <cell r="F1828" t="str">
            <v>A4 RF-95</v>
          </cell>
          <cell r="G1828">
            <v>100000</v>
          </cell>
          <cell r="H1828" t="str">
            <v>Nacional</v>
          </cell>
          <cell r="I1828">
            <v>8</v>
          </cell>
          <cell r="J1828" t="str">
            <v>A4 RF-95</v>
          </cell>
          <cell r="L1828">
            <v>8133.6</v>
          </cell>
          <cell r="M1828">
            <v>353.63478260869567</v>
          </cell>
          <cell r="O1828" t="str">
            <v>PLACA CIRCULAR DE DESCARGA</v>
          </cell>
        </row>
        <row r="1829">
          <cell r="D1829" t="str">
            <v>HTJA040162</v>
          </cell>
          <cell r="E1829" t="str">
            <v>10054551</v>
          </cell>
          <cell r="F1829" t="str">
            <v>AC-2650 JC49 / GS PLT / DNA</v>
          </cell>
          <cell r="G1829">
            <v>200000</v>
          </cell>
          <cell r="H1829" t="str">
            <v>Nacional</v>
          </cell>
          <cell r="I1829">
            <v>8</v>
          </cell>
          <cell r="J1829" t="str">
            <v>AC-2650</v>
          </cell>
          <cell r="L1829">
            <v>11932</v>
          </cell>
          <cell r="M1829">
            <v>518.78260869565213</v>
          </cell>
          <cell r="O1829" t="str">
            <v>PLACA DE DESCARGA CIRCULAR</v>
          </cell>
        </row>
        <row r="1830">
          <cell r="D1830" t="str">
            <v>HTJA040163</v>
          </cell>
          <cell r="E1830" t="str">
            <v>7870050221</v>
          </cell>
          <cell r="F1830" t="str">
            <v>UF-3400 PQ-35 VW</v>
          </cell>
          <cell r="G1830">
            <v>100000</v>
          </cell>
          <cell r="H1830" t="str">
            <v>Nacional</v>
          </cell>
          <cell r="I1830">
            <v>8</v>
          </cell>
          <cell r="J1830" t="str">
            <v>UF-3400</v>
          </cell>
          <cell r="L1830">
            <v>45592.200000000012</v>
          </cell>
          <cell r="M1830">
            <v>1982.2695652173918</v>
          </cell>
          <cell r="O1830" t="str">
            <v>PLACA DE DESCARGA</v>
          </cell>
        </row>
        <row r="1831">
          <cell r="D1831" t="str">
            <v>HTJA040164</v>
          </cell>
          <cell r="E1831" t="str">
            <v>7553050217</v>
          </cell>
          <cell r="F1831" t="str">
            <v>AC-2600i PT-Turbo</v>
          </cell>
          <cell r="G1831">
            <v>200000</v>
          </cell>
          <cell r="H1831" t="str">
            <v>Nacional</v>
          </cell>
          <cell r="I1831">
            <v>8</v>
          </cell>
          <cell r="J1831" t="str">
            <v>AC-2600i</v>
          </cell>
          <cell r="L1831">
            <v>37981.199999999997</v>
          </cell>
          <cell r="M1831">
            <v>1651.3565217391304</v>
          </cell>
          <cell r="O1831" t="str">
            <v>PLACA DE CARGA</v>
          </cell>
        </row>
        <row r="1832">
          <cell r="D1832" t="str">
            <v>HTJA040164</v>
          </cell>
          <cell r="E1832" t="str">
            <v>10001024R</v>
          </cell>
          <cell r="F1832" t="str">
            <v>AC-2600i Ford Escape</v>
          </cell>
          <cell r="G1832">
            <v>200000</v>
          </cell>
          <cell r="H1832" t="str">
            <v>Nacional</v>
          </cell>
          <cell r="I1832">
            <v>8</v>
          </cell>
          <cell r="J1832" t="str">
            <v>AC-2600i</v>
          </cell>
          <cell r="L1832">
            <v>59203</v>
          </cell>
          <cell r="M1832">
            <v>2574.0434782608695</v>
          </cell>
          <cell r="O1832" t="str">
            <v>PLACA DE CARGA</v>
          </cell>
        </row>
        <row r="1833">
          <cell r="D1833" t="str">
            <v>HTJA040166</v>
          </cell>
          <cell r="E1833" t="str">
            <v>10019426</v>
          </cell>
          <cell r="F1833" t="str">
            <v>AC-1500i Honda 2NX / GMT</v>
          </cell>
          <cell r="G1833">
            <v>5000</v>
          </cell>
          <cell r="H1833" t="str">
            <v>Nacional</v>
          </cell>
          <cell r="I1833">
            <v>6</v>
          </cell>
          <cell r="J1833" t="str">
            <v>AC-1500i</v>
          </cell>
          <cell r="L1833">
            <v>32759.000000000004</v>
          </cell>
          <cell r="M1833">
            <v>1424.3043478260872</v>
          </cell>
          <cell r="O1833" t="str">
            <v>BOQUILLA TRES DEDOS</v>
          </cell>
        </row>
        <row r="1834">
          <cell r="D1834" t="str">
            <v>HTJA040167</v>
          </cell>
          <cell r="E1834" t="str">
            <v>10019426</v>
          </cell>
          <cell r="F1834" t="str">
            <v>AC-1500i Honda 2NX / GMT</v>
          </cell>
          <cell r="G1834">
            <v>100000</v>
          </cell>
          <cell r="H1834" t="str">
            <v>Nacional</v>
          </cell>
          <cell r="I1834">
            <v>8</v>
          </cell>
          <cell r="J1834" t="str">
            <v>AC-1500i</v>
          </cell>
          <cell r="L1834">
            <v>32759.000000000004</v>
          </cell>
          <cell r="M1834">
            <v>1424.3043478260872</v>
          </cell>
          <cell r="O1834" t="str">
            <v>CONO EXPANSOR LARGO</v>
          </cell>
        </row>
        <row r="1835">
          <cell r="D1835" t="str">
            <v>HTJA040168</v>
          </cell>
          <cell r="E1835" t="str">
            <v>7870050221</v>
          </cell>
          <cell r="F1835" t="str">
            <v>UF-3400 PQ-35 VW</v>
          </cell>
          <cell r="G1835">
            <v>5000</v>
          </cell>
          <cell r="H1835" t="str">
            <v>Nacional</v>
          </cell>
          <cell r="I1835">
            <v>8</v>
          </cell>
          <cell r="J1835" t="str">
            <v>UF-3400</v>
          </cell>
          <cell r="L1835">
            <v>45592.200000000012</v>
          </cell>
          <cell r="M1835">
            <v>1982.2695652173918</v>
          </cell>
          <cell r="O1835" t="str">
            <v>BOQUILLA TRES DEDOS</v>
          </cell>
        </row>
        <row r="1836">
          <cell r="D1836" t="str">
            <v>HTJA040169</v>
          </cell>
          <cell r="E1836" t="str">
            <v>7870050221</v>
          </cell>
          <cell r="F1836" t="str">
            <v>UF-3400 PQ-35 VW</v>
          </cell>
          <cell r="G1836">
            <v>100000</v>
          </cell>
          <cell r="H1836" t="str">
            <v>Nacional</v>
          </cell>
          <cell r="I1836">
            <v>8</v>
          </cell>
          <cell r="J1836" t="str">
            <v>UF-3400</v>
          </cell>
          <cell r="L1836">
            <v>45592.200000000012</v>
          </cell>
          <cell r="M1836">
            <v>1982.2695652173918</v>
          </cell>
          <cell r="O1836" t="str">
            <v>CONO EXPANSOR LARGO</v>
          </cell>
        </row>
        <row r="1837">
          <cell r="D1837" t="str">
            <v>HTJA040170</v>
          </cell>
          <cell r="E1837" t="str">
            <v>7870050221</v>
          </cell>
          <cell r="F1837" t="str">
            <v>UF-3400 PQ-35 VW</v>
          </cell>
          <cell r="G1837">
            <v>200000</v>
          </cell>
          <cell r="H1837" t="str">
            <v>Nacional</v>
          </cell>
          <cell r="I1837">
            <v>8</v>
          </cell>
          <cell r="J1837" t="str">
            <v>UF-3400</v>
          </cell>
          <cell r="L1837">
            <v>45592.200000000012</v>
          </cell>
          <cell r="M1837">
            <v>1982.2695652173918</v>
          </cell>
          <cell r="O1837" t="str">
            <v>PLATO DE APOYO</v>
          </cell>
        </row>
        <row r="1838">
          <cell r="D1838" t="str">
            <v>HTJA040171</v>
          </cell>
          <cell r="E1838" t="str">
            <v>7870050221</v>
          </cell>
          <cell r="F1838" t="str">
            <v>UF-3400 PQ-35 VW</v>
          </cell>
          <cell r="G1838">
            <v>100000</v>
          </cell>
          <cell r="H1838" t="str">
            <v>Nacional</v>
          </cell>
          <cell r="I1838">
            <v>8</v>
          </cell>
          <cell r="J1838" t="str">
            <v>UF-3400</v>
          </cell>
          <cell r="L1838">
            <v>45592.200000000012</v>
          </cell>
          <cell r="M1838">
            <v>1982.2695652173918</v>
          </cell>
          <cell r="O1838" t="str">
            <v>CONO EXPANSOR LARGO</v>
          </cell>
        </row>
        <row r="1839">
          <cell r="D1839" t="str">
            <v>HTJA040172</v>
          </cell>
          <cell r="E1839" t="str">
            <v>10019426</v>
          </cell>
          <cell r="F1839" t="str">
            <v>Honda 2NX</v>
          </cell>
          <cell r="G1839">
            <v>200000</v>
          </cell>
          <cell r="H1839" t="str">
            <v>Nacional</v>
          </cell>
          <cell r="I1839">
            <v>8</v>
          </cell>
          <cell r="J1839" t="str">
            <v>AC1500 HONDA 2NX</v>
          </cell>
          <cell r="L1839">
            <v>32759.000000000004</v>
          </cell>
          <cell r="M1839">
            <v>1424.3043478260872</v>
          </cell>
          <cell r="O1839" t="str">
            <v>BOQUILLA TRES DEDOS</v>
          </cell>
        </row>
        <row r="1840">
          <cell r="D1840" t="str">
            <v>HTJA040173</v>
          </cell>
          <cell r="E1840" t="str">
            <v>10019426</v>
          </cell>
          <cell r="F1840" t="str">
            <v>Honda 2NX</v>
          </cell>
          <cell r="G1840">
            <v>200000</v>
          </cell>
          <cell r="H1840" t="str">
            <v>Nacional</v>
          </cell>
          <cell r="I1840">
            <v>8</v>
          </cell>
          <cell r="J1840" t="str">
            <v>AC1500 HONDA 2NX</v>
          </cell>
          <cell r="L1840">
            <v>32759.000000000004</v>
          </cell>
          <cell r="M1840">
            <v>1424.3043478260872</v>
          </cell>
          <cell r="O1840" t="str">
            <v>CONO EXPANSOR LARGO</v>
          </cell>
        </row>
        <row r="1841">
          <cell r="D1841" t="str">
            <v>HTJA040174</v>
          </cell>
          <cell r="E1841" t="str">
            <v>7870050221</v>
          </cell>
          <cell r="F1841" t="str">
            <v>UF-3400 PQ-35 VW</v>
          </cell>
          <cell r="G1841">
            <v>100000</v>
          </cell>
          <cell r="H1841" t="str">
            <v>Nacional</v>
          </cell>
          <cell r="I1841">
            <v>8</v>
          </cell>
          <cell r="J1841" t="str">
            <v>UF-3400</v>
          </cell>
          <cell r="L1841">
            <v>45592.200000000012</v>
          </cell>
          <cell r="M1841">
            <v>1982.2695652173918</v>
          </cell>
          <cell r="O1841" t="str">
            <v>PLACA DE DESCARGA CUADRADA</v>
          </cell>
        </row>
        <row r="1842">
          <cell r="D1842" t="str">
            <v>HTJA040175</v>
          </cell>
          <cell r="E1842" t="str">
            <v>7870050221</v>
          </cell>
          <cell r="F1842" t="str">
            <v>UF-3400 PQ-35 VW</v>
          </cell>
          <cell r="G1842">
            <v>100000</v>
          </cell>
          <cell r="H1842" t="str">
            <v>Nacional</v>
          </cell>
          <cell r="I1842">
            <v>8</v>
          </cell>
          <cell r="J1842" t="str">
            <v>UF-3400</v>
          </cell>
          <cell r="L1842">
            <v>45592.200000000012</v>
          </cell>
          <cell r="M1842">
            <v>1982.2695652173918</v>
          </cell>
          <cell r="O1842" t="str">
            <v>BLOCK DE DESCARGA MENOR</v>
          </cell>
        </row>
        <row r="1843">
          <cell r="D1843" t="str">
            <v>HTJA040176</v>
          </cell>
          <cell r="E1843" t="str">
            <v>7870050221</v>
          </cell>
          <cell r="F1843" t="str">
            <v>UF-3400 PQ-35 VW</v>
          </cell>
          <cell r="G1843">
            <v>100000</v>
          </cell>
          <cell r="H1843" t="str">
            <v>Nacional</v>
          </cell>
          <cell r="I1843">
            <v>8</v>
          </cell>
          <cell r="J1843" t="str">
            <v>UF-3400</v>
          </cell>
          <cell r="L1843">
            <v>45592.200000000012</v>
          </cell>
          <cell r="M1843">
            <v>1982.2695652173918</v>
          </cell>
          <cell r="O1843" t="str">
            <v>BLOCK DE DESCARGA MAYOR</v>
          </cell>
        </row>
        <row r="1844">
          <cell r="D1844" t="str">
            <v>HTJA040177</v>
          </cell>
          <cell r="E1844" t="str">
            <v>00806342</v>
          </cell>
          <cell r="F1844" t="str">
            <v>AC-2900i VW</v>
          </cell>
          <cell r="G1844">
            <v>5000</v>
          </cell>
          <cell r="H1844" t="str">
            <v>Nacional</v>
          </cell>
          <cell r="I1844">
            <v>6</v>
          </cell>
          <cell r="J1844" t="str">
            <v>AC-2900i</v>
          </cell>
          <cell r="L1844">
            <v>23450.400000000001</v>
          </cell>
          <cell r="M1844">
            <v>1019.5826086956522</v>
          </cell>
          <cell r="O1844" t="str">
            <v>BOQUILLA TRES DEDOS</v>
          </cell>
        </row>
        <row r="1845">
          <cell r="D1845" t="str">
            <v>HTJA040178</v>
          </cell>
          <cell r="E1845" t="str">
            <v>7056050202</v>
          </cell>
          <cell r="F1845" t="str">
            <v>A4 RF-91 Concept One</v>
          </cell>
          <cell r="G1845">
            <v>100000</v>
          </cell>
          <cell r="H1845" t="str">
            <v>Nacional</v>
          </cell>
          <cell r="I1845">
            <v>8</v>
          </cell>
          <cell r="J1845" t="str">
            <v>STD</v>
          </cell>
          <cell r="L1845">
            <v>0</v>
          </cell>
          <cell r="M1845">
            <v>0</v>
          </cell>
          <cell r="O1845" t="str">
            <v>CONO EXPANSOR LARGO</v>
          </cell>
        </row>
        <row r="1846">
          <cell r="D1846" t="str">
            <v>HTJA040178</v>
          </cell>
          <cell r="E1846" t="str">
            <v>7174050203</v>
          </cell>
          <cell r="F1846" t="str">
            <v>A4 RF-95</v>
          </cell>
          <cell r="G1846">
            <v>100000</v>
          </cell>
          <cell r="H1846" t="str">
            <v>Nacional</v>
          </cell>
          <cell r="I1846">
            <v>8</v>
          </cell>
          <cell r="J1846" t="str">
            <v>STD</v>
          </cell>
          <cell r="L1846">
            <v>8133.6</v>
          </cell>
          <cell r="M1846">
            <v>353.63478260869567</v>
          </cell>
          <cell r="O1846" t="str">
            <v>CONO EXPANSOR LARGO</v>
          </cell>
        </row>
        <row r="1847">
          <cell r="D1847" t="str">
            <v>HTJA040178</v>
          </cell>
          <cell r="E1847" t="str">
            <v>10019426</v>
          </cell>
          <cell r="F1847" t="str">
            <v>AC-1500i Honda 2NX / GMT</v>
          </cell>
          <cell r="G1847">
            <v>100000</v>
          </cell>
          <cell r="H1847" t="str">
            <v>Nacional</v>
          </cell>
          <cell r="I1847">
            <v>8</v>
          </cell>
          <cell r="J1847" t="str">
            <v>STD</v>
          </cell>
          <cell r="L1847">
            <v>32759.000000000004</v>
          </cell>
          <cell r="M1847">
            <v>1424.3043478260872</v>
          </cell>
          <cell r="O1847" t="str">
            <v>CONO EXPANSOR LARGO</v>
          </cell>
        </row>
        <row r="1848">
          <cell r="D1848" t="str">
            <v>HTJA040178</v>
          </cell>
          <cell r="E1848" t="str">
            <v>7479050219</v>
          </cell>
          <cell r="F1848" t="str">
            <v>AC-1700i FORD</v>
          </cell>
          <cell r="G1848">
            <v>100000</v>
          </cell>
          <cell r="H1848" t="str">
            <v>Nacional</v>
          </cell>
          <cell r="I1848">
            <v>8</v>
          </cell>
          <cell r="J1848" t="str">
            <v>STD</v>
          </cell>
          <cell r="L1848">
            <v>38420.799999999996</v>
          </cell>
          <cell r="M1848">
            <v>1670.4695652173912</v>
          </cell>
          <cell r="O1848" t="str">
            <v>CONO EXPANSOR LARGO</v>
          </cell>
        </row>
        <row r="1849">
          <cell r="D1849" t="str">
            <v>HTJA040178</v>
          </cell>
          <cell r="E1849" t="str">
            <v>8647050233</v>
          </cell>
          <cell r="F1849" t="str">
            <v>AC-2000i Honda Acura</v>
          </cell>
          <cell r="G1849">
            <v>100000</v>
          </cell>
          <cell r="H1849" t="str">
            <v>Nacional</v>
          </cell>
          <cell r="I1849">
            <v>8</v>
          </cell>
          <cell r="J1849" t="str">
            <v>STD</v>
          </cell>
          <cell r="L1849">
            <v>74729.200000000012</v>
          </cell>
          <cell r="M1849">
            <v>3249.0956521739135</v>
          </cell>
          <cell r="O1849" t="str">
            <v>CONO EXPANSOR LARGO</v>
          </cell>
        </row>
        <row r="1850">
          <cell r="D1850" t="str">
            <v>HTJA040178</v>
          </cell>
          <cell r="E1850" t="str">
            <v>10221803</v>
          </cell>
          <cell r="F1850" t="str">
            <v>AC-2300i Gamma Suv</v>
          </cell>
          <cell r="G1850">
            <v>100000</v>
          </cell>
          <cell r="H1850" t="str">
            <v>Nacional</v>
          </cell>
          <cell r="I1850">
            <v>8</v>
          </cell>
          <cell r="J1850" t="str">
            <v>STD</v>
          </cell>
          <cell r="L1850">
            <v>0</v>
          </cell>
          <cell r="M1850">
            <v>0</v>
          </cell>
          <cell r="O1850" t="str">
            <v>CONO EXPANSOR LARGO</v>
          </cell>
        </row>
        <row r="1851">
          <cell r="D1851" t="str">
            <v>HTJA040178</v>
          </cell>
          <cell r="E1851" t="str">
            <v>7324050215</v>
          </cell>
          <cell r="F1851" t="str">
            <v>AC-2300i PT-44</v>
          </cell>
          <cell r="G1851">
            <v>100000</v>
          </cell>
          <cell r="H1851" t="str">
            <v>Nacional</v>
          </cell>
          <cell r="I1851">
            <v>8</v>
          </cell>
          <cell r="J1851" t="str">
            <v>STD</v>
          </cell>
          <cell r="L1851">
            <v>58512.600000000006</v>
          </cell>
          <cell r="M1851">
            <v>2544.0260869565218</v>
          </cell>
          <cell r="O1851" t="str">
            <v>CONO EXPANSOR LARGO</v>
          </cell>
        </row>
        <row r="1852">
          <cell r="D1852" t="str">
            <v>HTJA040178</v>
          </cell>
          <cell r="E1852" t="str">
            <v>10001024R</v>
          </cell>
          <cell r="F1852" t="str">
            <v>AC-2600i Ford Escape</v>
          </cell>
          <cell r="G1852">
            <v>100000</v>
          </cell>
          <cell r="H1852" t="str">
            <v>Nacional</v>
          </cell>
          <cell r="I1852">
            <v>8</v>
          </cell>
          <cell r="J1852" t="str">
            <v>STD</v>
          </cell>
          <cell r="L1852">
            <v>59203</v>
          </cell>
          <cell r="M1852">
            <v>2574.0434782608695</v>
          </cell>
          <cell r="O1852" t="str">
            <v>CONO EXPANSOR LARGO</v>
          </cell>
        </row>
        <row r="1853">
          <cell r="D1853" t="str">
            <v>HTJA040178</v>
          </cell>
          <cell r="E1853" t="str">
            <v>7553050217</v>
          </cell>
          <cell r="F1853" t="str">
            <v>AC-2600i PT-Turbo</v>
          </cell>
          <cell r="G1853">
            <v>100000</v>
          </cell>
          <cell r="H1853" t="str">
            <v>Nacional</v>
          </cell>
          <cell r="I1853">
            <v>8</v>
          </cell>
          <cell r="J1853" t="str">
            <v>STD</v>
          </cell>
          <cell r="L1853">
            <v>37981.199999999997</v>
          </cell>
          <cell r="M1853">
            <v>1651.3565217391304</v>
          </cell>
          <cell r="O1853" t="str">
            <v>CONO EXPANSOR LARGO</v>
          </cell>
        </row>
        <row r="1854">
          <cell r="D1854" t="str">
            <v>HTJA040178</v>
          </cell>
          <cell r="E1854" t="str">
            <v>10054551</v>
          </cell>
          <cell r="F1854" t="str">
            <v>AC-2650 JC49 / GS PLT / DNA</v>
          </cell>
          <cell r="G1854">
            <v>100000</v>
          </cell>
          <cell r="H1854" t="str">
            <v>Nacional</v>
          </cell>
          <cell r="I1854">
            <v>8</v>
          </cell>
          <cell r="J1854" t="str">
            <v>STD</v>
          </cell>
          <cell r="L1854">
            <v>11932</v>
          </cell>
          <cell r="M1854">
            <v>518.78260869565213</v>
          </cell>
          <cell r="O1854" t="str">
            <v>CONO EXPANSOR LARGO</v>
          </cell>
        </row>
        <row r="1855">
          <cell r="D1855" t="str">
            <v>HTJA040178</v>
          </cell>
          <cell r="E1855" t="str">
            <v>00806342</v>
          </cell>
          <cell r="F1855" t="str">
            <v>AC-2900i VW</v>
          </cell>
          <cell r="G1855">
            <v>100000</v>
          </cell>
          <cell r="H1855" t="str">
            <v>Nacional</v>
          </cell>
          <cell r="I1855">
            <v>8</v>
          </cell>
          <cell r="J1855" t="str">
            <v>STD</v>
          </cell>
          <cell r="L1855">
            <v>23450.400000000001</v>
          </cell>
          <cell r="M1855">
            <v>1019.5826086956522</v>
          </cell>
          <cell r="O1855" t="str">
            <v>CONO EXPANSOR LARGO</v>
          </cell>
        </row>
        <row r="1856">
          <cell r="D1856" t="str">
            <v>HTJA040178</v>
          </cell>
          <cell r="E1856" t="str">
            <v>10019477T</v>
          </cell>
          <cell r="F1856" t="str">
            <v>AC-3300i FORD</v>
          </cell>
          <cell r="G1856">
            <v>100000</v>
          </cell>
          <cell r="H1856" t="str">
            <v>Nacional</v>
          </cell>
          <cell r="I1856">
            <v>8</v>
          </cell>
          <cell r="J1856" t="str">
            <v>STD</v>
          </cell>
          <cell r="L1856">
            <v>0</v>
          </cell>
          <cell r="M1856">
            <v>0</v>
          </cell>
          <cell r="O1856" t="str">
            <v>CONO EXPANSOR LARGO</v>
          </cell>
        </row>
        <row r="1857">
          <cell r="D1857" t="str">
            <v>HTJA040178</v>
          </cell>
          <cell r="E1857" t="str">
            <v>4302091005</v>
          </cell>
          <cell r="F1857" t="str">
            <v>C-2000 PL-BODY</v>
          </cell>
          <cell r="G1857">
            <v>100000</v>
          </cell>
          <cell r="H1857" t="str">
            <v>Nacional</v>
          </cell>
          <cell r="I1857">
            <v>8</v>
          </cell>
          <cell r="J1857" t="str">
            <v>STD</v>
          </cell>
          <cell r="L1857">
            <v>0</v>
          </cell>
          <cell r="M1857">
            <v>0</v>
          </cell>
          <cell r="O1857" t="str">
            <v>CONO EXPANSOR LARGO</v>
          </cell>
        </row>
        <row r="1858">
          <cell r="D1858" t="str">
            <v>HTJA040178</v>
          </cell>
          <cell r="E1858" t="str">
            <v>10060762</v>
          </cell>
          <cell r="F1858" t="str">
            <v>UF-2600i Ford Explorer</v>
          </cell>
          <cell r="G1858">
            <v>100000</v>
          </cell>
          <cell r="H1858" t="str">
            <v>Nacional</v>
          </cell>
          <cell r="I1858">
            <v>8</v>
          </cell>
          <cell r="J1858" t="str">
            <v>STD</v>
          </cell>
          <cell r="L1858">
            <v>0</v>
          </cell>
          <cell r="M1858">
            <v>0</v>
          </cell>
          <cell r="O1858" t="str">
            <v>CONO EXPANSOR LARGO</v>
          </cell>
        </row>
        <row r="1859">
          <cell r="D1859" t="str">
            <v>HTJA040178</v>
          </cell>
          <cell r="E1859" t="str">
            <v>00806088</v>
          </cell>
          <cell r="F1859" t="str">
            <v>UF-2600i Hyundai</v>
          </cell>
          <cell r="G1859">
            <v>100000</v>
          </cell>
          <cell r="H1859" t="str">
            <v>Nacional</v>
          </cell>
          <cell r="I1859">
            <v>8</v>
          </cell>
          <cell r="J1859" t="str">
            <v>STD</v>
          </cell>
          <cell r="L1859">
            <v>0</v>
          </cell>
          <cell r="M1859">
            <v>0</v>
          </cell>
          <cell r="O1859" t="str">
            <v>CONO EXPANSOR LARGO</v>
          </cell>
        </row>
        <row r="1860">
          <cell r="D1860" t="str">
            <v>HTJA040178</v>
          </cell>
          <cell r="E1860" t="str">
            <v>8152050226</v>
          </cell>
          <cell r="F1860" t="str">
            <v>UF-2600i PQ-35 VW</v>
          </cell>
          <cell r="G1860">
            <v>100000</v>
          </cell>
          <cell r="H1860" t="str">
            <v>Nacional</v>
          </cell>
          <cell r="I1860">
            <v>8</v>
          </cell>
          <cell r="J1860" t="str">
            <v>STD</v>
          </cell>
          <cell r="L1860">
            <v>38227.399999999994</v>
          </cell>
          <cell r="M1860">
            <v>1662.0608695652172</v>
          </cell>
          <cell r="O1860" t="str">
            <v>CONO EXPANSOR LARGO</v>
          </cell>
        </row>
        <row r="1861">
          <cell r="D1861" t="str">
            <v>HTJA040178</v>
          </cell>
          <cell r="E1861" t="str">
            <v>10018041</v>
          </cell>
          <cell r="F1861" t="str">
            <v>UF-3300i W</v>
          </cell>
          <cell r="G1861">
            <v>100000</v>
          </cell>
          <cell r="H1861" t="str">
            <v>Nacional</v>
          </cell>
          <cell r="I1861">
            <v>8</v>
          </cell>
          <cell r="J1861" t="str">
            <v>STD</v>
          </cell>
          <cell r="L1861">
            <v>13520.454678603319</v>
          </cell>
          <cell r="M1861">
            <v>587.84585559144864</v>
          </cell>
          <cell r="O1861" t="str">
            <v>CONO EXPANSOR LARGO</v>
          </cell>
        </row>
        <row r="1862">
          <cell r="D1862" t="str">
            <v>HTJA040178</v>
          </cell>
          <cell r="E1862" t="str">
            <v>7870050221</v>
          </cell>
          <cell r="F1862" t="str">
            <v>UF-3400 PQ-35 VW</v>
          </cell>
          <cell r="G1862">
            <v>100000</v>
          </cell>
          <cell r="H1862" t="str">
            <v>Nacional</v>
          </cell>
          <cell r="I1862">
            <v>8</v>
          </cell>
          <cell r="J1862" t="str">
            <v>STD</v>
          </cell>
          <cell r="L1862">
            <v>45592.200000000012</v>
          </cell>
          <cell r="M1862">
            <v>1982.2695652173918</v>
          </cell>
          <cell r="O1862" t="str">
            <v>CONO EXPANSOR LARGO</v>
          </cell>
        </row>
        <row r="1863">
          <cell r="D1863" t="str">
            <v>HTJA040178</v>
          </cell>
          <cell r="E1863" t="str">
            <v>10009621</v>
          </cell>
          <cell r="F1863" t="str">
            <v>UF-4600i W</v>
          </cell>
          <cell r="G1863">
            <v>100000</v>
          </cell>
          <cell r="H1863" t="str">
            <v>Nacional</v>
          </cell>
          <cell r="I1863">
            <v>8</v>
          </cell>
          <cell r="J1863" t="str">
            <v>STD</v>
          </cell>
          <cell r="L1863">
            <v>33932.483034337194</v>
          </cell>
          <cell r="M1863">
            <v>1475.3253493190084</v>
          </cell>
          <cell r="O1863" t="str">
            <v>CONO EXPANSOR LARGO</v>
          </cell>
        </row>
        <row r="1864">
          <cell r="D1864" t="str">
            <v>HTJA040180</v>
          </cell>
          <cell r="E1864" t="str">
            <v>7479050219</v>
          </cell>
          <cell r="F1864" t="str">
            <v>AC-1700i FORD</v>
          </cell>
          <cell r="G1864">
            <v>5000</v>
          </cell>
          <cell r="H1864" t="str">
            <v>Nacional</v>
          </cell>
          <cell r="I1864">
            <v>6</v>
          </cell>
          <cell r="J1864" t="str">
            <v>AC-1700i</v>
          </cell>
          <cell r="L1864">
            <v>38420.799999999996</v>
          </cell>
          <cell r="M1864">
            <v>1670.4695652173912</v>
          </cell>
          <cell r="O1864" t="str">
            <v>BOQUILLA TRES DEDOS</v>
          </cell>
        </row>
        <row r="1865">
          <cell r="D1865" t="str">
            <v>HTJA040181</v>
          </cell>
          <cell r="E1865" t="str">
            <v>7479050219</v>
          </cell>
          <cell r="F1865" t="str">
            <v>AC-1700i FORD</v>
          </cell>
          <cell r="G1865">
            <v>100000</v>
          </cell>
          <cell r="H1865" t="str">
            <v>Nacional</v>
          </cell>
          <cell r="I1865">
            <v>8</v>
          </cell>
          <cell r="J1865" t="str">
            <v>AC-1700i</v>
          </cell>
          <cell r="L1865">
            <v>38420.799999999996</v>
          </cell>
          <cell r="M1865">
            <v>1670.4695652173912</v>
          </cell>
          <cell r="O1865" t="str">
            <v>CONO EXPANSOR LARGO</v>
          </cell>
        </row>
        <row r="1866">
          <cell r="D1866" t="str">
            <v>HTJA040182</v>
          </cell>
          <cell r="E1866" t="str">
            <v>00806342</v>
          </cell>
          <cell r="F1866" t="str">
            <v>AC-2900i VW</v>
          </cell>
          <cell r="G1866">
            <v>200000</v>
          </cell>
          <cell r="H1866" t="str">
            <v>Nacional</v>
          </cell>
          <cell r="I1866">
            <v>8</v>
          </cell>
          <cell r="J1866" t="str">
            <v>AC-2900i</v>
          </cell>
          <cell r="L1866">
            <v>23450.400000000001</v>
          </cell>
          <cell r="M1866">
            <v>1019.5826086956522</v>
          </cell>
          <cell r="O1866" t="str">
            <v>PLACA DE DESCARGA CIRCULAR</v>
          </cell>
        </row>
        <row r="1867">
          <cell r="D1867" t="str">
            <v>HTJA040183</v>
          </cell>
          <cell r="E1867" t="str">
            <v>7056050202</v>
          </cell>
          <cell r="F1867" t="str">
            <v>A4 RF-91 Concept One</v>
          </cell>
          <cell r="G1867">
            <v>100000</v>
          </cell>
          <cell r="H1867" t="str">
            <v>Nacional</v>
          </cell>
          <cell r="I1867">
            <v>10</v>
          </cell>
          <cell r="J1867" t="str">
            <v>STD</v>
          </cell>
          <cell r="L1867">
            <v>0</v>
          </cell>
          <cell r="M1867">
            <v>0</v>
          </cell>
          <cell r="O1867" t="str">
            <v>TOPE PARA PISTON DE CARGADOR</v>
          </cell>
        </row>
        <row r="1868">
          <cell r="D1868" t="str">
            <v>HTJA040183</v>
          </cell>
          <cell r="E1868" t="str">
            <v>7174050203</v>
          </cell>
          <cell r="F1868" t="str">
            <v>A4 RF-95</v>
          </cell>
          <cell r="G1868">
            <v>100000</v>
          </cell>
          <cell r="H1868" t="str">
            <v>Nacional</v>
          </cell>
          <cell r="I1868">
            <v>10</v>
          </cell>
          <cell r="J1868" t="str">
            <v>STD</v>
          </cell>
          <cell r="L1868">
            <v>8133.6</v>
          </cell>
          <cell r="M1868">
            <v>353.63478260869567</v>
          </cell>
          <cell r="O1868" t="str">
            <v>TOPE PARA PISTON DE CARGADOR</v>
          </cell>
        </row>
        <row r="1869">
          <cell r="D1869" t="str">
            <v>HTJA040183</v>
          </cell>
          <cell r="E1869" t="str">
            <v>10019426</v>
          </cell>
          <cell r="F1869" t="str">
            <v>AC-1500i Honda 2NX / GMT</v>
          </cell>
          <cell r="G1869">
            <v>100000</v>
          </cell>
          <cell r="H1869" t="str">
            <v>Nacional</v>
          </cell>
          <cell r="I1869">
            <v>10</v>
          </cell>
          <cell r="J1869" t="str">
            <v>STD</v>
          </cell>
          <cell r="L1869">
            <v>32759.000000000004</v>
          </cell>
          <cell r="M1869">
            <v>1424.3043478260872</v>
          </cell>
          <cell r="O1869" t="str">
            <v>TOPE PARA PISTON DE CARGADOR</v>
          </cell>
        </row>
        <row r="1870">
          <cell r="D1870" t="str">
            <v>HTJA040183</v>
          </cell>
          <cell r="E1870" t="str">
            <v>7479050219</v>
          </cell>
          <cell r="F1870" t="str">
            <v>AC-1700i FORD</v>
          </cell>
          <cell r="G1870">
            <v>100000</v>
          </cell>
          <cell r="H1870" t="str">
            <v>Nacional</v>
          </cell>
          <cell r="I1870">
            <v>10</v>
          </cell>
          <cell r="J1870" t="str">
            <v>STD</v>
          </cell>
          <cell r="L1870">
            <v>38420.799999999996</v>
          </cell>
          <cell r="M1870">
            <v>1670.4695652173912</v>
          </cell>
          <cell r="O1870" t="str">
            <v>TOPE PARA PISTON DE CARGADOR</v>
          </cell>
        </row>
        <row r="1871">
          <cell r="D1871" t="str">
            <v>HTJA040183</v>
          </cell>
          <cell r="E1871" t="str">
            <v>8647050233</v>
          </cell>
          <cell r="F1871" t="str">
            <v>AC-2000i Honda Acura</v>
          </cell>
          <cell r="G1871">
            <v>100000</v>
          </cell>
          <cell r="H1871" t="str">
            <v>Nacional</v>
          </cell>
          <cell r="I1871">
            <v>10</v>
          </cell>
          <cell r="J1871" t="str">
            <v>STD</v>
          </cell>
          <cell r="L1871">
            <v>74729.200000000012</v>
          </cell>
          <cell r="M1871">
            <v>3249.0956521739135</v>
          </cell>
          <cell r="O1871" t="str">
            <v>TOPE PARA PISTON DE CARGADOR</v>
          </cell>
        </row>
        <row r="1872">
          <cell r="D1872" t="str">
            <v>HTJA040183</v>
          </cell>
          <cell r="E1872" t="str">
            <v>10221803</v>
          </cell>
          <cell r="F1872" t="str">
            <v>AC-2300i Gamma Suv</v>
          </cell>
          <cell r="G1872">
            <v>100000</v>
          </cell>
          <cell r="H1872" t="str">
            <v>Nacional</v>
          </cell>
          <cell r="I1872">
            <v>10</v>
          </cell>
          <cell r="J1872" t="str">
            <v>STD</v>
          </cell>
          <cell r="L1872">
            <v>0</v>
          </cell>
          <cell r="M1872">
            <v>0</v>
          </cell>
          <cell r="O1872" t="str">
            <v>TOPE PARA PISTON DE CARGADOR</v>
          </cell>
        </row>
        <row r="1873">
          <cell r="D1873" t="str">
            <v>HTJA040183</v>
          </cell>
          <cell r="E1873" t="str">
            <v>7324050215</v>
          </cell>
          <cell r="F1873" t="str">
            <v>AC-2300i PT-44</v>
          </cell>
          <cell r="G1873">
            <v>100000</v>
          </cell>
          <cell r="H1873" t="str">
            <v>Nacional</v>
          </cell>
          <cell r="I1873">
            <v>10</v>
          </cell>
          <cell r="J1873" t="str">
            <v>STD</v>
          </cell>
          <cell r="L1873">
            <v>58512.600000000006</v>
          </cell>
          <cell r="M1873">
            <v>2544.0260869565218</v>
          </cell>
          <cell r="O1873" t="str">
            <v>TOPE PARA PISTON DE CARGADOR</v>
          </cell>
        </row>
        <row r="1874">
          <cell r="D1874" t="str">
            <v>HTJA040183</v>
          </cell>
          <cell r="E1874" t="str">
            <v>10001024R</v>
          </cell>
          <cell r="F1874" t="str">
            <v>AC-2600i Ford Escape</v>
          </cell>
          <cell r="G1874">
            <v>100000</v>
          </cell>
          <cell r="H1874" t="str">
            <v>Nacional</v>
          </cell>
          <cell r="I1874">
            <v>10</v>
          </cell>
          <cell r="J1874" t="str">
            <v>STD</v>
          </cell>
          <cell r="L1874">
            <v>59203</v>
          </cell>
          <cell r="M1874">
            <v>2574.0434782608695</v>
          </cell>
          <cell r="O1874" t="str">
            <v>TOPE PARA PISTON DE CARGADOR</v>
          </cell>
        </row>
        <row r="1875">
          <cell r="D1875" t="str">
            <v>HTJA040183</v>
          </cell>
          <cell r="E1875" t="str">
            <v>7553050217</v>
          </cell>
          <cell r="F1875" t="str">
            <v>AC-2600i PT-Turbo</v>
          </cell>
          <cell r="G1875">
            <v>100000</v>
          </cell>
          <cell r="H1875" t="str">
            <v>Nacional</v>
          </cell>
          <cell r="I1875">
            <v>10</v>
          </cell>
          <cell r="J1875" t="str">
            <v>STD</v>
          </cell>
          <cell r="L1875">
            <v>37981.199999999997</v>
          </cell>
          <cell r="M1875">
            <v>1651.3565217391304</v>
          </cell>
          <cell r="O1875" t="str">
            <v>TOPE PARA PISTON DE CARGADOR</v>
          </cell>
        </row>
        <row r="1876">
          <cell r="D1876" t="str">
            <v>HTJA040183</v>
          </cell>
          <cell r="E1876" t="str">
            <v>10054551</v>
          </cell>
          <cell r="F1876" t="str">
            <v>AC-2650 JC49 / GS PLT / DNA</v>
          </cell>
          <cell r="G1876">
            <v>100000</v>
          </cell>
          <cell r="H1876" t="str">
            <v>Nacional</v>
          </cell>
          <cell r="I1876">
            <v>10</v>
          </cell>
          <cell r="J1876" t="str">
            <v>STD</v>
          </cell>
          <cell r="L1876">
            <v>11932</v>
          </cell>
          <cell r="M1876">
            <v>518.78260869565213</v>
          </cell>
          <cell r="O1876" t="str">
            <v>TOPE PARA PISTON DE CARGADOR</v>
          </cell>
        </row>
        <row r="1877">
          <cell r="D1877" t="str">
            <v>HTJA040183</v>
          </cell>
          <cell r="E1877" t="str">
            <v>00806342</v>
          </cell>
          <cell r="F1877" t="str">
            <v>AC-2900i VW</v>
          </cell>
          <cell r="G1877">
            <v>100000</v>
          </cell>
          <cell r="H1877" t="str">
            <v>Nacional</v>
          </cell>
          <cell r="I1877">
            <v>10</v>
          </cell>
          <cell r="J1877" t="str">
            <v>STD</v>
          </cell>
          <cell r="L1877">
            <v>23450.400000000001</v>
          </cell>
          <cell r="M1877">
            <v>1019.5826086956522</v>
          </cell>
          <cell r="O1877" t="str">
            <v>TOPE PARA PISTON DE CARGADOR</v>
          </cell>
        </row>
        <row r="1878">
          <cell r="D1878" t="str">
            <v>HTJA040183</v>
          </cell>
          <cell r="E1878" t="str">
            <v>10019477T</v>
          </cell>
          <cell r="F1878" t="str">
            <v>AC-3300i FORD</v>
          </cell>
          <cell r="G1878">
            <v>100000</v>
          </cell>
          <cell r="H1878" t="str">
            <v>Nacional</v>
          </cell>
          <cell r="I1878">
            <v>10</v>
          </cell>
          <cell r="J1878" t="str">
            <v>STD</v>
          </cell>
          <cell r="L1878">
            <v>0</v>
          </cell>
          <cell r="M1878">
            <v>0</v>
          </cell>
          <cell r="O1878" t="str">
            <v>TOPE PARA PISTON DE CARGADOR</v>
          </cell>
        </row>
        <row r="1879">
          <cell r="D1879" t="str">
            <v>HTJA040183</v>
          </cell>
          <cell r="E1879" t="str">
            <v>4302091005</v>
          </cell>
          <cell r="F1879" t="str">
            <v>C-2000 PL-BODY</v>
          </cell>
          <cell r="G1879">
            <v>100000</v>
          </cell>
          <cell r="H1879" t="str">
            <v>Nacional</v>
          </cell>
          <cell r="I1879">
            <v>10</v>
          </cell>
          <cell r="J1879" t="str">
            <v>STD</v>
          </cell>
          <cell r="L1879">
            <v>0</v>
          </cell>
          <cell r="M1879">
            <v>0</v>
          </cell>
          <cell r="O1879" t="str">
            <v>TOPE PARA PISTON DE CARGADOR</v>
          </cell>
        </row>
        <row r="1880">
          <cell r="D1880" t="str">
            <v>HTJA040183</v>
          </cell>
          <cell r="E1880" t="str">
            <v>10060762</v>
          </cell>
          <cell r="F1880" t="str">
            <v>UF-2600i Ford Explorer</v>
          </cell>
          <cell r="G1880">
            <v>100000</v>
          </cell>
          <cell r="H1880" t="str">
            <v>Nacional</v>
          </cell>
          <cell r="I1880">
            <v>10</v>
          </cell>
          <cell r="J1880" t="str">
            <v>STD</v>
          </cell>
          <cell r="L1880">
            <v>0</v>
          </cell>
          <cell r="M1880">
            <v>0</v>
          </cell>
          <cell r="O1880" t="str">
            <v>TOPE PARA PISTON DE CARGADOR</v>
          </cell>
        </row>
        <row r="1881">
          <cell r="D1881" t="str">
            <v>HTJA040183</v>
          </cell>
          <cell r="E1881" t="str">
            <v>00806088</v>
          </cell>
          <cell r="F1881" t="str">
            <v>UF-2600i Hyundai</v>
          </cell>
          <cell r="G1881">
            <v>100000</v>
          </cell>
          <cell r="H1881" t="str">
            <v>Nacional</v>
          </cell>
          <cell r="I1881">
            <v>10</v>
          </cell>
          <cell r="J1881" t="str">
            <v>STD</v>
          </cell>
          <cell r="L1881">
            <v>0</v>
          </cell>
          <cell r="M1881">
            <v>0</v>
          </cell>
          <cell r="O1881" t="str">
            <v>TOPE PARA PISTON DE CARGADOR</v>
          </cell>
        </row>
        <row r="1882">
          <cell r="D1882" t="str">
            <v>HTJA040183</v>
          </cell>
          <cell r="E1882" t="str">
            <v>8152050226</v>
          </cell>
          <cell r="F1882" t="str">
            <v>UF-2600i PQ-35 VW</v>
          </cell>
          <cell r="G1882">
            <v>100000</v>
          </cell>
          <cell r="H1882" t="str">
            <v>Nacional</v>
          </cell>
          <cell r="I1882">
            <v>10</v>
          </cell>
          <cell r="J1882" t="str">
            <v>STD</v>
          </cell>
          <cell r="L1882">
            <v>38227.399999999994</v>
          </cell>
          <cell r="M1882">
            <v>1662.0608695652172</v>
          </cell>
          <cell r="O1882" t="str">
            <v>TOPE PARA PISTON DE CARGADOR</v>
          </cell>
        </row>
        <row r="1883">
          <cell r="D1883" t="str">
            <v>HTJA040183</v>
          </cell>
          <cell r="E1883" t="str">
            <v>10018041</v>
          </cell>
          <cell r="F1883" t="str">
            <v>UF-3300i W</v>
          </cell>
          <cell r="G1883">
            <v>100000</v>
          </cell>
          <cell r="H1883" t="str">
            <v>Nacional</v>
          </cell>
          <cell r="I1883">
            <v>10</v>
          </cell>
          <cell r="J1883" t="str">
            <v>STD</v>
          </cell>
          <cell r="L1883">
            <v>13520.454678603319</v>
          </cell>
          <cell r="M1883">
            <v>587.84585559144864</v>
          </cell>
          <cell r="O1883" t="str">
            <v>TOPE PARA PISTON DE CARGADOR</v>
          </cell>
        </row>
        <row r="1884">
          <cell r="D1884" t="str">
            <v>HTJA040183</v>
          </cell>
          <cell r="E1884" t="str">
            <v>7870050221</v>
          </cell>
          <cell r="F1884" t="str">
            <v>UF-3400 PQ-35 VW</v>
          </cell>
          <cell r="G1884">
            <v>100000</v>
          </cell>
          <cell r="H1884" t="str">
            <v>Nacional</v>
          </cell>
          <cell r="I1884">
            <v>10</v>
          </cell>
          <cell r="J1884" t="str">
            <v>STD</v>
          </cell>
          <cell r="L1884">
            <v>45592.200000000012</v>
          </cell>
          <cell r="M1884">
            <v>1982.2695652173918</v>
          </cell>
          <cell r="O1884" t="str">
            <v>TOPE PARA PISTON DE CARGADOR</v>
          </cell>
        </row>
        <row r="1885">
          <cell r="D1885" t="str">
            <v>HTJA040183</v>
          </cell>
          <cell r="E1885" t="str">
            <v>10009621</v>
          </cell>
          <cell r="F1885" t="str">
            <v>UF-4600i W</v>
          </cell>
          <cell r="G1885">
            <v>100000</v>
          </cell>
          <cell r="H1885" t="str">
            <v>Nacional</v>
          </cell>
          <cell r="I1885">
            <v>10</v>
          </cell>
          <cell r="J1885" t="str">
            <v>STD</v>
          </cell>
          <cell r="L1885">
            <v>33932.483034337194</v>
          </cell>
          <cell r="M1885">
            <v>1475.3253493190084</v>
          </cell>
          <cell r="O1885" t="str">
            <v>TOPE PARA PISTON DE CARGADOR</v>
          </cell>
        </row>
        <row r="1886">
          <cell r="D1886" t="str">
            <v>HTJA040184</v>
          </cell>
          <cell r="E1886" t="str">
            <v>10019426</v>
          </cell>
          <cell r="F1886" t="str">
            <v>AC-1500i Honda 2NX / GMT</v>
          </cell>
          <cell r="G1886">
            <v>200000</v>
          </cell>
          <cell r="H1886" t="str">
            <v>Nacional</v>
          </cell>
          <cell r="I1886">
            <v>8</v>
          </cell>
          <cell r="J1886" t="str">
            <v>AC-1500i</v>
          </cell>
          <cell r="L1886">
            <v>32759.000000000004</v>
          </cell>
          <cell r="M1886">
            <v>1424.3043478260872</v>
          </cell>
          <cell r="O1886" t="str">
            <v>BLOCK DE DESCARGA MENOR</v>
          </cell>
        </row>
        <row r="1887">
          <cell r="D1887" t="str">
            <v>HTJA040185</v>
          </cell>
          <cell r="E1887" t="str">
            <v>10019426</v>
          </cell>
          <cell r="F1887" t="str">
            <v>AC-1500i Honda 2NX / GMT</v>
          </cell>
          <cell r="G1887">
            <v>200000</v>
          </cell>
          <cell r="H1887" t="str">
            <v>Nacional</v>
          </cell>
          <cell r="I1887">
            <v>8</v>
          </cell>
          <cell r="J1887" t="str">
            <v>AC-1500i</v>
          </cell>
          <cell r="L1887">
            <v>32759.000000000004</v>
          </cell>
          <cell r="M1887">
            <v>1424.3043478260872</v>
          </cell>
          <cell r="O1887" t="str">
            <v>BLOCK DE DESCARGA MAYOR</v>
          </cell>
        </row>
        <row r="1888">
          <cell r="D1888" t="str">
            <v>HTJA040186</v>
          </cell>
          <cell r="E1888" t="str">
            <v>7479050219</v>
          </cell>
          <cell r="F1888" t="str">
            <v>AC-1700i FORD</v>
          </cell>
          <cell r="G1888">
            <v>200000</v>
          </cell>
          <cell r="H1888" t="str">
            <v>Nacional</v>
          </cell>
          <cell r="I1888">
            <v>8</v>
          </cell>
          <cell r="J1888" t="str">
            <v>AC-1700i</v>
          </cell>
          <cell r="L1888">
            <v>38420.799999999996</v>
          </cell>
          <cell r="M1888">
            <v>1670.4695652173912</v>
          </cell>
          <cell r="O1888" t="str">
            <v>BLOCK DE DESCARGA MENOR</v>
          </cell>
        </row>
        <row r="1889">
          <cell r="D1889" t="str">
            <v>HTJA040187</v>
          </cell>
          <cell r="E1889" t="str">
            <v>7479050219</v>
          </cell>
          <cell r="F1889" t="str">
            <v>AC-1700i FORD</v>
          </cell>
          <cell r="G1889">
            <v>200000</v>
          </cell>
          <cell r="H1889" t="str">
            <v>Nacional</v>
          </cell>
          <cell r="I1889">
            <v>8</v>
          </cell>
          <cell r="J1889" t="str">
            <v>AC-1700i</v>
          </cell>
          <cell r="L1889">
            <v>38420.799999999996</v>
          </cell>
          <cell r="M1889">
            <v>1670.4695652173912</v>
          </cell>
          <cell r="O1889" t="str">
            <v>BLOCK DE DESCARGA MAYOR</v>
          </cell>
        </row>
        <row r="1890">
          <cell r="D1890" t="str">
            <v>HTJA040188</v>
          </cell>
          <cell r="E1890" t="str">
            <v>4302091005</v>
          </cell>
          <cell r="F1890" t="str">
            <v>C-2000 PL-BODY</v>
          </cell>
          <cell r="G1890">
            <v>200000</v>
          </cell>
          <cell r="H1890" t="str">
            <v>Nacional</v>
          </cell>
          <cell r="I1890">
            <v>8</v>
          </cell>
          <cell r="J1890" t="str">
            <v>C-2000</v>
          </cell>
          <cell r="L1890">
            <v>0</v>
          </cell>
          <cell r="M1890">
            <v>0</v>
          </cell>
          <cell r="O1890" t="str">
            <v>BLOCK DE DESCARGA MENOR</v>
          </cell>
        </row>
        <row r="1891">
          <cell r="D1891" t="str">
            <v>HTJA040189</v>
          </cell>
          <cell r="E1891" t="str">
            <v>4302091005</v>
          </cell>
          <cell r="F1891" t="str">
            <v>C-2000 PL-BODY</v>
          </cell>
          <cell r="G1891">
            <v>200000</v>
          </cell>
          <cell r="H1891" t="str">
            <v>Nacional</v>
          </cell>
          <cell r="I1891">
            <v>8</v>
          </cell>
          <cell r="J1891" t="str">
            <v>C-2000</v>
          </cell>
          <cell r="L1891">
            <v>0</v>
          </cell>
          <cell r="M1891">
            <v>0</v>
          </cell>
          <cell r="O1891" t="str">
            <v>BLOCK DE DESCARGA MAYOR</v>
          </cell>
        </row>
        <row r="1892">
          <cell r="D1892" t="str">
            <v>HTJA040190</v>
          </cell>
          <cell r="E1892" t="str">
            <v>8647050233</v>
          </cell>
          <cell r="F1892" t="str">
            <v>AC-2000i Honda Acura</v>
          </cell>
          <cell r="G1892">
            <v>200000</v>
          </cell>
          <cell r="H1892" t="str">
            <v>Nacional</v>
          </cell>
          <cell r="I1892">
            <v>8</v>
          </cell>
          <cell r="J1892" t="str">
            <v>AC-2000i</v>
          </cell>
          <cell r="L1892">
            <v>74729.200000000012</v>
          </cell>
          <cell r="M1892">
            <v>3249.0956521739135</v>
          </cell>
          <cell r="O1892" t="str">
            <v>BLOCK DE DESCARGA MENOR</v>
          </cell>
        </row>
        <row r="1893">
          <cell r="D1893" t="str">
            <v>HTJA040191</v>
          </cell>
          <cell r="E1893" t="str">
            <v>8647050233</v>
          </cell>
          <cell r="F1893" t="str">
            <v>AC-2000i Honda Acura</v>
          </cell>
          <cell r="G1893">
            <v>200000</v>
          </cell>
          <cell r="H1893" t="str">
            <v>Nacional</v>
          </cell>
          <cell r="I1893">
            <v>8</v>
          </cell>
          <cell r="J1893" t="str">
            <v>AC-2000i</v>
          </cell>
          <cell r="L1893">
            <v>74729.200000000012</v>
          </cell>
          <cell r="M1893">
            <v>3249.0956521739135</v>
          </cell>
          <cell r="O1893" t="str">
            <v>BLOCK DE DESCARGA MAYOR</v>
          </cell>
        </row>
        <row r="1894">
          <cell r="D1894" t="str">
            <v>HTJA040192</v>
          </cell>
          <cell r="E1894" t="str">
            <v>10221803</v>
          </cell>
          <cell r="F1894" t="str">
            <v>AC-2300i Gamma Suv</v>
          </cell>
          <cell r="G1894">
            <v>200000</v>
          </cell>
          <cell r="H1894" t="str">
            <v>Nacional</v>
          </cell>
          <cell r="I1894">
            <v>8</v>
          </cell>
          <cell r="J1894" t="str">
            <v>AC-2300i</v>
          </cell>
          <cell r="L1894">
            <v>0</v>
          </cell>
          <cell r="M1894">
            <v>0</v>
          </cell>
          <cell r="O1894" t="str">
            <v>BLOCK DE DESCARGA MENOR</v>
          </cell>
        </row>
        <row r="1895">
          <cell r="D1895" t="str">
            <v>HTJA040192</v>
          </cell>
          <cell r="E1895" t="str">
            <v>7324050215</v>
          </cell>
          <cell r="F1895" t="str">
            <v>AC-2300i PT-44</v>
          </cell>
          <cell r="G1895">
            <v>200000</v>
          </cell>
          <cell r="H1895" t="str">
            <v>Nacional</v>
          </cell>
          <cell r="I1895">
            <v>8</v>
          </cell>
          <cell r="J1895" t="str">
            <v>AC-2300i</v>
          </cell>
          <cell r="L1895">
            <v>58512.600000000006</v>
          </cell>
          <cell r="M1895">
            <v>2544.0260869565218</v>
          </cell>
          <cell r="O1895" t="str">
            <v>BLOCK DE DESCARGA MENOR</v>
          </cell>
        </row>
        <row r="1896">
          <cell r="D1896" t="str">
            <v>HTJA040193</v>
          </cell>
          <cell r="E1896" t="str">
            <v>10221803</v>
          </cell>
          <cell r="F1896" t="str">
            <v>AC-2300i Gamma Suv</v>
          </cell>
          <cell r="G1896">
            <v>200000</v>
          </cell>
          <cell r="H1896" t="str">
            <v>Nacional</v>
          </cell>
          <cell r="I1896">
            <v>8</v>
          </cell>
          <cell r="J1896" t="str">
            <v>AC-2300i</v>
          </cell>
          <cell r="L1896">
            <v>0</v>
          </cell>
          <cell r="M1896">
            <v>0</v>
          </cell>
          <cell r="O1896" t="str">
            <v>BLOCK DE DESCARGA MAYOR</v>
          </cell>
        </row>
        <row r="1897">
          <cell r="D1897" t="str">
            <v>HTJA040193</v>
          </cell>
          <cell r="E1897" t="str">
            <v>7324050215</v>
          </cell>
          <cell r="F1897" t="str">
            <v>AC-2300i PT-44</v>
          </cell>
          <cell r="G1897">
            <v>200000</v>
          </cell>
          <cell r="H1897" t="str">
            <v>Nacional</v>
          </cell>
          <cell r="I1897">
            <v>8</v>
          </cell>
          <cell r="J1897" t="str">
            <v>AC-2300i</v>
          </cell>
          <cell r="L1897">
            <v>58512.600000000006</v>
          </cell>
          <cell r="M1897">
            <v>2544.0260869565218</v>
          </cell>
          <cell r="O1897" t="str">
            <v>BLOCK DE DESCARGA MAYOR</v>
          </cell>
        </row>
        <row r="1898">
          <cell r="D1898" t="str">
            <v>HTJA040194</v>
          </cell>
          <cell r="E1898" t="str">
            <v>7174050203</v>
          </cell>
          <cell r="F1898" t="str">
            <v>A4 RF-95</v>
          </cell>
          <cell r="G1898">
            <v>200000</v>
          </cell>
          <cell r="H1898" t="str">
            <v>Nacional</v>
          </cell>
          <cell r="I1898">
            <v>8</v>
          </cell>
          <cell r="J1898" t="str">
            <v>A4 RF-95</v>
          </cell>
          <cell r="L1898">
            <v>8133.6</v>
          </cell>
          <cell r="M1898">
            <v>353.63478260869567</v>
          </cell>
          <cell r="O1898" t="str">
            <v>BLOCK DE DESCARGA MENOR</v>
          </cell>
        </row>
        <row r="1899">
          <cell r="D1899" t="str">
            <v>HTJA040195</v>
          </cell>
          <cell r="E1899" t="str">
            <v>7174050203</v>
          </cell>
          <cell r="F1899" t="str">
            <v>A4 RF-95</v>
          </cell>
          <cell r="G1899">
            <v>200000</v>
          </cell>
          <cell r="H1899" t="str">
            <v>Nacional</v>
          </cell>
          <cell r="I1899">
            <v>8</v>
          </cell>
          <cell r="J1899" t="str">
            <v>A4 RF-95</v>
          </cell>
          <cell r="L1899">
            <v>8133.6</v>
          </cell>
          <cell r="M1899">
            <v>353.63478260869567</v>
          </cell>
          <cell r="O1899" t="str">
            <v>BLOCK DE DESCARGA MAYOR</v>
          </cell>
        </row>
        <row r="1900">
          <cell r="D1900" t="str">
            <v>HTJA040196</v>
          </cell>
          <cell r="E1900" t="str">
            <v>7056050202</v>
          </cell>
          <cell r="F1900" t="str">
            <v>A4 RF-91 Concept One</v>
          </cell>
          <cell r="G1900">
            <v>500000</v>
          </cell>
          <cell r="H1900" t="str">
            <v>Nacional</v>
          </cell>
          <cell r="I1900">
            <v>10</v>
          </cell>
          <cell r="J1900" t="str">
            <v>STD</v>
          </cell>
          <cell r="L1900">
            <v>0</v>
          </cell>
          <cell r="M1900">
            <v>0</v>
          </cell>
          <cell r="O1900" t="str">
            <v>TUERCA</v>
          </cell>
        </row>
        <row r="1901">
          <cell r="D1901" t="str">
            <v>HTJA040196</v>
          </cell>
          <cell r="E1901" t="str">
            <v>7174050203</v>
          </cell>
          <cell r="F1901" t="str">
            <v>A4 RF-95</v>
          </cell>
          <cell r="G1901">
            <v>500000</v>
          </cell>
          <cell r="H1901" t="str">
            <v>Nacional</v>
          </cell>
          <cell r="I1901">
            <v>10</v>
          </cell>
          <cell r="J1901" t="str">
            <v>STD</v>
          </cell>
          <cell r="L1901">
            <v>8133.6</v>
          </cell>
          <cell r="M1901">
            <v>353.63478260869567</v>
          </cell>
          <cell r="O1901" t="str">
            <v>TUERCA</v>
          </cell>
        </row>
        <row r="1902">
          <cell r="D1902" t="str">
            <v>HTJA040196</v>
          </cell>
          <cell r="E1902" t="str">
            <v>10019426</v>
          </cell>
          <cell r="F1902" t="str">
            <v>AC-1500i Honda 2NX / GMT</v>
          </cell>
          <cell r="G1902">
            <v>500000</v>
          </cell>
          <cell r="H1902" t="str">
            <v>Nacional</v>
          </cell>
          <cell r="I1902">
            <v>10</v>
          </cell>
          <cell r="J1902" t="str">
            <v>STD</v>
          </cell>
          <cell r="L1902">
            <v>32759.000000000004</v>
          </cell>
          <cell r="M1902">
            <v>1424.3043478260872</v>
          </cell>
          <cell r="O1902" t="str">
            <v>TUERCA</v>
          </cell>
        </row>
        <row r="1903">
          <cell r="D1903" t="str">
            <v>HTJA040196</v>
          </cell>
          <cell r="E1903" t="str">
            <v>7479050219</v>
          </cell>
          <cell r="F1903" t="str">
            <v>AC-1700i FORD</v>
          </cell>
          <cell r="G1903">
            <v>500000</v>
          </cell>
          <cell r="H1903" t="str">
            <v>Nacional</v>
          </cell>
          <cell r="I1903">
            <v>10</v>
          </cell>
          <cell r="J1903" t="str">
            <v>STD</v>
          </cell>
          <cell r="L1903">
            <v>38420.799999999996</v>
          </cell>
          <cell r="M1903">
            <v>1670.4695652173912</v>
          </cell>
          <cell r="O1903" t="str">
            <v>TUERCA</v>
          </cell>
        </row>
        <row r="1904">
          <cell r="D1904" t="str">
            <v>HTJA040196</v>
          </cell>
          <cell r="E1904" t="str">
            <v>8647050233</v>
          </cell>
          <cell r="F1904" t="str">
            <v>AC-2000i Honda Acura</v>
          </cell>
          <cell r="G1904">
            <v>500000</v>
          </cell>
          <cell r="H1904" t="str">
            <v>Nacional</v>
          </cell>
          <cell r="I1904">
            <v>10</v>
          </cell>
          <cell r="J1904" t="str">
            <v>STD</v>
          </cell>
          <cell r="L1904">
            <v>74729.200000000012</v>
          </cell>
          <cell r="M1904">
            <v>3249.0956521739135</v>
          </cell>
          <cell r="O1904" t="str">
            <v>TUERCA</v>
          </cell>
        </row>
        <row r="1905">
          <cell r="D1905" t="str">
            <v>HTJA040196</v>
          </cell>
          <cell r="E1905" t="str">
            <v>10221803</v>
          </cell>
          <cell r="F1905" t="str">
            <v>AC-2300i Gamma Suv</v>
          </cell>
          <cell r="G1905">
            <v>500000</v>
          </cell>
          <cell r="H1905" t="str">
            <v>Nacional</v>
          </cell>
          <cell r="I1905">
            <v>10</v>
          </cell>
          <cell r="J1905" t="str">
            <v>STD</v>
          </cell>
          <cell r="L1905">
            <v>0</v>
          </cell>
          <cell r="M1905">
            <v>0</v>
          </cell>
          <cell r="O1905" t="str">
            <v>TUERCA</v>
          </cell>
        </row>
        <row r="1906">
          <cell r="D1906" t="str">
            <v>HTJA040196</v>
          </cell>
          <cell r="E1906" t="str">
            <v>7324050215</v>
          </cell>
          <cell r="F1906" t="str">
            <v>AC-2300i PT-44</v>
          </cell>
          <cell r="G1906">
            <v>500000</v>
          </cell>
          <cell r="H1906" t="str">
            <v>Nacional</v>
          </cell>
          <cell r="I1906">
            <v>10</v>
          </cell>
          <cell r="J1906" t="str">
            <v>STD</v>
          </cell>
          <cell r="L1906">
            <v>58512.600000000006</v>
          </cell>
          <cell r="M1906">
            <v>2544.0260869565218</v>
          </cell>
          <cell r="O1906" t="str">
            <v>TUERCA</v>
          </cell>
        </row>
        <row r="1907">
          <cell r="D1907" t="str">
            <v>HTJA040196</v>
          </cell>
          <cell r="E1907" t="str">
            <v>10001024R</v>
          </cell>
          <cell r="F1907" t="str">
            <v>AC-2600i Ford Escape</v>
          </cell>
          <cell r="G1907">
            <v>500000</v>
          </cell>
          <cell r="H1907" t="str">
            <v>Nacional</v>
          </cell>
          <cell r="I1907">
            <v>10</v>
          </cell>
          <cell r="J1907" t="str">
            <v>STD</v>
          </cell>
          <cell r="L1907">
            <v>59203</v>
          </cell>
          <cell r="M1907">
            <v>2574.0434782608695</v>
          </cell>
          <cell r="O1907" t="str">
            <v>TUERCA</v>
          </cell>
        </row>
        <row r="1908">
          <cell r="D1908" t="str">
            <v>HTJA040196</v>
          </cell>
          <cell r="E1908" t="str">
            <v>7553050217</v>
          </cell>
          <cell r="F1908" t="str">
            <v>AC-2600i PT-Turbo</v>
          </cell>
          <cell r="G1908">
            <v>500000</v>
          </cell>
          <cell r="H1908" t="str">
            <v>Nacional</v>
          </cell>
          <cell r="I1908">
            <v>10</v>
          </cell>
          <cell r="J1908" t="str">
            <v>STD</v>
          </cell>
          <cell r="L1908">
            <v>37981.199999999997</v>
          </cell>
          <cell r="M1908">
            <v>1651.3565217391304</v>
          </cell>
          <cell r="O1908" t="str">
            <v>TUERCA</v>
          </cell>
        </row>
        <row r="1909">
          <cell r="D1909" t="str">
            <v>HTJA040196</v>
          </cell>
          <cell r="E1909" t="str">
            <v>10054551</v>
          </cell>
          <cell r="F1909" t="str">
            <v>AC-2650 JC49 / GS PLT / DNA</v>
          </cell>
          <cell r="G1909">
            <v>500000</v>
          </cell>
          <cell r="H1909" t="str">
            <v>Nacional</v>
          </cell>
          <cell r="I1909">
            <v>10</v>
          </cell>
          <cell r="J1909" t="str">
            <v>STD</v>
          </cell>
          <cell r="L1909">
            <v>11932</v>
          </cell>
          <cell r="M1909">
            <v>518.78260869565213</v>
          </cell>
          <cell r="O1909" t="str">
            <v>TUERCA</v>
          </cell>
        </row>
        <row r="1910">
          <cell r="D1910" t="str">
            <v>HTJA040196</v>
          </cell>
          <cell r="E1910" t="str">
            <v>00806342</v>
          </cell>
          <cell r="F1910" t="str">
            <v>AC-2900i VW</v>
          </cell>
          <cell r="G1910">
            <v>500000</v>
          </cell>
          <cell r="H1910" t="str">
            <v>Nacional</v>
          </cell>
          <cell r="I1910">
            <v>10</v>
          </cell>
          <cell r="J1910" t="str">
            <v>STD</v>
          </cell>
          <cell r="L1910">
            <v>23450.400000000001</v>
          </cell>
          <cell r="M1910">
            <v>1019.5826086956522</v>
          </cell>
          <cell r="O1910" t="str">
            <v>TUERCA</v>
          </cell>
        </row>
        <row r="1911">
          <cell r="D1911" t="str">
            <v>HTJA040196</v>
          </cell>
          <cell r="E1911" t="str">
            <v>10019477T</v>
          </cell>
          <cell r="F1911" t="str">
            <v>AC-3300i FORD</v>
          </cell>
          <cell r="G1911">
            <v>500000</v>
          </cell>
          <cell r="H1911" t="str">
            <v>Nacional</v>
          </cell>
          <cell r="I1911">
            <v>10</v>
          </cell>
          <cell r="J1911" t="str">
            <v>STD</v>
          </cell>
          <cell r="L1911">
            <v>0</v>
          </cell>
          <cell r="M1911">
            <v>0</v>
          </cell>
          <cell r="O1911" t="str">
            <v>TUERCA</v>
          </cell>
        </row>
        <row r="1912">
          <cell r="D1912" t="str">
            <v>HTJA040196</v>
          </cell>
          <cell r="E1912" t="str">
            <v>4302091005</v>
          </cell>
          <cell r="F1912" t="str">
            <v>C-2000 PL-BODY</v>
          </cell>
          <cell r="G1912">
            <v>500000</v>
          </cell>
          <cell r="H1912" t="str">
            <v>Nacional</v>
          </cell>
          <cell r="I1912">
            <v>10</v>
          </cell>
          <cell r="J1912" t="str">
            <v>STD</v>
          </cell>
          <cell r="L1912">
            <v>0</v>
          </cell>
          <cell r="M1912">
            <v>0</v>
          </cell>
          <cell r="O1912" t="str">
            <v>TUERCA</v>
          </cell>
        </row>
        <row r="1913">
          <cell r="D1913" t="str">
            <v>HTJA040196</v>
          </cell>
          <cell r="E1913" t="str">
            <v>10060762</v>
          </cell>
          <cell r="F1913" t="str">
            <v>UF-2600i Ford Explorer</v>
          </cell>
          <cell r="G1913">
            <v>500000</v>
          </cell>
          <cell r="H1913" t="str">
            <v>Nacional</v>
          </cell>
          <cell r="I1913">
            <v>10</v>
          </cell>
          <cell r="J1913" t="str">
            <v>STD</v>
          </cell>
          <cell r="L1913">
            <v>0</v>
          </cell>
          <cell r="M1913">
            <v>0</v>
          </cell>
          <cell r="O1913" t="str">
            <v>TUERCA</v>
          </cell>
        </row>
        <row r="1914">
          <cell r="D1914" t="str">
            <v>HTJA040196</v>
          </cell>
          <cell r="E1914" t="str">
            <v>00806088</v>
          </cell>
          <cell r="F1914" t="str">
            <v>UF-2600i Hyundai</v>
          </cell>
          <cell r="G1914">
            <v>500000</v>
          </cell>
          <cell r="H1914" t="str">
            <v>Nacional</v>
          </cell>
          <cell r="I1914">
            <v>10</v>
          </cell>
          <cell r="J1914" t="str">
            <v>STD</v>
          </cell>
          <cell r="L1914">
            <v>0</v>
          </cell>
          <cell r="M1914">
            <v>0</v>
          </cell>
          <cell r="O1914" t="str">
            <v>TUERCA</v>
          </cell>
        </row>
        <row r="1915">
          <cell r="D1915" t="str">
            <v>HTJA040196</v>
          </cell>
          <cell r="E1915" t="str">
            <v>8152050226</v>
          </cell>
          <cell r="F1915" t="str">
            <v>UF-2600i PQ-35 VW</v>
          </cell>
          <cell r="G1915">
            <v>500000</v>
          </cell>
          <cell r="H1915" t="str">
            <v>Nacional</v>
          </cell>
          <cell r="I1915">
            <v>10</v>
          </cell>
          <cell r="J1915" t="str">
            <v>STD</v>
          </cell>
          <cell r="L1915">
            <v>38227.399999999994</v>
          </cell>
          <cell r="M1915">
            <v>1662.0608695652172</v>
          </cell>
          <cell r="O1915" t="str">
            <v>TUERCA</v>
          </cell>
        </row>
        <row r="1916">
          <cell r="D1916" t="str">
            <v>HTJA040196</v>
          </cell>
          <cell r="E1916" t="str">
            <v>10018041</v>
          </cell>
          <cell r="F1916" t="str">
            <v>UF-3300i W</v>
          </cell>
          <cell r="G1916">
            <v>500000</v>
          </cell>
          <cell r="H1916" t="str">
            <v>Nacional</v>
          </cell>
          <cell r="I1916">
            <v>10</v>
          </cell>
          <cell r="J1916" t="str">
            <v>STD</v>
          </cell>
          <cell r="L1916">
            <v>13520.454678603319</v>
          </cell>
          <cell r="M1916">
            <v>587.84585559144864</v>
          </cell>
          <cell r="O1916" t="str">
            <v>TUERCA</v>
          </cell>
        </row>
        <row r="1917">
          <cell r="D1917" t="str">
            <v>HTJA040196</v>
          </cell>
          <cell r="E1917" t="str">
            <v>7870050221</v>
          </cell>
          <cell r="F1917" t="str">
            <v>UF-3400 PQ-35 VW</v>
          </cell>
          <cell r="G1917">
            <v>500000</v>
          </cell>
          <cell r="H1917" t="str">
            <v>Nacional</v>
          </cell>
          <cell r="I1917">
            <v>10</v>
          </cell>
          <cell r="J1917" t="str">
            <v>STD</v>
          </cell>
          <cell r="L1917">
            <v>45592.200000000012</v>
          </cell>
          <cell r="M1917">
            <v>1982.2695652173918</v>
          </cell>
          <cell r="O1917" t="str">
            <v>TUERCA</v>
          </cell>
        </row>
        <row r="1918">
          <cell r="D1918" t="str">
            <v>HTJA040196</v>
          </cell>
          <cell r="E1918" t="str">
            <v>10009621</v>
          </cell>
          <cell r="F1918" t="str">
            <v>UF-4600i W</v>
          </cell>
          <cell r="G1918">
            <v>500000</v>
          </cell>
          <cell r="H1918" t="str">
            <v>Nacional</v>
          </cell>
          <cell r="I1918">
            <v>10</v>
          </cell>
          <cell r="J1918" t="str">
            <v>STD</v>
          </cell>
          <cell r="L1918">
            <v>33932.483034337194</v>
          </cell>
          <cell r="M1918">
            <v>1475.3253493190084</v>
          </cell>
          <cell r="O1918" t="str">
            <v>TUERCA</v>
          </cell>
        </row>
        <row r="1919">
          <cell r="D1919" t="str">
            <v>HTJA040197</v>
          </cell>
          <cell r="E1919" t="str">
            <v>7056050202</v>
          </cell>
          <cell r="F1919" t="str">
            <v>A4 RF-91 Concept One</v>
          </cell>
          <cell r="G1919">
            <v>10000</v>
          </cell>
          <cell r="H1919" t="str">
            <v>Nacional</v>
          </cell>
          <cell r="I1919">
            <v>8</v>
          </cell>
          <cell r="J1919" t="str">
            <v>C-1</v>
          </cell>
          <cell r="L1919">
            <v>0</v>
          </cell>
          <cell r="M1919">
            <v>0</v>
          </cell>
          <cell r="O1919" t="str">
            <v>MATRIZ</v>
          </cell>
        </row>
        <row r="1920">
          <cell r="D1920" t="str">
            <v>HTJA040198</v>
          </cell>
          <cell r="E1920" t="str">
            <v>7056050202</v>
          </cell>
          <cell r="F1920" t="str">
            <v>A4 RF-91 Concept One</v>
          </cell>
          <cell r="G1920">
            <v>5000</v>
          </cell>
          <cell r="H1920" t="str">
            <v>Nacional</v>
          </cell>
          <cell r="I1920">
            <v>8</v>
          </cell>
          <cell r="J1920" t="str">
            <v>C-1</v>
          </cell>
          <cell r="L1920">
            <v>0</v>
          </cell>
          <cell r="M1920">
            <v>0</v>
          </cell>
          <cell r="O1920" t="str">
            <v>PUNZON</v>
          </cell>
        </row>
        <row r="1921">
          <cell r="D1921" t="str">
            <v>HTJA040199</v>
          </cell>
          <cell r="E1921" t="str">
            <v>10019426</v>
          </cell>
          <cell r="F1921" t="str">
            <v>AC-1500i Honda 2NX / GMT</v>
          </cell>
          <cell r="G1921">
            <v>3000</v>
          </cell>
          <cell r="H1921" t="str">
            <v>Nacional</v>
          </cell>
          <cell r="I1921">
            <v>6</v>
          </cell>
          <cell r="J1921" t="str">
            <v>AC-1500i</v>
          </cell>
          <cell r="L1921">
            <v>32759.000000000004</v>
          </cell>
          <cell r="M1921">
            <v>1424.3043478260872</v>
          </cell>
          <cell r="O1921" t="str">
            <v>PUNZON</v>
          </cell>
        </row>
        <row r="1922">
          <cell r="D1922" t="str">
            <v>HTJA040201</v>
          </cell>
          <cell r="E1922" t="str">
            <v>7056050202</v>
          </cell>
          <cell r="F1922" t="str">
            <v>A4 RF-91 Concept One</v>
          </cell>
          <cell r="G1922">
            <v>500000</v>
          </cell>
          <cell r="H1922" t="str">
            <v>Nacional</v>
          </cell>
          <cell r="I1922">
            <v>10</v>
          </cell>
          <cell r="J1922" t="str">
            <v>STD</v>
          </cell>
          <cell r="L1922">
            <v>0</v>
          </cell>
          <cell r="M1922">
            <v>0</v>
          </cell>
          <cell r="O1922" t="str">
            <v>TUERCA PARA CONO EXPANSOR</v>
          </cell>
        </row>
        <row r="1923">
          <cell r="D1923" t="str">
            <v>HTJA040201</v>
          </cell>
          <cell r="E1923" t="str">
            <v>7174050203</v>
          </cell>
          <cell r="F1923" t="str">
            <v>A4 RF-95</v>
          </cell>
          <cell r="G1923">
            <v>500000</v>
          </cell>
          <cell r="H1923" t="str">
            <v>Nacional</v>
          </cell>
          <cell r="I1923">
            <v>10</v>
          </cell>
          <cell r="J1923" t="str">
            <v>STD</v>
          </cell>
          <cell r="L1923">
            <v>8133.6</v>
          </cell>
          <cell r="M1923">
            <v>353.63478260869567</v>
          </cell>
          <cell r="O1923" t="str">
            <v>TUERCA PARA CONO EXPANSOR</v>
          </cell>
        </row>
        <row r="1924">
          <cell r="D1924" t="str">
            <v>HTJA040201</v>
          </cell>
          <cell r="E1924" t="str">
            <v>10019426</v>
          </cell>
          <cell r="F1924" t="str">
            <v>AC-1500i Honda 2NX / GMT</v>
          </cell>
          <cell r="G1924">
            <v>500000</v>
          </cell>
          <cell r="H1924" t="str">
            <v>Nacional</v>
          </cell>
          <cell r="I1924">
            <v>10</v>
          </cell>
          <cell r="J1924" t="str">
            <v>STD</v>
          </cell>
          <cell r="L1924">
            <v>32759.000000000004</v>
          </cell>
          <cell r="M1924">
            <v>1424.3043478260872</v>
          </cell>
          <cell r="O1924" t="str">
            <v>TUERCA PARA CONO EXPANSOR</v>
          </cell>
        </row>
        <row r="1925">
          <cell r="D1925" t="str">
            <v>HTJA040201</v>
          </cell>
          <cell r="E1925" t="str">
            <v>7479050219</v>
          </cell>
          <cell r="F1925" t="str">
            <v>AC-1700i FORD</v>
          </cell>
          <cell r="G1925">
            <v>500000</v>
          </cell>
          <cell r="H1925" t="str">
            <v>Nacional</v>
          </cell>
          <cell r="I1925">
            <v>10</v>
          </cell>
          <cell r="J1925" t="str">
            <v>STD</v>
          </cell>
          <cell r="L1925">
            <v>38420.799999999996</v>
          </cell>
          <cell r="M1925">
            <v>1670.4695652173912</v>
          </cell>
          <cell r="O1925" t="str">
            <v>TUERCA PARA CONO EXPANSOR</v>
          </cell>
        </row>
        <row r="1926">
          <cell r="D1926" t="str">
            <v>HTJA040201</v>
          </cell>
          <cell r="E1926" t="str">
            <v>8647050233</v>
          </cell>
          <cell r="F1926" t="str">
            <v>AC-2000i Honda Acura</v>
          </cell>
          <cell r="G1926">
            <v>500000</v>
          </cell>
          <cell r="H1926" t="str">
            <v>Nacional</v>
          </cell>
          <cell r="I1926">
            <v>10</v>
          </cell>
          <cell r="J1926" t="str">
            <v>STD</v>
          </cell>
          <cell r="L1926">
            <v>74729.200000000012</v>
          </cell>
          <cell r="M1926">
            <v>3249.0956521739135</v>
          </cell>
          <cell r="O1926" t="str">
            <v>TUERCA PARA CONO EXPANSOR</v>
          </cell>
        </row>
        <row r="1927">
          <cell r="D1927" t="str">
            <v>HTJA040201</v>
          </cell>
          <cell r="E1927" t="str">
            <v>10221803</v>
          </cell>
          <cell r="F1927" t="str">
            <v>AC-2300i Gamma Suv</v>
          </cell>
          <cell r="G1927">
            <v>500000</v>
          </cell>
          <cell r="H1927" t="str">
            <v>Nacional</v>
          </cell>
          <cell r="I1927">
            <v>10</v>
          </cell>
          <cell r="J1927" t="str">
            <v>STD</v>
          </cell>
          <cell r="L1927">
            <v>0</v>
          </cell>
          <cell r="M1927">
            <v>0</v>
          </cell>
          <cell r="O1927" t="str">
            <v>TUERCA PARA CONO EXPANSOR</v>
          </cell>
        </row>
        <row r="1928">
          <cell r="D1928" t="str">
            <v>HTJA040201</v>
          </cell>
          <cell r="E1928" t="str">
            <v>7324050215</v>
          </cell>
          <cell r="F1928" t="str">
            <v>AC-2300i PT-44</v>
          </cell>
          <cell r="G1928">
            <v>500000</v>
          </cell>
          <cell r="H1928" t="str">
            <v>Nacional</v>
          </cell>
          <cell r="I1928">
            <v>10</v>
          </cell>
          <cell r="J1928" t="str">
            <v>STD</v>
          </cell>
          <cell r="L1928">
            <v>58512.600000000006</v>
          </cell>
          <cell r="M1928">
            <v>2544.0260869565218</v>
          </cell>
          <cell r="O1928" t="str">
            <v>TUERCA PARA CONO EXPANSOR</v>
          </cell>
        </row>
        <row r="1929">
          <cell r="D1929" t="str">
            <v>HTJA040201</v>
          </cell>
          <cell r="E1929" t="str">
            <v>10001024R</v>
          </cell>
          <cell r="F1929" t="str">
            <v>AC-2600i Ford Escape</v>
          </cell>
          <cell r="G1929">
            <v>500000</v>
          </cell>
          <cell r="H1929" t="str">
            <v>Nacional</v>
          </cell>
          <cell r="I1929">
            <v>10</v>
          </cell>
          <cell r="J1929" t="str">
            <v>STD</v>
          </cell>
          <cell r="L1929">
            <v>59203</v>
          </cell>
          <cell r="M1929">
            <v>2574.0434782608695</v>
          </cell>
          <cell r="O1929" t="str">
            <v>TUERCA PARA CONO EXPANSOR</v>
          </cell>
        </row>
        <row r="1930">
          <cell r="D1930" t="str">
            <v>HTJA040201</v>
          </cell>
          <cell r="E1930" t="str">
            <v>7553050217</v>
          </cell>
          <cell r="F1930" t="str">
            <v>AC-2600i PT-Turbo</v>
          </cell>
          <cell r="G1930">
            <v>500000</v>
          </cell>
          <cell r="H1930" t="str">
            <v>Nacional</v>
          </cell>
          <cell r="I1930">
            <v>10</v>
          </cell>
          <cell r="J1930" t="str">
            <v>STD</v>
          </cell>
          <cell r="L1930">
            <v>37981.199999999997</v>
          </cell>
          <cell r="M1930">
            <v>1651.3565217391304</v>
          </cell>
          <cell r="O1930" t="str">
            <v>TUERCA PARA CONO EXPANSOR</v>
          </cell>
        </row>
        <row r="1931">
          <cell r="D1931" t="str">
            <v>HTJA040201</v>
          </cell>
          <cell r="E1931" t="str">
            <v>10054551</v>
          </cell>
          <cell r="F1931" t="str">
            <v>AC-2650 JC49 / GS PLT / DNA</v>
          </cell>
          <cell r="G1931">
            <v>500000</v>
          </cell>
          <cell r="H1931" t="str">
            <v>Nacional</v>
          </cell>
          <cell r="I1931">
            <v>10</v>
          </cell>
          <cell r="J1931" t="str">
            <v>STD</v>
          </cell>
          <cell r="L1931">
            <v>11932</v>
          </cell>
          <cell r="M1931">
            <v>518.78260869565213</v>
          </cell>
          <cell r="O1931" t="str">
            <v>TUERCA PARA CONO EXPANSOR</v>
          </cell>
        </row>
        <row r="1932">
          <cell r="D1932" t="str">
            <v>HTJA040201</v>
          </cell>
          <cell r="E1932" t="str">
            <v>00806342</v>
          </cell>
          <cell r="F1932" t="str">
            <v>AC-2900i VW</v>
          </cell>
          <cell r="G1932">
            <v>500000</v>
          </cell>
          <cell r="H1932" t="str">
            <v>Nacional</v>
          </cell>
          <cell r="I1932">
            <v>10</v>
          </cell>
          <cell r="J1932" t="str">
            <v>STD</v>
          </cell>
          <cell r="L1932">
            <v>23450.400000000001</v>
          </cell>
          <cell r="M1932">
            <v>1019.5826086956522</v>
          </cell>
          <cell r="O1932" t="str">
            <v>TUERCA PARA CONO EXPANSOR</v>
          </cell>
        </row>
        <row r="1933">
          <cell r="D1933" t="str">
            <v>HTJA040201</v>
          </cell>
          <cell r="E1933" t="str">
            <v>10019477T</v>
          </cell>
          <cell r="F1933" t="str">
            <v>AC-3300i FORD</v>
          </cell>
          <cell r="G1933">
            <v>500000</v>
          </cell>
          <cell r="H1933" t="str">
            <v>Nacional</v>
          </cell>
          <cell r="I1933">
            <v>10</v>
          </cell>
          <cell r="J1933" t="str">
            <v>STD</v>
          </cell>
          <cell r="L1933">
            <v>0</v>
          </cell>
          <cell r="M1933">
            <v>0</v>
          </cell>
          <cell r="O1933" t="str">
            <v>TUERCA PARA CONO EXPANSOR</v>
          </cell>
        </row>
        <row r="1934">
          <cell r="D1934" t="str">
            <v>HTJA040201</v>
          </cell>
          <cell r="E1934" t="str">
            <v>4302091005</v>
          </cell>
          <cell r="F1934" t="str">
            <v>C-2000 PL-BODY</v>
          </cell>
          <cell r="G1934">
            <v>500000</v>
          </cell>
          <cell r="H1934" t="str">
            <v>Nacional</v>
          </cell>
          <cell r="I1934">
            <v>10</v>
          </cell>
          <cell r="J1934" t="str">
            <v>STD</v>
          </cell>
          <cell r="L1934">
            <v>0</v>
          </cell>
          <cell r="M1934">
            <v>0</v>
          </cell>
          <cell r="O1934" t="str">
            <v>TUERCA PARA CONO EXPANSOR</v>
          </cell>
        </row>
        <row r="1935">
          <cell r="D1935" t="str">
            <v>HTJA040201</v>
          </cell>
          <cell r="E1935" t="str">
            <v>10060762</v>
          </cell>
          <cell r="F1935" t="str">
            <v>UF-2600i Ford Explorer</v>
          </cell>
          <cell r="G1935">
            <v>500000</v>
          </cell>
          <cell r="H1935" t="str">
            <v>Nacional</v>
          </cell>
          <cell r="I1935">
            <v>10</v>
          </cell>
          <cell r="J1935" t="str">
            <v>STD</v>
          </cell>
          <cell r="L1935">
            <v>0</v>
          </cell>
          <cell r="M1935">
            <v>0</v>
          </cell>
          <cell r="O1935" t="str">
            <v>TUERCA PARA CONO EXPANSOR</v>
          </cell>
        </row>
        <row r="1936">
          <cell r="D1936" t="str">
            <v>HTJA040201</v>
          </cell>
          <cell r="E1936" t="str">
            <v>00806088</v>
          </cell>
          <cell r="F1936" t="str">
            <v>UF-2600i Hyundai</v>
          </cell>
          <cell r="G1936">
            <v>500000</v>
          </cell>
          <cell r="H1936" t="str">
            <v>Nacional</v>
          </cell>
          <cell r="I1936">
            <v>10</v>
          </cell>
          <cell r="J1936" t="str">
            <v>STD</v>
          </cell>
          <cell r="L1936">
            <v>0</v>
          </cell>
          <cell r="M1936">
            <v>0</v>
          </cell>
          <cell r="O1936" t="str">
            <v>TUERCA PARA CONO EXPANSOR</v>
          </cell>
        </row>
        <row r="1937">
          <cell r="D1937" t="str">
            <v>HTJA040201</v>
          </cell>
          <cell r="E1937" t="str">
            <v>8152050226</v>
          </cell>
          <cell r="F1937" t="str">
            <v>UF-2600i PQ-35 VW</v>
          </cell>
          <cell r="G1937">
            <v>500000</v>
          </cell>
          <cell r="H1937" t="str">
            <v>Nacional</v>
          </cell>
          <cell r="I1937">
            <v>10</v>
          </cell>
          <cell r="J1937" t="str">
            <v>STD</v>
          </cell>
          <cell r="L1937">
            <v>38227.399999999994</v>
          </cell>
          <cell r="M1937">
            <v>1662.0608695652172</v>
          </cell>
          <cell r="O1937" t="str">
            <v>TUERCA PARA CONO EXPANSOR</v>
          </cell>
        </row>
        <row r="1938">
          <cell r="D1938" t="str">
            <v>HTJA040201</v>
          </cell>
          <cell r="E1938" t="str">
            <v>10018041</v>
          </cell>
          <cell r="F1938" t="str">
            <v>UF-3300i W</v>
          </cell>
          <cell r="G1938">
            <v>500000</v>
          </cell>
          <cell r="H1938" t="str">
            <v>Nacional</v>
          </cell>
          <cell r="I1938">
            <v>10</v>
          </cell>
          <cell r="J1938" t="str">
            <v>STD</v>
          </cell>
          <cell r="L1938">
            <v>13520.454678603319</v>
          </cell>
          <cell r="M1938">
            <v>587.84585559144864</v>
          </cell>
          <cell r="O1938" t="str">
            <v>TUERCA PARA CONO EXPANSOR</v>
          </cell>
        </row>
        <row r="1939">
          <cell r="D1939" t="str">
            <v>HTJA040201</v>
          </cell>
          <cell r="E1939" t="str">
            <v>7870050221</v>
          </cell>
          <cell r="F1939" t="str">
            <v>UF-3400 PQ-35 VW</v>
          </cell>
          <cell r="G1939">
            <v>500000</v>
          </cell>
          <cell r="H1939" t="str">
            <v>Nacional</v>
          </cell>
          <cell r="I1939">
            <v>10</v>
          </cell>
          <cell r="J1939" t="str">
            <v>STD</v>
          </cell>
          <cell r="L1939">
            <v>45592.200000000012</v>
          </cell>
          <cell r="M1939">
            <v>1982.2695652173918</v>
          </cell>
          <cell r="O1939" t="str">
            <v>TUERCA PARA CONO EXPANSOR</v>
          </cell>
        </row>
        <row r="1940">
          <cell r="D1940" t="str">
            <v>HTJA040201</v>
          </cell>
          <cell r="E1940" t="str">
            <v>10009621</v>
          </cell>
          <cell r="F1940" t="str">
            <v>UF-4600i W</v>
          </cell>
          <cell r="G1940">
            <v>500000</v>
          </cell>
          <cell r="H1940" t="str">
            <v>Nacional</v>
          </cell>
          <cell r="I1940">
            <v>10</v>
          </cell>
          <cell r="J1940" t="str">
            <v>STD</v>
          </cell>
          <cell r="L1940">
            <v>33932.483034337194</v>
          </cell>
          <cell r="M1940">
            <v>1475.3253493190084</v>
          </cell>
          <cell r="O1940" t="str">
            <v>TUERCA PARA CONO EXPANSOR</v>
          </cell>
        </row>
        <row r="1941">
          <cell r="D1941" t="str">
            <v>HTJA040202</v>
          </cell>
          <cell r="E1941" t="str">
            <v>7056050202</v>
          </cell>
          <cell r="F1941" t="str">
            <v>A4 RF-91 Concept One</v>
          </cell>
          <cell r="G1941">
            <v>500000</v>
          </cell>
          <cell r="H1941" t="str">
            <v>Nacional</v>
          </cell>
          <cell r="I1941">
            <v>10</v>
          </cell>
          <cell r="J1941" t="str">
            <v>STD</v>
          </cell>
          <cell r="L1941">
            <v>0</v>
          </cell>
          <cell r="M1941">
            <v>0</v>
          </cell>
          <cell r="O1941" t="str">
            <v>TUERCA PARA CONO EXPANSOR</v>
          </cell>
        </row>
        <row r="1942">
          <cell r="D1942" t="str">
            <v>HTJA040202</v>
          </cell>
          <cell r="E1942" t="str">
            <v>7174050203</v>
          </cell>
          <cell r="F1942" t="str">
            <v>A4 RF-95</v>
          </cell>
          <cell r="G1942">
            <v>500000</v>
          </cell>
          <cell r="H1942" t="str">
            <v>Nacional</v>
          </cell>
          <cell r="I1942">
            <v>10</v>
          </cell>
          <cell r="J1942" t="str">
            <v>STD</v>
          </cell>
          <cell r="L1942">
            <v>8133.6</v>
          </cell>
          <cell r="M1942">
            <v>353.63478260869567</v>
          </cell>
          <cell r="O1942" t="str">
            <v>TUERCA PARA CONO EXPANSOR</v>
          </cell>
        </row>
        <row r="1943">
          <cell r="D1943" t="str">
            <v>HTJA040202</v>
          </cell>
          <cell r="E1943" t="str">
            <v>10019426</v>
          </cell>
          <cell r="F1943" t="str">
            <v>AC-1500i Honda 2NX / GMT</v>
          </cell>
          <cell r="G1943">
            <v>500000</v>
          </cell>
          <cell r="H1943" t="str">
            <v>Nacional</v>
          </cell>
          <cell r="I1943">
            <v>10</v>
          </cell>
          <cell r="J1943" t="str">
            <v>STD</v>
          </cell>
          <cell r="L1943">
            <v>32759.000000000004</v>
          </cell>
          <cell r="M1943">
            <v>1424.3043478260872</v>
          </cell>
          <cell r="O1943" t="str">
            <v>TUERCA PARA CONO EXPANSOR</v>
          </cell>
        </row>
        <row r="1944">
          <cell r="D1944" t="str">
            <v>HTJA040202</v>
          </cell>
          <cell r="E1944" t="str">
            <v>7479050219</v>
          </cell>
          <cell r="F1944" t="str">
            <v>AC-1700i FORD</v>
          </cell>
          <cell r="G1944">
            <v>500000</v>
          </cell>
          <cell r="H1944" t="str">
            <v>Nacional</v>
          </cell>
          <cell r="I1944">
            <v>10</v>
          </cell>
          <cell r="J1944" t="str">
            <v>STD</v>
          </cell>
          <cell r="L1944">
            <v>38420.799999999996</v>
          </cell>
          <cell r="M1944">
            <v>1670.4695652173912</v>
          </cell>
          <cell r="O1944" t="str">
            <v>TUERCA PARA CONO EXPANSOR</v>
          </cell>
        </row>
        <row r="1945">
          <cell r="D1945" t="str">
            <v>HTJA040202</v>
          </cell>
          <cell r="E1945" t="str">
            <v>8647050233</v>
          </cell>
          <cell r="F1945" t="str">
            <v>AC-2000i Honda Acura</v>
          </cell>
          <cell r="G1945">
            <v>500000</v>
          </cell>
          <cell r="H1945" t="str">
            <v>Nacional</v>
          </cell>
          <cell r="I1945">
            <v>10</v>
          </cell>
          <cell r="J1945" t="str">
            <v>STD</v>
          </cell>
          <cell r="L1945">
            <v>74729.200000000012</v>
          </cell>
          <cell r="M1945">
            <v>3249.0956521739135</v>
          </cell>
          <cell r="O1945" t="str">
            <v>TUERCA PARA CONO EXPANSOR</v>
          </cell>
        </row>
        <row r="1946">
          <cell r="D1946" t="str">
            <v>HTJA040202</v>
          </cell>
          <cell r="E1946" t="str">
            <v>10221803</v>
          </cell>
          <cell r="F1946" t="str">
            <v>AC-2300i Gamma Suv</v>
          </cell>
          <cell r="G1946">
            <v>500000</v>
          </cell>
          <cell r="H1946" t="str">
            <v>Nacional</v>
          </cell>
          <cell r="I1946">
            <v>10</v>
          </cell>
          <cell r="J1946" t="str">
            <v>STD</v>
          </cell>
          <cell r="L1946">
            <v>0</v>
          </cell>
          <cell r="M1946">
            <v>0</v>
          </cell>
          <cell r="O1946" t="str">
            <v>TUERCA PARA CONO EXPANSOR</v>
          </cell>
        </row>
        <row r="1947">
          <cell r="D1947" t="str">
            <v>HTJA040202</v>
          </cell>
          <cell r="E1947" t="str">
            <v>7324050215</v>
          </cell>
          <cell r="F1947" t="str">
            <v>AC-2300i PT-44</v>
          </cell>
          <cell r="G1947">
            <v>500000</v>
          </cell>
          <cell r="H1947" t="str">
            <v>Nacional</v>
          </cell>
          <cell r="I1947">
            <v>10</v>
          </cell>
          <cell r="J1947" t="str">
            <v>STD</v>
          </cell>
          <cell r="L1947">
            <v>58512.600000000006</v>
          </cell>
          <cell r="M1947">
            <v>2544.0260869565218</v>
          </cell>
          <cell r="O1947" t="str">
            <v>TUERCA PARA CONO EXPANSOR</v>
          </cell>
        </row>
        <row r="1948">
          <cell r="D1948" t="str">
            <v>HTJA040202</v>
          </cell>
          <cell r="E1948" t="str">
            <v>10001024R</v>
          </cell>
          <cell r="F1948" t="str">
            <v>AC-2600i Ford Escape</v>
          </cell>
          <cell r="G1948">
            <v>500000</v>
          </cell>
          <cell r="H1948" t="str">
            <v>Nacional</v>
          </cell>
          <cell r="I1948">
            <v>10</v>
          </cell>
          <cell r="J1948" t="str">
            <v>STD</v>
          </cell>
          <cell r="L1948">
            <v>59203</v>
          </cell>
          <cell r="M1948">
            <v>2574.0434782608695</v>
          </cell>
          <cell r="O1948" t="str">
            <v>TUERCA PARA CONO EXPANSOR</v>
          </cell>
        </row>
        <row r="1949">
          <cell r="D1949" t="str">
            <v>HTJA040202</v>
          </cell>
          <cell r="E1949" t="str">
            <v>7553050217</v>
          </cell>
          <cell r="F1949" t="str">
            <v>AC-2600i PT-Turbo</v>
          </cell>
          <cell r="G1949">
            <v>500000</v>
          </cell>
          <cell r="H1949" t="str">
            <v>Nacional</v>
          </cell>
          <cell r="I1949">
            <v>10</v>
          </cell>
          <cell r="J1949" t="str">
            <v>STD</v>
          </cell>
          <cell r="L1949">
            <v>37981.199999999997</v>
          </cell>
          <cell r="M1949">
            <v>1651.3565217391304</v>
          </cell>
          <cell r="O1949" t="str">
            <v>TUERCA PARA CONO EXPANSOR</v>
          </cell>
        </row>
        <row r="1950">
          <cell r="D1950" t="str">
            <v>HTJA040202</v>
          </cell>
          <cell r="E1950" t="str">
            <v>10054551</v>
          </cell>
          <cell r="F1950" t="str">
            <v>AC-2650 JC49 / GS PLT / DNA</v>
          </cell>
          <cell r="G1950">
            <v>500000</v>
          </cell>
          <cell r="H1950" t="str">
            <v>Nacional</v>
          </cell>
          <cell r="I1950">
            <v>10</v>
          </cell>
          <cell r="J1950" t="str">
            <v>STD</v>
          </cell>
          <cell r="L1950">
            <v>11932</v>
          </cell>
          <cell r="M1950">
            <v>518.78260869565213</v>
          </cell>
          <cell r="O1950" t="str">
            <v>TUERCA PARA CONO EXPANSOR</v>
          </cell>
        </row>
        <row r="1951">
          <cell r="D1951" t="str">
            <v>HTJA040202</v>
          </cell>
          <cell r="E1951" t="str">
            <v>00806342</v>
          </cell>
          <cell r="F1951" t="str">
            <v>AC-2900i VW</v>
          </cell>
          <cell r="G1951">
            <v>500000</v>
          </cell>
          <cell r="H1951" t="str">
            <v>Nacional</v>
          </cell>
          <cell r="I1951">
            <v>10</v>
          </cell>
          <cell r="J1951" t="str">
            <v>STD</v>
          </cell>
          <cell r="L1951">
            <v>23450.400000000001</v>
          </cell>
          <cell r="M1951">
            <v>1019.5826086956522</v>
          </cell>
          <cell r="O1951" t="str">
            <v>TUERCA PARA CONO EXPANSOR</v>
          </cell>
        </row>
        <row r="1952">
          <cell r="D1952" t="str">
            <v>HTJA040202</v>
          </cell>
          <cell r="E1952" t="str">
            <v>10019477T</v>
          </cell>
          <cell r="F1952" t="str">
            <v>AC-3300i FORD</v>
          </cell>
          <cell r="G1952">
            <v>500000</v>
          </cell>
          <cell r="H1952" t="str">
            <v>Nacional</v>
          </cell>
          <cell r="I1952">
            <v>10</v>
          </cell>
          <cell r="J1952" t="str">
            <v>STD</v>
          </cell>
          <cell r="L1952">
            <v>0</v>
          </cell>
          <cell r="M1952">
            <v>0</v>
          </cell>
          <cell r="O1952" t="str">
            <v>TUERCA PARA CONO EXPANSOR</v>
          </cell>
        </row>
        <row r="1953">
          <cell r="D1953" t="str">
            <v>HTJA040202</v>
          </cell>
          <cell r="E1953" t="str">
            <v>4302091005</v>
          </cell>
          <cell r="F1953" t="str">
            <v>C-2000 PL-BODY</v>
          </cell>
          <cell r="G1953">
            <v>500000</v>
          </cell>
          <cell r="H1953" t="str">
            <v>Nacional</v>
          </cell>
          <cell r="I1953">
            <v>10</v>
          </cell>
          <cell r="J1953" t="str">
            <v>STD</v>
          </cell>
          <cell r="L1953">
            <v>0</v>
          </cell>
          <cell r="M1953">
            <v>0</v>
          </cell>
          <cell r="O1953" t="str">
            <v>TUERCA PARA CONO EXPANSOR</v>
          </cell>
        </row>
        <row r="1954">
          <cell r="D1954" t="str">
            <v>HTJA040202</v>
          </cell>
          <cell r="E1954" t="str">
            <v>10060762</v>
          </cell>
          <cell r="F1954" t="str">
            <v>UF-2600i Ford Explorer</v>
          </cell>
          <cell r="G1954">
            <v>500000</v>
          </cell>
          <cell r="H1954" t="str">
            <v>Nacional</v>
          </cell>
          <cell r="I1954">
            <v>10</v>
          </cell>
          <cell r="J1954" t="str">
            <v>STD</v>
          </cell>
          <cell r="L1954">
            <v>0</v>
          </cell>
          <cell r="M1954">
            <v>0</v>
          </cell>
          <cell r="O1954" t="str">
            <v>TUERCA PARA CONO EXPANSOR</v>
          </cell>
        </row>
        <row r="1955">
          <cell r="D1955" t="str">
            <v>HTJA040202</v>
          </cell>
          <cell r="E1955" t="str">
            <v>00806088</v>
          </cell>
          <cell r="F1955" t="str">
            <v>UF-2600i Hyundai</v>
          </cell>
          <cell r="G1955">
            <v>500000</v>
          </cell>
          <cell r="H1955" t="str">
            <v>Nacional</v>
          </cell>
          <cell r="I1955">
            <v>10</v>
          </cell>
          <cell r="J1955" t="str">
            <v>STD</v>
          </cell>
          <cell r="L1955">
            <v>0</v>
          </cell>
          <cell r="M1955">
            <v>0</v>
          </cell>
          <cell r="O1955" t="str">
            <v>TUERCA PARA CONO EXPANSOR</v>
          </cell>
        </row>
        <row r="1956">
          <cell r="D1956" t="str">
            <v>HTJA040202</v>
          </cell>
          <cell r="E1956" t="str">
            <v>8152050226</v>
          </cell>
          <cell r="F1956" t="str">
            <v>UF-2600i PQ-35 VW</v>
          </cell>
          <cell r="G1956">
            <v>500000</v>
          </cell>
          <cell r="H1956" t="str">
            <v>Nacional</v>
          </cell>
          <cell r="I1956">
            <v>10</v>
          </cell>
          <cell r="J1956" t="str">
            <v>STD</v>
          </cell>
          <cell r="L1956">
            <v>38227.399999999994</v>
          </cell>
          <cell r="M1956">
            <v>1662.0608695652172</v>
          </cell>
          <cell r="O1956" t="str">
            <v>TUERCA PARA CONO EXPANSOR</v>
          </cell>
        </row>
        <row r="1957">
          <cell r="D1957" t="str">
            <v>HTJA040202</v>
          </cell>
          <cell r="E1957" t="str">
            <v>10018041</v>
          </cell>
          <cell r="F1957" t="str">
            <v>UF-3300i W</v>
          </cell>
          <cell r="G1957">
            <v>500000</v>
          </cell>
          <cell r="H1957" t="str">
            <v>Nacional</v>
          </cell>
          <cell r="I1957">
            <v>10</v>
          </cell>
          <cell r="J1957" t="str">
            <v>STD</v>
          </cell>
          <cell r="L1957">
            <v>13520.454678603319</v>
          </cell>
          <cell r="M1957">
            <v>587.84585559144864</v>
          </cell>
          <cell r="O1957" t="str">
            <v>TUERCA PARA CONO EXPANSOR</v>
          </cell>
        </row>
        <row r="1958">
          <cell r="D1958" t="str">
            <v>HTJA040202</v>
          </cell>
          <cell r="E1958" t="str">
            <v>7870050221</v>
          </cell>
          <cell r="F1958" t="str">
            <v>UF-3400 PQ-35 VW</v>
          </cell>
          <cell r="G1958">
            <v>500000</v>
          </cell>
          <cell r="H1958" t="str">
            <v>Nacional</v>
          </cell>
          <cell r="I1958">
            <v>10</v>
          </cell>
          <cell r="J1958" t="str">
            <v>STD</v>
          </cell>
          <cell r="L1958">
            <v>45592.200000000012</v>
          </cell>
          <cell r="M1958">
            <v>1982.2695652173918</v>
          </cell>
          <cell r="O1958" t="str">
            <v>TUERCA PARA CONO EXPANSOR</v>
          </cell>
        </row>
        <row r="1959">
          <cell r="D1959" t="str">
            <v>HTJA040202</v>
          </cell>
          <cell r="E1959" t="str">
            <v>10009621</v>
          </cell>
          <cell r="F1959" t="str">
            <v>UF-4600i W</v>
          </cell>
          <cell r="G1959">
            <v>500000</v>
          </cell>
          <cell r="H1959" t="str">
            <v>Nacional</v>
          </cell>
          <cell r="I1959">
            <v>10</v>
          </cell>
          <cell r="J1959" t="str">
            <v>STD</v>
          </cell>
          <cell r="L1959">
            <v>33932.483034337194</v>
          </cell>
          <cell r="M1959">
            <v>1475.3253493190084</v>
          </cell>
          <cell r="O1959" t="str">
            <v>TUERCA PARA CONO EXPANSOR</v>
          </cell>
        </row>
        <row r="1960">
          <cell r="D1960" t="str">
            <v>HTJA040204</v>
          </cell>
          <cell r="E1960" t="str">
            <v>10019426</v>
          </cell>
          <cell r="F1960" t="str">
            <v>AC-1500i Honda 2NX / GMT</v>
          </cell>
          <cell r="G1960">
            <v>10000</v>
          </cell>
          <cell r="H1960" t="str">
            <v>Nacional</v>
          </cell>
          <cell r="I1960">
            <v>8</v>
          </cell>
          <cell r="J1960" t="str">
            <v>AC-1500i</v>
          </cell>
          <cell r="L1960">
            <v>32759.000000000004</v>
          </cell>
          <cell r="M1960">
            <v>1424.3043478260872</v>
          </cell>
          <cell r="O1960" t="str">
            <v>CONO EXPANSOR CORTO</v>
          </cell>
        </row>
        <row r="1961">
          <cell r="D1961" t="str">
            <v>HTJA040154</v>
          </cell>
          <cell r="E1961" t="str">
            <v>10054551</v>
          </cell>
          <cell r="F1961" t="str">
            <v>AC-2650 JC49 / GS PLT / DNA</v>
          </cell>
          <cell r="G1961">
            <v>10000</v>
          </cell>
          <cell r="H1961" t="str">
            <v>Nacional</v>
          </cell>
          <cell r="I1961">
            <v>10</v>
          </cell>
          <cell r="J1961" t="str">
            <v>AC-2650</v>
          </cell>
          <cell r="L1961">
            <v>11932</v>
          </cell>
          <cell r="M1961">
            <v>518.78260869565213</v>
          </cell>
          <cell r="O1961" t="str">
            <v>PORTA PUNZÓN LARGO</v>
          </cell>
        </row>
        <row r="1962">
          <cell r="D1962" t="str">
            <v>HTJA040206</v>
          </cell>
          <cell r="E1962" t="str">
            <v>10009621</v>
          </cell>
          <cell r="F1962" t="str">
            <v>UF-4600i W</v>
          </cell>
          <cell r="G1962">
            <v>5000</v>
          </cell>
          <cell r="H1962" t="str">
            <v>Nacional</v>
          </cell>
          <cell r="I1962">
            <v>10</v>
          </cell>
          <cell r="J1962" t="str">
            <v>UF-4600</v>
          </cell>
          <cell r="L1962">
            <v>33932.483034337194</v>
          </cell>
          <cell r="M1962">
            <v>1475.3253493190084</v>
          </cell>
          <cell r="O1962" t="str">
            <v>PUNZON</v>
          </cell>
        </row>
        <row r="1963">
          <cell r="D1963" t="str">
            <v>HTJA040207</v>
          </cell>
          <cell r="E1963" t="str">
            <v>10009621</v>
          </cell>
          <cell r="F1963" t="str">
            <v>UF-4600i W</v>
          </cell>
          <cell r="G1963">
            <v>6000</v>
          </cell>
          <cell r="H1963" t="str">
            <v>Nacional</v>
          </cell>
          <cell r="I1963">
            <v>6</v>
          </cell>
          <cell r="J1963" t="str">
            <v>UF-4600</v>
          </cell>
          <cell r="L1963">
            <v>33932.483034337194</v>
          </cell>
          <cell r="M1963">
            <v>1475.3253493190084</v>
          </cell>
          <cell r="O1963" t="str">
            <v>MATRIZ</v>
          </cell>
        </row>
        <row r="1964">
          <cell r="D1964" t="str">
            <v>HTJA040208</v>
          </cell>
          <cell r="E1964" t="str">
            <v>10009621</v>
          </cell>
          <cell r="F1964" t="str">
            <v>UF-4600i W</v>
          </cell>
          <cell r="G1964">
            <v>8000</v>
          </cell>
          <cell r="H1964" t="str">
            <v>Nacional</v>
          </cell>
          <cell r="I1964">
            <v>6</v>
          </cell>
          <cell r="J1964" t="str">
            <v>UF-4600</v>
          </cell>
          <cell r="L1964">
            <v>33932.483034337194</v>
          </cell>
          <cell r="M1964">
            <v>1475.3253493190084</v>
          </cell>
          <cell r="O1964" t="str">
            <v>BOQUILLA CERRADA</v>
          </cell>
        </row>
        <row r="1965">
          <cell r="D1965" t="str">
            <v>HTJA040209</v>
          </cell>
          <cell r="E1965" t="str">
            <v>10009621</v>
          </cell>
          <cell r="F1965" t="str">
            <v>UF-4600i W</v>
          </cell>
          <cell r="G1965">
            <v>100000</v>
          </cell>
          <cell r="H1965" t="str">
            <v>Nacional</v>
          </cell>
          <cell r="I1965">
            <v>10</v>
          </cell>
          <cell r="J1965" t="str">
            <v>UF-4600</v>
          </cell>
          <cell r="L1965">
            <v>33932.483034337194</v>
          </cell>
          <cell r="M1965">
            <v>1475.3253493190084</v>
          </cell>
          <cell r="O1965" t="str">
            <v>PLATO DE APOYO</v>
          </cell>
        </row>
        <row r="1966">
          <cell r="D1966" t="str">
            <v>HTJA040156 (AC 1500)</v>
          </cell>
          <cell r="E1966" t="str">
            <v>10019426</v>
          </cell>
          <cell r="F1966" t="str">
            <v>AC-1500i Honda 2NX / GMT</v>
          </cell>
          <cell r="G1966">
            <v>8000</v>
          </cell>
          <cell r="H1966" t="str">
            <v>Nacional</v>
          </cell>
          <cell r="I1966">
            <v>11</v>
          </cell>
          <cell r="J1966" t="str">
            <v>AC-1500i</v>
          </cell>
          <cell r="L1966">
            <v>32759.000000000004</v>
          </cell>
          <cell r="M1966">
            <v>1424.3043478260872</v>
          </cell>
          <cell r="O1966" t="str">
            <v>PORTA PUNZÓN LARGO</v>
          </cell>
        </row>
        <row r="1967">
          <cell r="D1967" t="str">
            <v>HTJA040216</v>
          </cell>
          <cell r="E1967" t="str">
            <v>10018041</v>
          </cell>
          <cell r="F1967" t="str">
            <v>UF-3300i W</v>
          </cell>
          <cell r="G1967">
            <v>5000</v>
          </cell>
          <cell r="H1967" t="str">
            <v>Nacional</v>
          </cell>
          <cell r="I1967">
            <v>6</v>
          </cell>
          <cell r="J1967" t="str">
            <v>UF-3300</v>
          </cell>
          <cell r="L1967">
            <v>13520.454678603319</v>
          </cell>
          <cell r="M1967">
            <v>587.84585559144864</v>
          </cell>
          <cell r="O1967" t="str">
            <v>PUNZON</v>
          </cell>
        </row>
        <row r="1968">
          <cell r="D1968" t="str">
            <v>HTJA040217</v>
          </cell>
          <cell r="E1968" t="str">
            <v>10018041</v>
          </cell>
          <cell r="F1968" t="str">
            <v>UF-3300i W</v>
          </cell>
          <cell r="G1968">
            <v>5000</v>
          </cell>
          <cell r="H1968" t="str">
            <v>Nacional</v>
          </cell>
          <cell r="I1968">
            <v>6</v>
          </cell>
          <cell r="J1968" t="str">
            <v>UF-3300</v>
          </cell>
          <cell r="L1968">
            <v>13520.454678603319</v>
          </cell>
          <cell r="M1968">
            <v>587.84585559144864</v>
          </cell>
          <cell r="O1968" t="str">
            <v>MATRIZ</v>
          </cell>
        </row>
        <row r="1969">
          <cell r="D1969" t="str">
            <v>HTJA040218</v>
          </cell>
          <cell r="E1969" t="str">
            <v>10018041</v>
          </cell>
          <cell r="F1969" t="str">
            <v>UF-3300i W</v>
          </cell>
          <cell r="G1969">
            <v>100000</v>
          </cell>
          <cell r="H1969" t="str">
            <v>Nacional</v>
          </cell>
          <cell r="I1969">
            <v>8</v>
          </cell>
          <cell r="J1969" t="str">
            <v>UF-3300</v>
          </cell>
          <cell r="L1969">
            <v>13520.454678603319</v>
          </cell>
          <cell r="M1969">
            <v>587.84585559144864</v>
          </cell>
          <cell r="O1969" t="str">
            <v>BOQUILLA CERRADA</v>
          </cell>
        </row>
        <row r="1970">
          <cell r="D1970" t="str">
            <v>HTJA040219</v>
          </cell>
          <cell r="E1970" t="str">
            <v>10018041</v>
          </cell>
          <cell r="F1970" t="str">
            <v>UF-3300i W</v>
          </cell>
          <cell r="G1970">
            <v>100000</v>
          </cell>
          <cell r="H1970" t="str">
            <v>Nacional</v>
          </cell>
          <cell r="I1970">
            <v>10</v>
          </cell>
          <cell r="J1970" t="str">
            <v>UF-3300</v>
          </cell>
          <cell r="L1970">
            <v>13520.454678603319</v>
          </cell>
          <cell r="M1970">
            <v>587.84585559144864</v>
          </cell>
          <cell r="O1970" t="str">
            <v>PLATO DE APOYO</v>
          </cell>
        </row>
        <row r="1971">
          <cell r="D1971" t="str">
            <v>HTJA040220</v>
          </cell>
          <cell r="E1971" t="str">
            <v>10009621</v>
          </cell>
          <cell r="F1971" t="str">
            <v>UF-4600i W</v>
          </cell>
          <cell r="G1971">
            <v>100000</v>
          </cell>
          <cell r="H1971" t="str">
            <v>Nacional</v>
          </cell>
          <cell r="I1971">
            <v>10</v>
          </cell>
          <cell r="J1971" t="str">
            <v>UF-4600</v>
          </cell>
          <cell r="L1971">
            <v>33932.483034337194</v>
          </cell>
          <cell r="M1971">
            <v>1475.3253493190084</v>
          </cell>
          <cell r="O1971" t="str">
            <v>PLACA LATERAL IZQUIERDA</v>
          </cell>
        </row>
        <row r="1972">
          <cell r="D1972" t="str">
            <v>HTJA040221</v>
          </cell>
          <cell r="E1972" t="str">
            <v>10009621</v>
          </cell>
          <cell r="F1972" t="str">
            <v>UF-4600i W</v>
          </cell>
          <cell r="G1972">
            <v>100000</v>
          </cell>
          <cell r="H1972" t="str">
            <v>Nacional</v>
          </cell>
          <cell r="I1972">
            <v>10</v>
          </cell>
          <cell r="J1972" t="str">
            <v>UF-4600</v>
          </cell>
          <cell r="L1972">
            <v>33932.483034337194</v>
          </cell>
          <cell r="M1972">
            <v>1475.3253493190084</v>
          </cell>
          <cell r="O1972" t="str">
            <v>PLACA LATERAL DERECHA</v>
          </cell>
        </row>
        <row r="1973">
          <cell r="D1973" t="str">
            <v>HTJA040222</v>
          </cell>
          <cell r="E1973" t="str">
            <v>7479050219</v>
          </cell>
          <cell r="F1973" t="str">
            <v>AC-1700i FORD</v>
          </cell>
          <cell r="G1973">
            <v>100000</v>
          </cell>
          <cell r="H1973" t="str">
            <v>Nacional</v>
          </cell>
          <cell r="I1973">
            <v>8</v>
          </cell>
          <cell r="J1973" t="str">
            <v>AC-1700i</v>
          </cell>
          <cell r="L1973">
            <v>38420.799999999996</v>
          </cell>
          <cell r="M1973">
            <v>1670.4695652173912</v>
          </cell>
          <cell r="O1973" t="str">
            <v>CONO EXPANSOR CORTO</v>
          </cell>
        </row>
        <row r="1974">
          <cell r="D1974" t="str">
            <v>HTJA040239</v>
          </cell>
          <cell r="E1974" t="str">
            <v>10018041</v>
          </cell>
          <cell r="F1974" t="str">
            <v>UF-3300i W</v>
          </cell>
          <cell r="G1974">
            <v>5000</v>
          </cell>
          <cell r="H1974" t="str">
            <v>Nacional</v>
          </cell>
          <cell r="I1974">
            <v>6</v>
          </cell>
          <cell r="J1974" t="str">
            <v>UF-3300</v>
          </cell>
          <cell r="L1974">
            <v>13520.454678603319</v>
          </cell>
          <cell r="M1974">
            <v>587.84585559144864</v>
          </cell>
          <cell r="O1974" t="str">
            <v>BOQUILLA TRES DEDOS</v>
          </cell>
        </row>
        <row r="1975">
          <cell r="D1975" t="str">
            <v>HTJA040240</v>
          </cell>
          <cell r="E1975" t="str">
            <v>10018041</v>
          </cell>
          <cell r="F1975" t="str">
            <v>UF-3300i W</v>
          </cell>
          <cell r="G1975">
            <v>100000</v>
          </cell>
          <cell r="H1975" t="str">
            <v>Nacional</v>
          </cell>
          <cell r="I1975">
            <v>10</v>
          </cell>
          <cell r="J1975" t="str">
            <v>UF-3300</v>
          </cell>
          <cell r="L1975">
            <v>13520.454678603319</v>
          </cell>
          <cell r="M1975">
            <v>587.84585559144864</v>
          </cell>
          <cell r="O1975" t="str">
            <v>PLATO DE APOYO</v>
          </cell>
        </row>
        <row r="1976">
          <cell r="D1976" t="str">
            <v>HTJA040241</v>
          </cell>
          <cell r="E1976" t="str">
            <v>10018041</v>
          </cell>
          <cell r="F1976" t="str">
            <v>UF-3300i W</v>
          </cell>
          <cell r="G1976">
            <v>100000</v>
          </cell>
          <cell r="H1976" t="str">
            <v>Nacional</v>
          </cell>
          <cell r="I1976">
            <v>10</v>
          </cell>
          <cell r="J1976" t="str">
            <v>UF-3300</v>
          </cell>
          <cell r="L1976">
            <v>13520.454678603319</v>
          </cell>
          <cell r="M1976">
            <v>587.84585559144864</v>
          </cell>
          <cell r="O1976" t="str">
            <v>PLACA DE DESCARGA CIRCULAR</v>
          </cell>
        </row>
        <row r="1977">
          <cell r="D1977" t="str">
            <v>HTJA040156 (c2000)</v>
          </cell>
          <cell r="E1977" t="str">
            <v>4302091005</v>
          </cell>
          <cell r="F1977" t="str">
            <v>C-2000 PL-BODY</v>
          </cell>
          <cell r="G1977">
            <v>8000</v>
          </cell>
          <cell r="H1977" t="str">
            <v>Nacional</v>
          </cell>
          <cell r="I1977">
            <v>11</v>
          </cell>
          <cell r="J1977" t="str">
            <v>C-2000</v>
          </cell>
          <cell r="L1977">
            <v>0</v>
          </cell>
          <cell r="M1977">
            <v>0</v>
          </cell>
          <cell r="O1977" t="str">
            <v>PORTA PUNZÓN LARGO</v>
          </cell>
        </row>
        <row r="1978">
          <cell r="D1978" t="str">
            <v>HTJA040249</v>
          </cell>
          <cell r="E1978" t="str">
            <v>10009621</v>
          </cell>
          <cell r="F1978" t="str">
            <v>UF-4600i W</v>
          </cell>
          <cell r="G1978">
            <v>5000</v>
          </cell>
          <cell r="H1978" t="str">
            <v>Nacional</v>
          </cell>
          <cell r="I1978">
            <v>10</v>
          </cell>
          <cell r="J1978" t="str">
            <v>UF-4600</v>
          </cell>
          <cell r="L1978">
            <v>33932.483034337194</v>
          </cell>
          <cell r="M1978">
            <v>1475.3253493190084</v>
          </cell>
          <cell r="O1978" t="str">
            <v>PUNZON</v>
          </cell>
        </row>
        <row r="1979">
          <cell r="D1979" t="str">
            <v>HTJA040251</v>
          </cell>
          <cell r="E1979" t="str">
            <v>10009621</v>
          </cell>
          <cell r="F1979" t="str">
            <v>UF-4600i W</v>
          </cell>
          <cell r="G1979">
            <v>5000</v>
          </cell>
          <cell r="H1979" t="str">
            <v>Nacional</v>
          </cell>
          <cell r="I1979">
            <v>6</v>
          </cell>
          <cell r="J1979" t="str">
            <v>UF-4600</v>
          </cell>
          <cell r="L1979">
            <v>33932.483034337194</v>
          </cell>
          <cell r="M1979">
            <v>1475.3253493190084</v>
          </cell>
          <cell r="O1979" t="str">
            <v>BOQUILLA TRES DEDOS</v>
          </cell>
        </row>
        <row r="1980">
          <cell r="D1980" t="str">
            <v>HTJA040252</v>
          </cell>
          <cell r="E1980" t="str">
            <v>10009621</v>
          </cell>
          <cell r="F1980" t="str">
            <v>UF-4600i W</v>
          </cell>
          <cell r="G1980">
            <v>100000</v>
          </cell>
          <cell r="H1980" t="str">
            <v>Nacional</v>
          </cell>
          <cell r="I1980">
            <v>10</v>
          </cell>
          <cell r="J1980" t="str">
            <v>UF-4600</v>
          </cell>
          <cell r="L1980">
            <v>33932.483034337194</v>
          </cell>
          <cell r="M1980">
            <v>1475.3253493190084</v>
          </cell>
          <cell r="O1980" t="str">
            <v>PLATO DE APOYO</v>
          </cell>
        </row>
        <row r="1981">
          <cell r="D1981" t="str">
            <v>HTJA040253</v>
          </cell>
          <cell r="E1981" t="str">
            <v>10009621</v>
          </cell>
          <cell r="F1981" t="str">
            <v>UF-4600i W</v>
          </cell>
          <cell r="G1981">
            <v>100000</v>
          </cell>
          <cell r="H1981" t="str">
            <v>Nacional</v>
          </cell>
          <cell r="I1981">
            <v>10</v>
          </cell>
          <cell r="J1981" t="str">
            <v>UF-4600</v>
          </cell>
          <cell r="L1981">
            <v>33932.483034337194</v>
          </cell>
          <cell r="M1981">
            <v>1475.3253493190084</v>
          </cell>
          <cell r="O1981" t="str">
            <v>PLACA DE DESCARGA CIRCULAR</v>
          </cell>
        </row>
        <row r="1982">
          <cell r="D1982" t="str">
            <v>HTJA040254</v>
          </cell>
          <cell r="E1982" t="str">
            <v>10019426</v>
          </cell>
          <cell r="F1982" t="str">
            <v>AC-1500i Honda 2NX / GMT</v>
          </cell>
          <cell r="G1982">
            <v>200000</v>
          </cell>
          <cell r="H1982" t="str">
            <v>Nacional</v>
          </cell>
          <cell r="I1982">
            <v>8</v>
          </cell>
          <cell r="J1982" t="str">
            <v>AC-1500i</v>
          </cell>
          <cell r="L1982">
            <v>32759.000000000004</v>
          </cell>
          <cell r="M1982">
            <v>1424.3043478260872</v>
          </cell>
          <cell r="O1982" t="str">
            <v>PLATO DE APOYO</v>
          </cell>
        </row>
        <row r="1983">
          <cell r="D1983" t="str">
            <v>HTJA040255</v>
          </cell>
          <cell r="E1983" t="str">
            <v>7479050219</v>
          </cell>
          <cell r="F1983" t="str">
            <v>AC-1700i FORD</v>
          </cell>
          <cell r="G1983">
            <v>200000</v>
          </cell>
          <cell r="H1983" t="str">
            <v>Nacional</v>
          </cell>
          <cell r="I1983">
            <v>8</v>
          </cell>
          <cell r="J1983" t="str">
            <v>AC-1700i</v>
          </cell>
          <cell r="L1983">
            <v>38420.799999999996</v>
          </cell>
          <cell r="M1983">
            <v>1670.4695652173912</v>
          </cell>
          <cell r="O1983" t="str">
            <v>PLATO DE APOYO</v>
          </cell>
        </row>
        <row r="1984">
          <cell r="D1984" t="str">
            <v>HTJA040257</v>
          </cell>
          <cell r="E1984" t="str">
            <v>10221803</v>
          </cell>
          <cell r="F1984" t="str">
            <v>AC-2300i Gamma Suv</v>
          </cell>
          <cell r="G1984">
            <v>200000</v>
          </cell>
          <cell r="H1984" t="str">
            <v>Nacional</v>
          </cell>
          <cell r="I1984">
            <v>8</v>
          </cell>
          <cell r="J1984" t="str">
            <v>AC-2300i</v>
          </cell>
          <cell r="L1984">
            <v>0</v>
          </cell>
          <cell r="M1984">
            <v>0</v>
          </cell>
          <cell r="O1984" t="str">
            <v>PLATO DE APOYO</v>
          </cell>
        </row>
        <row r="1985">
          <cell r="D1985" t="str">
            <v>HTJA040257</v>
          </cell>
          <cell r="E1985" t="str">
            <v>7324050215</v>
          </cell>
          <cell r="F1985" t="str">
            <v>AC-2300i PT-44</v>
          </cell>
          <cell r="G1985">
            <v>200000</v>
          </cell>
          <cell r="H1985" t="str">
            <v>Nacional</v>
          </cell>
          <cell r="I1985">
            <v>8</v>
          </cell>
          <cell r="J1985" t="str">
            <v>AC-2300i</v>
          </cell>
          <cell r="L1985">
            <v>58512.600000000006</v>
          </cell>
          <cell r="M1985">
            <v>2544.0260869565218</v>
          </cell>
          <cell r="O1985" t="str">
            <v>PLATO DE APOYO</v>
          </cell>
        </row>
        <row r="1986">
          <cell r="D1986" t="str">
            <v>HTJA040258</v>
          </cell>
          <cell r="E1986" t="str">
            <v>10221803</v>
          </cell>
          <cell r="F1986" t="str">
            <v>AC-2300i Gamma Suv</v>
          </cell>
          <cell r="G1986">
            <v>200000</v>
          </cell>
          <cell r="H1986" t="str">
            <v>Nacional</v>
          </cell>
          <cell r="I1986">
            <v>8</v>
          </cell>
          <cell r="J1986" t="str">
            <v>AC-2300i</v>
          </cell>
          <cell r="L1986">
            <v>0</v>
          </cell>
          <cell r="M1986">
            <v>0</v>
          </cell>
          <cell r="O1986" t="str">
            <v>PLACA DE DESCARGA CIRCULAR</v>
          </cell>
        </row>
        <row r="1987">
          <cell r="D1987" t="str">
            <v>HTJA040258</v>
          </cell>
          <cell r="E1987" t="str">
            <v>7324050215</v>
          </cell>
          <cell r="F1987" t="str">
            <v>AC-2300i PT-44</v>
          </cell>
          <cell r="G1987">
            <v>200000</v>
          </cell>
          <cell r="H1987" t="str">
            <v>Nacional</v>
          </cell>
          <cell r="I1987">
            <v>8</v>
          </cell>
          <cell r="J1987" t="str">
            <v>AC-2300i</v>
          </cell>
          <cell r="L1987">
            <v>58512.600000000006</v>
          </cell>
          <cell r="M1987">
            <v>2544.0260869565218</v>
          </cell>
          <cell r="O1987" t="str">
            <v>PLACA DE DESCARGA CIRCULAR</v>
          </cell>
        </row>
        <row r="1988">
          <cell r="D1988" t="str">
            <v>HTJA040259</v>
          </cell>
          <cell r="E1988" t="str">
            <v>7056050202</v>
          </cell>
          <cell r="F1988" t="str">
            <v>A4 RF-91 Concept One</v>
          </cell>
          <cell r="G1988">
            <v>100000</v>
          </cell>
          <cell r="H1988" t="str">
            <v>Nacional</v>
          </cell>
          <cell r="I1988">
            <v>8</v>
          </cell>
          <cell r="J1988" t="str">
            <v>STD</v>
          </cell>
          <cell r="L1988">
            <v>0</v>
          </cell>
          <cell r="M1988">
            <v>0</v>
          </cell>
          <cell r="O1988" t="str">
            <v>APOYO PARA PORTA PUNZON</v>
          </cell>
        </row>
        <row r="1989">
          <cell r="D1989" t="str">
            <v>HTJA040259</v>
          </cell>
          <cell r="E1989" t="str">
            <v>7174050203</v>
          </cell>
          <cell r="F1989" t="str">
            <v>A4 RF-95</v>
          </cell>
          <cell r="G1989">
            <v>100000</v>
          </cell>
          <cell r="H1989" t="str">
            <v>Nacional</v>
          </cell>
          <cell r="I1989">
            <v>8</v>
          </cell>
          <cell r="J1989" t="str">
            <v>STD</v>
          </cell>
          <cell r="L1989">
            <v>8133.6</v>
          </cell>
          <cell r="M1989">
            <v>353.63478260869567</v>
          </cell>
          <cell r="O1989" t="str">
            <v>APOYO PARA PORTA PUNZON</v>
          </cell>
        </row>
        <row r="1990">
          <cell r="D1990" t="str">
            <v>HTJA040259</v>
          </cell>
          <cell r="E1990" t="str">
            <v>10019426</v>
          </cell>
          <cell r="F1990" t="str">
            <v>AC-1500i Honda 2NX / GMT</v>
          </cell>
          <cell r="G1990">
            <v>100000</v>
          </cell>
          <cell r="H1990" t="str">
            <v>Nacional</v>
          </cell>
          <cell r="I1990">
            <v>8</v>
          </cell>
          <cell r="J1990" t="str">
            <v>STD</v>
          </cell>
          <cell r="L1990">
            <v>32759.000000000004</v>
          </cell>
          <cell r="M1990">
            <v>1424.3043478260872</v>
          </cell>
          <cell r="O1990" t="str">
            <v>APOYO PARA PORTA PUNZON</v>
          </cell>
        </row>
        <row r="1991">
          <cell r="D1991" t="str">
            <v>HTJA040259</v>
          </cell>
          <cell r="E1991" t="str">
            <v>7479050219</v>
          </cell>
          <cell r="F1991" t="str">
            <v>AC-1700i FORD</v>
          </cell>
          <cell r="G1991">
            <v>100000</v>
          </cell>
          <cell r="H1991" t="str">
            <v>Nacional</v>
          </cell>
          <cell r="I1991">
            <v>8</v>
          </cell>
          <cell r="J1991" t="str">
            <v>STD</v>
          </cell>
          <cell r="L1991">
            <v>38420.799999999996</v>
          </cell>
          <cell r="M1991">
            <v>1670.4695652173912</v>
          </cell>
          <cell r="O1991" t="str">
            <v>APOYO PARA PORTA PUNZON</v>
          </cell>
        </row>
        <row r="1992">
          <cell r="D1992" t="str">
            <v>HTJA040259</v>
          </cell>
          <cell r="E1992" t="str">
            <v>8647050233</v>
          </cell>
          <cell r="F1992" t="str">
            <v>AC-2000i Honda Acura</v>
          </cell>
          <cell r="G1992">
            <v>100000</v>
          </cell>
          <cell r="H1992" t="str">
            <v>Nacional</v>
          </cell>
          <cell r="I1992">
            <v>8</v>
          </cell>
          <cell r="J1992" t="str">
            <v>STD</v>
          </cell>
          <cell r="L1992">
            <v>74729.200000000012</v>
          </cell>
          <cell r="M1992">
            <v>3249.0956521739135</v>
          </cell>
          <cell r="O1992" t="str">
            <v>APOYO PARA PORTA PUNZON</v>
          </cell>
        </row>
        <row r="1993">
          <cell r="D1993" t="str">
            <v>HTJA040259</v>
          </cell>
          <cell r="E1993" t="str">
            <v>10221803</v>
          </cell>
          <cell r="F1993" t="str">
            <v>AC-2300i Gamma Suv</v>
          </cell>
          <cell r="G1993">
            <v>100000</v>
          </cell>
          <cell r="H1993" t="str">
            <v>Nacional</v>
          </cell>
          <cell r="I1993">
            <v>8</v>
          </cell>
          <cell r="J1993" t="str">
            <v>STD</v>
          </cell>
          <cell r="L1993">
            <v>0</v>
          </cell>
          <cell r="M1993">
            <v>0</v>
          </cell>
          <cell r="O1993" t="str">
            <v>APOYO PARA PORTA PUNZON</v>
          </cell>
        </row>
        <row r="1994">
          <cell r="D1994" t="str">
            <v>HTJA040259</v>
          </cell>
          <cell r="E1994" t="str">
            <v>7324050215</v>
          </cell>
          <cell r="F1994" t="str">
            <v>AC-2300i PT-44</v>
          </cell>
          <cell r="G1994">
            <v>100000</v>
          </cell>
          <cell r="H1994" t="str">
            <v>Nacional</v>
          </cell>
          <cell r="I1994">
            <v>8</v>
          </cell>
          <cell r="J1994" t="str">
            <v>STD</v>
          </cell>
          <cell r="L1994">
            <v>58512.600000000006</v>
          </cell>
          <cell r="M1994">
            <v>2544.0260869565218</v>
          </cell>
          <cell r="O1994" t="str">
            <v>APOYO PARA PORTA PUNZON</v>
          </cell>
        </row>
        <row r="1995">
          <cell r="D1995" t="str">
            <v>HTJA040259</v>
          </cell>
          <cell r="E1995" t="str">
            <v>10001024R</v>
          </cell>
          <cell r="F1995" t="str">
            <v>AC-2600i Ford Escape</v>
          </cell>
          <cell r="G1995">
            <v>100000</v>
          </cell>
          <cell r="H1995" t="str">
            <v>Nacional</v>
          </cell>
          <cell r="I1995">
            <v>8</v>
          </cell>
          <cell r="J1995" t="str">
            <v>STD</v>
          </cell>
          <cell r="L1995">
            <v>59203</v>
          </cell>
          <cell r="M1995">
            <v>2574.0434782608695</v>
          </cell>
          <cell r="O1995" t="str">
            <v>APOYO PARA PORTA PUNZON</v>
          </cell>
        </row>
        <row r="1996">
          <cell r="D1996" t="str">
            <v>HTJA040259</v>
          </cell>
          <cell r="E1996" t="str">
            <v>7553050217</v>
          </cell>
          <cell r="F1996" t="str">
            <v>AC-2600i PT-Turbo</v>
          </cell>
          <cell r="G1996">
            <v>100000</v>
          </cell>
          <cell r="H1996" t="str">
            <v>Nacional</v>
          </cell>
          <cell r="I1996">
            <v>8</v>
          </cell>
          <cell r="J1996" t="str">
            <v>STD</v>
          </cell>
          <cell r="L1996">
            <v>37981.199999999997</v>
          </cell>
          <cell r="M1996">
            <v>1651.3565217391304</v>
          </cell>
          <cell r="O1996" t="str">
            <v>APOYO PARA PORTA PUNZON</v>
          </cell>
        </row>
        <row r="1997">
          <cell r="D1997" t="str">
            <v>HTJA040259</v>
          </cell>
          <cell r="E1997" t="str">
            <v>10054551</v>
          </cell>
          <cell r="F1997" t="str">
            <v>AC-2650 JC49 / GS PLT / DNA</v>
          </cell>
          <cell r="G1997">
            <v>100000</v>
          </cell>
          <cell r="H1997" t="str">
            <v>Nacional</v>
          </cell>
          <cell r="I1997">
            <v>8</v>
          </cell>
          <cell r="J1997" t="str">
            <v>STD</v>
          </cell>
          <cell r="L1997">
            <v>11932</v>
          </cell>
          <cell r="M1997">
            <v>518.78260869565213</v>
          </cell>
          <cell r="O1997" t="str">
            <v>APOYO PARA PORTA PUNZON</v>
          </cell>
        </row>
        <row r="1998">
          <cell r="D1998" t="str">
            <v>HTJA040259</v>
          </cell>
          <cell r="E1998" t="str">
            <v>00806342</v>
          </cell>
          <cell r="F1998" t="str">
            <v>AC-2900i VW</v>
          </cell>
          <cell r="G1998">
            <v>100000</v>
          </cell>
          <cell r="H1998" t="str">
            <v>Nacional</v>
          </cell>
          <cell r="I1998">
            <v>8</v>
          </cell>
          <cell r="J1998" t="str">
            <v>STD</v>
          </cell>
          <cell r="L1998">
            <v>23450.400000000001</v>
          </cell>
          <cell r="M1998">
            <v>1019.5826086956522</v>
          </cell>
          <cell r="O1998" t="str">
            <v>APOYO PARA PORTA PUNZON</v>
          </cell>
        </row>
        <row r="1999">
          <cell r="D1999" t="str">
            <v>HTJA040259</v>
          </cell>
          <cell r="E1999" t="str">
            <v>10019477T</v>
          </cell>
          <cell r="F1999" t="str">
            <v>AC-3300i FORD</v>
          </cell>
          <cell r="G1999">
            <v>100000</v>
          </cell>
          <cell r="H1999" t="str">
            <v>Nacional</v>
          </cell>
          <cell r="I1999">
            <v>8</v>
          </cell>
          <cell r="J1999" t="str">
            <v>STD</v>
          </cell>
          <cell r="L1999">
            <v>0</v>
          </cell>
          <cell r="M1999">
            <v>0</v>
          </cell>
          <cell r="O1999" t="str">
            <v>APOYO PARA PORTA PUNZON</v>
          </cell>
        </row>
        <row r="2000">
          <cell r="D2000" t="str">
            <v>HTJA040259</v>
          </cell>
          <cell r="E2000" t="str">
            <v>4302091005</v>
          </cell>
          <cell r="F2000" t="str">
            <v>C-2000 PL-BODY</v>
          </cell>
          <cell r="G2000">
            <v>100000</v>
          </cell>
          <cell r="H2000" t="str">
            <v>Nacional</v>
          </cell>
          <cell r="I2000">
            <v>8</v>
          </cell>
          <cell r="J2000" t="str">
            <v>STD</v>
          </cell>
          <cell r="L2000">
            <v>0</v>
          </cell>
          <cell r="M2000">
            <v>0</v>
          </cell>
          <cell r="O2000" t="str">
            <v>APOYO PARA PORTA PUNZON</v>
          </cell>
        </row>
        <row r="2001">
          <cell r="D2001" t="str">
            <v>HTJA040259</v>
          </cell>
          <cell r="E2001" t="str">
            <v>10060762</v>
          </cell>
          <cell r="F2001" t="str">
            <v>UF-2600i Ford Explorer</v>
          </cell>
          <cell r="G2001">
            <v>100000</v>
          </cell>
          <cell r="H2001" t="str">
            <v>Nacional</v>
          </cell>
          <cell r="I2001">
            <v>8</v>
          </cell>
          <cell r="J2001" t="str">
            <v>STD</v>
          </cell>
          <cell r="L2001">
            <v>0</v>
          </cell>
          <cell r="M2001">
            <v>0</v>
          </cell>
          <cell r="O2001" t="str">
            <v>APOYO PARA PORTA PUNZON</v>
          </cell>
        </row>
        <row r="2002">
          <cell r="D2002" t="str">
            <v>HTJA040259</v>
          </cell>
          <cell r="E2002" t="str">
            <v>00806088</v>
          </cell>
          <cell r="F2002" t="str">
            <v>UF-2600i Hyundai</v>
          </cell>
          <cell r="G2002">
            <v>100000</v>
          </cell>
          <cell r="H2002" t="str">
            <v>Nacional</v>
          </cell>
          <cell r="I2002">
            <v>8</v>
          </cell>
          <cell r="J2002" t="str">
            <v>STD</v>
          </cell>
          <cell r="L2002">
            <v>0</v>
          </cell>
          <cell r="M2002">
            <v>0</v>
          </cell>
          <cell r="O2002" t="str">
            <v>APOYO PARA PORTA PUNZON</v>
          </cell>
        </row>
        <row r="2003">
          <cell r="D2003" t="str">
            <v>HTJA040259</v>
          </cell>
          <cell r="E2003" t="str">
            <v>8152050226</v>
          </cell>
          <cell r="F2003" t="str">
            <v>UF-2600i PQ-35 VW</v>
          </cell>
          <cell r="G2003">
            <v>100000</v>
          </cell>
          <cell r="H2003" t="str">
            <v>Nacional</v>
          </cell>
          <cell r="I2003">
            <v>8</v>
          </cell>
          <cell r="J2003" t="str">
            <v>STD</v>
          </cell>
          <cell r="L2003">
            <v>38227.399999999994</v>
          </cell>
          <cell r="M2003">
            <v>1662.0608695652172</v>
          </cell>
          <cell r="O2003" t="str">
            <v>APOYO PARA PORTA PUNZON</v>
          </cell>
        </row>
        <row r="2004">
          <cell r="D2004" t="str">
            <v>HTJA040259</v>
          </cell>
          <cell r="E2004" t="str">
            <v>10018041</v>
          </cell>
          <cell r="F2004" t="str">
            <v>UF-3300i W</v>
          </cell>
          <cell r="G2004">
            <v>100000</v>
          </cell>
          <cell r="H2004" t="str">
            <v>Nacional</v>
          </cell>
          <cell r="I2004">
            <v>8</v>
          </cell>
          <cell r="J2004" t="str">
            <v>STD</v>
          </cell>
          <cell r="L2004">
            <v>13520.454678603319</v>
          </cell>
          <cell r="M2004">
            <v>587.84585559144864</v>
          </cell>
          <cell r="O2004" t="str">
            <v>APOYO PARA PORTA PUNZON</v>
          </cell>
        </row>
        <row r="2005">
          <cell r="D2005" t="str">
            <v>HTJA040259</v>
          </cell>
          <cell r="E2005" t="str">
            <v>7870050221</v>
          </cell>
          <cell r="F2005" t="str">
            <v>UF-3400 PQ-35 VW</v>
          </cell>
          <cell r="G2005">
            <v>100000</v>
          </cell>
          <cell r="H2005" t="str">
            <v>Nacional</v>
          </cell>
          <cell r="I2005">
            <v>8</v>
          </cell>
          <cell r="J2005" t="str">
            <v>STD</v>
          </cell>
          <cell r="L2005">
            <v>45592.200000000012</v>
          </cell>
          <cell r="M2005">
            <v>1982.2695652173918</v>
          </cell>
          <cell r="O2005" t="str">
            <v>APOYO PARA PORTA PUNZON</v>
          </cell>
        </row>
        <row r="2006">
          <cell r="D2006" t="str">
            <v>HTJA040259</v>
          </cell>
          <cell r="E2006" t="str">
            <v>10009621</v>
          </cell>
          <cell r="F2006" t="str">
            <v>UF-4600i W</v>
          </cell>
          <cell r="G2006">
            <v>100000</v>
          </cell>
          <cell r="H2006" t="str">
            <v>Nacional</v>
          </cell>
          <cell r="I2006">
            <v>8</v>
          </cell>
          <cell r="J2006" t="str">
            <v>STD</v>
          </cell>
          <cell r="L2006">
            <v>33932.483034337194</v>
          </cell>
          <cell r="M2006">
            <v>1475.3253493190084</v>
          </cell>
          <cell r="O2006" t="str">
            <v>APOYO PARA PORTA PUNZON</v>
          </cell>
        </row>
        <row r="2007">
          <cell r="D2007" t="str">
            <v>HTJA040260</v>
          </cell>
          <cell r="E2007" t="str">
            <v>10054551</v>
          </cell>
          <cell r="F2007" t="str">
            <v>AC-2650 JC49 / GS PLT / DNA</v>
          </cell>
          <cell r="G2007">
            <v>15000</v>
          </cell>
          <cell r="H2007" t="str">
            <v>Nacional</v>
          </cell>
          <cell r="I2007">
            <v>8</v>
          </cell>
          <cell r="J2007" t="str">
            <v>AC-2650</v>
          </cell>
          <cell r="L2007">
            <v>11932</v>
          </cell>
          <cell r="M2007">
            <v>518.78260869565213</v>
          </cell>
          <cell r="O2007" t="str">
            <v>BOQUILLA CERRADA</v>
          </cell>
        </row>
        <row r="2008">
          <cell r="D2008" t="str">
            <v>HTJA040261</v>
          </cell>
          <cell r="E2008" t="str">
            <v>7174050203</v>
          </cell>
          <cell r="F2008" t="str">
            <v>A4 RF-95</v>
          </cell>
          <cell r="G2008">
            <v>200000</v>
          </cell>
          <cell r="H2008" t="str">
            <v>Nacional</v>
          </cell>
          <cell r="I2008">
            <v>8</v>
          </cell>
          <cell r="J2008" t="str">
            <v>A4 RF-95</v>
          </cell>
          <cell r="L2008">
            <v>8133.6</v>
          </cell>
          <cell r="M2008">
            <v>353.63478260869567</v>
          </cell>
          <cell r="O2008" t="str">
            <v>BOQUILLA CERRADA</v>
          </cell>
        </row>
        <row r="2009">
          <cell r="D2009" t="str">
            <v>HTJA040262</v>
          </cell>
          <cell r="E2009" t="str">
            <v>10009621</v>
          </cell>
          <cell r="F2009" t="str">
            <v>UF-4600i W</v>
          </cell>
          <cell r="G2009">
            <v>100000</v>
          </cell>
          <cell r="H2009" t="str">
            <v>Nacional</v>
          </cell>
          <cell r="I2009">
            <v>10</v>
          </cell>
          <cell r="J2009" t="str">
            <v>UF-4600</v>
          </cell>
          <cell r="L2009">
            <v>33932.483034337194</v>
          </cell>
          <cell r="M2009">
            <v>1475.3253493190084</v>
          </cell>
          <cell r="O2009" t="str">
            <v>BASE CARGADOR</v>
          </cell>
        </row>
        <row r="2010">
          <cell r="D2010" t="str">
            <v>HTJA040263</v>
          </cell>
          <cell r="E2010" t="str">
            <v>10009621</v>
          </cell>
          <cell r="F2010" t="str">
            <v>UF-4600i W</v>
          </cell>
          <cell r="G2010">
            <v>100000</v>
          </cell>
          <cell r="H2010" t="str">
            <v>Nacional</v>
          </cell>
          <cell r="I2010">
            <v>10</v>
          </cell>
          <cell r="J2010" t="str">
            <v>UF-4600</v>
          </cell>
          <cell r="L2010">
            <v>33932.483034337194</v>
          </cell>
          <cell r="M2010">
            <v>1475.3253493190084</v>
          </cell>
          <cell r="O2010" t="str">
            <v>PLACA IZQUIERDA DE CANAL</v>
          </cell>
        </row>
        <row r="2011">
          <cell r="D2011" t="str">
            <v>HTJA040264</v>
          </cell>
          <cell r="E2011" t="str">
            <v>10009621</v>
          </cell>
          <cell r="F2011" t="str">
            <v>UF-4600i W</v>
          </cell>
          <cell r="G2011">
            <v>100000</v>
          </cell>
          <cell r="H2011" t="str">
            <v>Nacional</v>
          </cell>
          <cell r="I2011">
            <v>10</v>
          </cell>
          <cell r="J2011" t="str">
            <v>UF-4600</v>
          </cell>
          <cell r="L2011">
            <v>33932.483034337194</v>
          </cell>
          <cell r="M2011">
            <v>1475.3253493190084</v>
          </cell>
          <cell r="O2011" t="str">
            <v>PLACA DERECHA DE CANAL</v>
          </cell>
        </row>
        <row r="2012">
          <cell r="D2012" t="str">
            <v>HTJA040265</v>
          </cell>
          <cell r="E2012" t="str">
            <v>10009621</v>
          </cell>
          <cell r="F2012" t="str">
            <v>UF-4600i W</v>
          </cell>
          <cell r="G2012">
            <v>100000</v>
          </cell>
          <cell r="H2012" t="str">
            <v>Nacional</v>
          </cell>
          <cell r="I2012">
            <v>10</v>
          </cell>
          <cell r="J2012" t="str">
            <v>UF-4600</v>
          </cell>
          <cell r="L2012">
            <v>33932.483034337194</v>
          </cell>
          <cell r="M2012">
            <v>1475.3253493190084</v>
          </cell>
          <cell r="O2012" t="str">
            <v>PLACA TRASERA DE CARGADOR</v>
          </cell>
        </row>
        <row r="2013">
          <cell r="D2013" t="str">
            <v>HTJA040266</v>
          </cell>
          <cell r="E2013" t="str">
            <v>10009621</v>
          </cell>
          <cell r="F2013" t="str">
            <v>UF-4600i W</v>
          </cell>
          <cell r="G2013">
            <v>100000</v>
          </cell>
          <cell r="H2013" t="str">
            <v>Nacional</v>
          </cell>
          <cell r="I2013">
            <v>10</v>
          </cell>
          <cell r="J2013" t="str">
            <v>UF-4600</v>
          </cell>
          <cell r="L2013">
            <v>33932.483034337194</v>
          </cell>
          <cell r="M2013">
            <v>1475.3253493190084</v>
          </cell>
          <cell r="O2013" t="str">
            <v>PLACA FRONTAL DE CARGADOR</v>
          </cell>
        </row>
        <row r="2014">
          <cell r="D2014" t="str">
            <v>HTJA040267</v>
          </cell>
          <cell r="E2014" t="str">
            <v>10009621</v>
          </cell>
          <cell r="F2014" t="str">
            <v>UF-4600i W</v>
          </cell>
          <cell r="G2014">
            <v>100000</v>
          </cell>
          <cell r="H2014" t="str">
            <v>Nacional</v>
          </cell>
          <cell r="I2014">
            <v>10</v>
          </cell>
          <cell r="J2014" t="str">
            <v>UF-4600</v>
          </cell>
          <cell r="L2014">
            <v>33932.483034337194</v>
          </cell>
          <cell r="M2014">
            <v>1475.3253493190084</v>
          </cell>
          <cell r="O2014" t="str">
            <v>BLOCK DE DESCARGA MENOR</v>
          </cell>
        </row>
        <row r="2015">
          <cell r="D2015" t="str">
            <v>HTJA040268</v>
          </cell>
          <cell r="E2015" t="str">
            <v>10009621</v>
          </cell>
          <cell r="F2015" t="str">
            <v>UF-4600i W</v>
          </cell>
          <cell r="G2015">
            <v>100000</v>
          </cell>
          <cell r="H2015" t="str">
            <v>Nacional</v>
          </cell>
          <cell r="I2015">
            <v>10</v>
          </cell>
          <cell r="J2015" t="str">
            <v>UF-4600</v>
          </cell>
          <cell r="L2015">
            <v>33932.483034337194</v>
          </cell>
          <cell r="M2015">
            <v>1475.3253493190084</v>
          </cell>
          <cell r="O2015" t="str">
            <v>BLOCK DE DESCARGA MAYOR</v>
          </cell>
        </row>
        <row r="2016">
          <cell r="D2016" t="str">
            <v>HTJA040269</v>
          </cell>
          <cell r="E2016" t="str">
            <v>10009621</v>
          </cell>
          <cell r="F2016" t="str">
            <v>UF-4600i W</v>
          </cell>
          <cell r="G2016">
            <v>100000</v>
          </cell>
          <cell r="H2016" t="str">
            <v>Nacional</v>
          </cell>
          <cell r="I2016">
            <v>10</v>
          </cell>
          <cell r="J2016" t="str">
            <v>UF-4600</v>
          </cell>
          <cell r="L2016">
            <v>33932.483034337194</v>
          </cell>
          <cell r="M2016">
            <v>1475.3253493190084</v>
          </cell>
          <cell r="O2016" t="str">
            <v>PLACA DE DESCARGA CIRCULAR</v>
          </cell>
        </row>
        <row r="2017">
          <cell r="D2017" t="str">
            <v>HTJA040270</v>
          </cell>
          <cell r="E2017" t="str">
            <v>10009621</v>
          </cell>
          <cell r="F2017" t="str">
            <v>UF-4600i W</v>
          </cell>
          <cell r="G2017">
            <v>5000</v>
          </cell>
          <cell r="H2017" t="str">
            <v>Nacional</v>
          </cell>
          <cell r="I2017">
            <v>10</v>
          </cell>
          <cell r="J2017" t="str">
            <v>UF-4600</v>
          </cell>
          <cell r="L2017">
            <v>33932.483034337194</v>
          </cell>
          <cell r="M2017">
            <v>1475.3253493190084</v>
          </cell>
          <cell r="O2017" t="str">
            <v>PUNZON</v>
          </cell>
        </row>
        <row r="2018">
          <cell r="D2018" t="str">
            <v>HTJA040276</v>
          </cell>
          <cell r="E2018" t="str">
            <v>00806342</v>
          </cell>
          <cell r="F2018" t="str">
            <v>AC-2900i VW</v>
          </cell>
          <cell r="G2018">
            <v>200000</v>
          </cell>
          <cell r="H2018" t="str">
            <v>Nacional</v>
          </cell>
          <cell r="I2018">
            <v>8</v>
          </cell>
          <cell r="J2018" t="str">
            <v>AC-2900i</v>
          </cell>
          <cell r="L2018">
            <v>23450.400000000001</v>
          </cell>
          <cell r="M2018">
            <v>1019.5826086956522</v>
          </cell>
          <cell r="O2018" t="str">
            <v>BLOCK DE DESCARGA MENOR</v>
          </cell>
        </row>
        <row r="2019">
          <cell r="D2019" t="str">
            <v>HTJA040277</v>
          </cell>
          <cell r="E2019" t="str">
            <v>00806342</v>
          </cell>
          <cell r="F2019" t="str">
            <v>AC-2900i VW</v>
          </cell>
          <cell r="G2019">
            <v>200000</v>
          </cell>
          <cell r="H2019" t="str">
            <v>Nacional</v>
          </cell>
          <cell r="I2019">
            <v>8</v>
          </cell>
          <cell r="J2019" t="str">
            <v>AC-2900i</v>
          </cell>
          <cell r="L2019">
            <v>23450.400000000001</v>
          </cell>
          <cell r="M2019">
            <v>1019.5826086956522</v>
          </cell>
          <cell r="O2019" t="str">
            <v>BLOCK DE DESCARGA MAYOR</v>
          </cell>
        </row>
        <row r="2020">
          <cell r="D2020" t="str">
            <v>HTJA040278</v>
          </cell>
          <cell r="E2020" t="str">
            <v>00806342</v>
          </cell>
          <cell r="F2020" t="str">
            <v>AC-2900i VW</v>
          </cell>
          <cell r="G2020">
            <v>200000</v>
          </cell>
          <cell r="H2020" t="str">
            <v>Nacional</v>
          </cell>
          <cell r="I2020">
            <v>8</v>
          </cell>
          <cell r="J2020" t="str">
            <v>AC-2900i</v>
          </cell>
          <cell r="L2020">
            <v>23450.400000000001</v>
          </cell>
          <cell r="M2020">
            <v>1019.5826086956522</v>
          </cell>
          <cell r="O2020" t="str">
            <v>PLACA DE DESCARGA CIRCULAR</v>
          </cell>
        </row>
        <row r="2021">
          <cell r="D2021" t="str">
            <v>HTJA040300</v>
          </cell>
          <cell r="E2021" t="str">
            <v>7479050219</v>
          </cell>
          <cell r="F2021" t="str">
            <v>AC-1700i FORD</v>
          </cell>
          <cell r="G2021">
            <v>200000</v>
          </cell>
          <cell r="H2021" t="str">
            <v>Nacional</v>
          </cell>
          <cell r="I2021">
            <v>8</v>
          </cell>
          <cell r="J2021" t="str">
            <v>AC-1700i</v>
          </cell>
          <cell r="L2021">
            <v>38420.799999999996</v>
          </cell>
          <cell r="M2021">
            <v>1670.4695652173912</v>
          </cell>
          <cell r="O2021" t="str">
            <v>PLACA DE DESCARGA CUADRADA</v>
          </cell>
        </row>
        <row r="2022">
          <cell r="D2022" t="str">
            <v>HTJA040156(AC 1700)</v>
          </cell>
          <cell r="E2022" t="str">
            <v>7479050219</v>
          </cell>
          <cell r="F2022" t="str">
            <v>AC-1700i FORD</v>
          </cell>
          <cell r="G2022">
            <v>8000</v>
          </cell>
          <cell r="H2022" t="str">
            <v>Nacional</v>
          </cell>
          <cell r="I2022">
            <v>11</v>
          </cell>
          <cell r="J2022" t="str">
            <v>AC-1700i</v>
          </cell>
          <cell r="L2022">
            <v>38420.799999999996</v>
          </cell>
          <cell r="M2022">
            <v>1670.4695652173912</v>
          </cell>
          <cell r="O2022" t="str">
            <v>PORTA PUNZÓN LARGO</v>
          </cell>
        </row>
        <row r="2023">
          <cell r="D2023" t="str">
            <v>HTJA040302</v>
          </cell>
          <cell r="E2023" t="str">
            <v>10054551</v>
          </cell>
          <cell r="F2023" t="str">
            <v>AC-2650 JC49 / GS PLT / DNA</v>
          </cell>
          <cell r="G2023">
            <v>200000</v>
          </cell>
          <cell r="H2023" t="str">
            <v>Nacional</v>
          </cell>
          <cell r="I2023">
            <v>8</v>
          </cell>
          <cell r="J2023" t="str">
            <v>AC-2650</v>
          </cell>
          <cell r="L2023">
            <v>11932</v>
          </cell>
          <cell r="M2023">
            <v>518.78260869565213</v>
          </cell>
          <cell r="O2023" t="str">
            <v>PLATO DE APOYO PARA RODAMIENTO</v>
          </cell>
        </row>
        <row r="2024">
          <cell r="D2024" t="str">
            <v>HTJA040303</v>
          </cell>
          <cell r="E2024" t="str">
            <v>10019426</v>
          </cell>
          <cell r="F2024" t="str">
            <v>AC-1500i Honda 2NX / GMT</v>
          </cell>
          <cell r="G2024">
            <v>200000</v>
          </cell>
          <cell r="H2024" t="str">
            <v>Nacional</v>
          </cell>
          <cell r="I2024">
            <v>8</v>
          </cell>
          <cell r="J2024" t="str">
            <v>AC-1500i</v>
          </cell>
          <cell r="L2024">
            <v>32759.000000000004</v>
          </cell>
          <cell r="M2024">
            <v>1424.3043478260872</v>
          </cell>
          <cell r="O2024" t="str">
            <v>PLACA DE DESCARGA CIRCULAR</v>
          </cell>
        </row>
        <row r="2025">
          <cell r="D2025" t="str">
            <v>HTJA040304</v>
          </cell>
          <cell r="E2025" t="str">
            <v>10019477T</v>
          </cell>
          <cell r="F2025" t="str">
            <v>AC-3300i FORD</v>
          </cell>
          <cell r="G2025">
            <v>15000</v>
          </cell>
          <cell r="H2025" t="str">
            <v>Nacional</v>
          </cell>
          <cell r="I2025">
            <v>8</v>
          </cell>
          <cell r="J2025" t="str">
            <v>AC 3300i</v>
          </cell>
          <cell r="L2025">
            <v>0</v>
          </cell>
          <cell r="M2025">
            <v>0</v>
          </cell>
          <cell r="O2025" t="str">
            <v>BOQUILLA CERRADA</v>
          </cell>
        </row>
        <row r="2026">
          <cell r="D2026" t="str">
            <v>HTJA040305</v>
          </cell>
          <cell r="E2026" t="str">
            <v>10019477T</v>
          </cell>
          <cell r="F2026" t="str">
            <v>AC-3300i FORD</v>
          </cell>
          <cell r="G2026">
            <v>10000</v>
          </cell>
          <cell r="H2026" t="str">
            <v>Nacional</v>
          </cell>
          <cell r="I2026">
            <v>8</v>
          </cell>
          <cell r="J2026" t="str">
            <v>AC 3300i</v>
          </cell>
          <cell r="L2026">
            <v>0</v>
          </cell>
          <cell r="M2026">
            <v>0</v>
          </cell>
          <cell r="O2026" t="str">
            <v>CONO EXPANSOR CORTO</v>
          </cell>
        </row>
        <row r="2027">
          <cell r="D2027" t="str">
            <v>HTJA040215</v>
          </cell>
          <cell r="E2027" t="str">
            <v>10018041</v>
          </cell>
          <cell r="F2027" t="str">
            <v>UF-3300i W</v>
          </cell>
          <cell r="G2027">
            <v>8000</v>
          </cell>
          <cell r="H2027" t="str">
            <v>Nacional</v>
          </cell>
          <cell r="I2027">
            <v>11</v>
          </cell>
          <cell r="J2027" t="str">
            <v>UF-3300</v>
          </cell>
          <cell r="L2027">
            <v>13520.454678603319</v>
          </cell>
          <cell r="M2027">
            <v>587.84585559144864</v>
          </cell>
          <cell r="O2027" t="str">
            <v>PORTA PUNZÓN LARGO</v>
          </cell>
        </row>
        <row r="2028">
          <cell r="D2028" t="str">
            <v>HTJA040307</v>
          </cell>
          <cell r="E2028" t="str">
            <v>10019477T</v>
          </cell>
          <cell r="F2028" t="str">
            <v>AC-3300i FORD</v>
          </cell>
          <cell r="G2028">
            <v>10000</v>
          </cell>
          <cell r="H2028" t="str">
            <v>Nacional</v>
          </cell>
          <cell r="I2028">
            <v>8</v>
          </cell>
          <cell r="J2028" t="str">
            <v>AC 3300i</v>
          </cell>
          <cell r="L2028">
            <v>0</v>
          </cell>
          <cell r="M2028">
            <v>0</v>
          </cell>
          <cell r="O2028" t="str">
            <v>PLACA DE DESCARGA CIRCULAR</v>
          </cell>
        </row>
        <row r="2029">
          <cell r="D2029" t="str">
            <v>HTJA040312</v>
          </cell>
          <cell r="E2029" t="str">
            <v>7056050202</v>
          </cell>
          <cell r="F2029" t="str">
            <v>A4 RF-91 Concept One</v>
          </cell>
          <cell r="G2029">
            <v>200000</v>
          </cell>
          <cell r="H2029" t="str">
            <v>Nacional</v>
          </cell>
          <cell r="I2029">
            <v>10</v>
          </cell>
          <cell r="J2029" t="str">
            <v>STD</v>
          </cell>
          <cell r="L2029">
            <v>0</v>
          </cell>
          <cell r="M2029">
            <v>0</v>
          </cell>
          <cell r="O2029" t="str">
            <v>PLACA PARA PERNO DE APOYO</v>
          </cell>
        </row>
        <row r="2030">
          <cell r="D2030" t="str">
            <v>HTJA040312</v>
          </cell>
          <cell r="E2030" t="str">
            <v>7174050203</v>
          </cell>
          <cell r="F2030" t="str">
            <v>A4 RF-95</v>
          </cell>
          <cell r="G2030">
            <v>200000</v>
          </cell>
          <cell r="H2030" t="str">
            <v>Nacional</v>
          </cell>
          <cell r="I2030">
            <v>10</v>
          </cell>
          <cell r="J2030" t="str">
            <v>STD</v>
          </cell>
          <cell r="L2030">
            <v>8133.6</v>
          </cell>
          <cell r="M2030">
            <v>353.63478260869567</v>
          </cell>
          <cell r="O2030" t="str">
            <v>PLACA PARA PERNO DE APOYO</v>
          </cell>
        </row>
        <row r="2031">
          <cell r="D2031" t="str">
            <v>HTJA040312</v>
          </cell>
          <cell r="E2031" t="str">
            <v>10019426</v>
          </cell>
          <cell r="F2031" t="str">
            <v>AC-1500i Honda 2NX / GMT</v>
          </cell>
          <cell r="G2031">
            <v>200000</v>
          </cell>
          <cell r="H2031" t="str">
            <v>Nacional</v>
          </cell>
          <cell r="I2031">
            <v>10</v>
          </cell>
          <cell r="J2031" t="str">
            <v>STD</v>
          </cell>
          <cell r="L2031">
            <v>32759.000000000004</v>
          </cell>
          <cell r="M2031">
            <v>1424.3043478260872</v>
          </cell>
          <cell r="O2031" t="str">
            <v>PLACA PARA PERNO DE APOYO</v>
          </cell>
        </row>
        <row r="2032">
          <cell r="D2032" t="str">
            <v>HTJA040312</v>
          </cell>
          <cell r="E2032" t="str">
            <v>7479050219</v>
          </cell>
          <cell r="F2032" t="str">
            <v>AC-1700i FORD</v>
          </cell>
          <cell r="G2032">
            <v>200000</v>
          </cell>
          <cell r="H2032" t="str">
            <v>Nacional</v>
          </cell>
          <cell r="I2032">
            <v>10</v>
          </cell>
          <cell r="J2032" t="str">
            <v>STD</v>
          </cell>
          <cell r="L2032">
            <v>38420.799999999996</v>
          </cell>
          <cell r="M2032">
            <v>1670.4695652173912</v>
          </cell>
          <cell r="O2032" t="str">
            <v>PLACA PARA PERNO DE APOYO</v>
          </cell>
        </row>
        <row r="2033">
          <cell r="D2033" t="str">
            <v>HTJA040312</v>
          </cell>
          <cell r="E2033" t="str">
            <v>8647050233</v>
          </cell>
          <cell r="F2033" t="str">
            <v>AC-2000i Honda Acura</v>
          </cell>
          <cell r="G2033">
            <v>200000</v>
          </cell>
          <cell r="H2033" t="str">
            <v>Nacional</v>
          </cell>
          <cell r="I2033">
            <v>10</v>
          </cell>
          <cell r="J2033" t="str">
            <v>STD</v>
          </cell>
          <cell r="L2033">
            <v>74729.200000000012</v>
          </cell>
          <cell r="M2033">
            <v>3249.0956521739135</v>
          </cell>
          <cell r="O2033" t="str">
            <v>PLACA PARA PERNO DE APOYO</v>
          </cell>
        </row>
        <row r="2034">
          <cell r="D2034" t="str">
            <v>HTJA040312</v>
          </cell>
          <cell r="E2034" t="str">
            <v>10221803</v>
          </cell>
          <cell r="F2034" t="str">
            <v>AC-2300i Gamma Suv</v>
          </cell>
          <cell r="G2034">
            <v>200000</v>
          </cell>
          <cell r="H2034" t="str">
            <v>Nacional</v>
          </cell>
          <cell r="I2034">
            <v>10</v>
          </cell>
          <cell r="J2034" t="str">
            <v>STD</v>
          </cell>
          <cell r="L2034">
            <v>0</v>
          </cell>
          <cell r="M2034">
            <v>0</v>
          </cell>
          <cell r="O2034" t="str">
            <v>PLACA PARA PERNO DE APOYO</v>
          </cell>
        </row>
        <row r="2035">
          <cell r="D2035" t="str">
            <v>HTJA040312</v>
          </cell>
          <cell r="E2035" t="str">
            <v>7324050215</v>
          </cell>
          <cell r="F2035" t="str">
            <v>AC-2300i PT-44</v>
          </cell>
          <cell r="G2035">
            <v>200000</v>
          </cell>
          <cell r="H2035" t="str">
            <v>Nacional</v>
          </cell>
          <cell r="I2035">
            <v>10</v>
          </cell>
          <cell r="J2035" t="str">
            <v>STD</v>
          </cell>
          <cell r="L2035">
            <v>58512.600000000006</v>
          </cell>
          <cell r="M2035">
            <v>2544.0260869565218</v>
          </cell>
          <cell r="O2035" t="str">
            <v>PLACA PARA PERNO DE APOYO</v>
          </cell>
        </row>
        <row r="2036">
          <cell r="D2036" t="str">
            <v>HTJA040312</v>
          </cell>
          <cell r="E2036" t="str">
            <v>10001024R</v>
          </cell>
          <cell r="F2036" t="str">
            <v>AC-2600i Ford Escape</v>
          </cell>
          <cell r="G2036">
            <v>200000</v>
          </cell>
          <cell r="H2036" t="str">
            <v>Nacional</v>
          </cell>
          <cell r="I2036">
            <v>10</v>
          </cell>
          <cell r="J2036" t="str">
            <v>STD</v>
          </cell>
          <cell r="L2036">
            <v>59203</v>
          </cell>
          <cell r="M2036">
            <v>2574.0434782608695</v>
          </cell>
          <cell r="O2036" t="str">
            <v>PLACA PARA PERNO DE APOYO</v>
          </cell>
        </row>
        <row r="2037">
          <cell r="D2037" t="str">
            <v>HTJA040312</v>
          </cell>
          <cell r="E2037" t="str">
            <v>7553050217</v>
          </cell>
          <cell r="F2037" t="str">
            <v>AC-2600i PT-Turbo</v>
          </cell>
          <cell r="G2037">
            <v>200000</v>
          </cell>
          <cell r="H2037" t="str">
            <v>Nacional</v>
          </cell>
          <cell r="I2037">
            <v>10</v>
          </cell>
          <cell r="J2037" t="str">
            <v>STD</v>
          </cell>
          <cell r="L2037">
            <v>37981.199999999997</v>
          </cell>
          <cell r="M2037">
            <v>1651.3565217391304</v>
          </cell>
          <cell r="O2037" t="str">
            <v>PLACA PARA PERNO DE APOYO</v>
          </cell>
        </row>
        <row r="2038">
          <cell r="D2038" t="str">
            <v>HTJA040312</v>
          </cell>
          <cell r="E2038" t="str">
            <v>10054551</v>
          </cell>
          <cell r="F2038" t="str">
            <v>AC-2650 JC49 / GS PLT / DNA</v>
          </cell>
          <cell r="G2038">
            <v>200000</v>
          </cell>
          <cell r="H2038" t="str">
            <v>Nacional</v>
          </cell>
          <cell r="I2038">
            <v>10</v>
          </cell>
          <cell r="J2038" t="str">
            <v>STD</v>
          </cell>
          <cell r="L2038">
            <v>11932</v>
          </cell>
          <cell r="M2038">
            <v>518.78260869565213</v>
          </cell>
          <cell r="O2038" t="str">
            <v>PLACA PARA PERNO DE APOYO</v>
          </cell>
        </row>
        <row r="2039">
          <cell r="D2039" t="str">
            <v>HTJA040312</v>
          </cell>
          <cell r="E2039" t="str">
            <v>00806342</v>
          </cell>
          <cell r="F2039" t="str">
            <v>AC-2900i VW</v>
          </cell>
          <cell r="G2039">
            <v>200000</v>
          </cell>
          <cell r="H2039" t="str">
            <v>Nacional</v>
          </cell>
          <cell r="I2039">
            <v>10</v>
          </cell>
          <cell r="J2039" t="str">
            <v>STD</v>
          </cell>
          <cell r="L2039">
            <v>23450.400000000001</v>
          </cell>
          <cell r="M2039">
            <v>1019.5826086956522</v>
          </cell>
          <cell r="O2039" t="str">
            <v>PLACA PARA PERNO DE APOYO</v>
          </cell>
        </row>
        <row r="2040">
          <cell r="D2040" t="str">
            <v>HTJA040312</v>
          </cell>
          <cell r="E2040" t="str">
            <v>10019477T</v>
          </cell>
          <cell r="F2040" t="str">
            <v>AC-3300i FORD</v>
          </cell>
          <cell r="G2040">
            <v>200000</v>
          </cell>
          <cell r="H2040" t="str">
            <v>Nacional</v>
          </cell>
          <cell r="I2040">
            <v>10</v>
          </cell>
          <cell r="J2040" t="str">
            <v>STD</v>
          </cell>
          <cell r="L2040">
            <v>0</v>
          </cell>
          <cell r="M2040">
            <v>0</v>
          </cell>
          <cell r="O2040" t="str">
            <v>PLACA PARA PERNO DE APOYO</v>
          </cell>
        </row>
        <row r="2041">
          <cell r="D2041" t="str">
            <v>HTJA040312</v>
          </cell>
          <cell r="E2041" t="str">
            <v>4302091005</v>
          </cell>
          <cell r="F2041" t="str">
            <v>C-2000 PL-BODY</v>
          </cell>
          <cell r="G2041">
            <v>200000</v>
          </cell>
          <cell r="H2041" t="str">
            <v>Nacional</v>
          </cell>
          <cell r="I2041">
            <v>10</v>
          </cell>
          <cell r="J2041" t="str">
            <v>STD</v>
          </cell>
          <cell r="L2041">
            <v>0</v>
          </cell>
          <cell r="M2041">
            <v>0</v>
          </cell>
          <cell r="O2041" t="str">
            <v>PLACA PARA PERNO DE APOYO</v>
          </cell>
        </row>
        <row r="2042">
          <cell r="D2042" t="str">
            <v>HTJA040312</v>
          </cell>
          <cell r="E2042" t="str">
            <v>10060762</v>
          </cell>
          <cell r="F2042" t="str">
            <v>UF-2600i Ford Explorer</v>
          </cell>
          <cell r="G2042">
            <v>200000</v>
          </cell>
          <cell r="H2042" t="str">
            <v>Nacional</v>
          </cell>
          <cell r="I2042">
            <v>10</v>
          </cell>
          <cell r="J2042" t="str">
            <v>STD</v>
          </cell>
          <cell r="L2042">
            <v>0</v>
          </cell>
          <cell r="M2042">
            <v>0</v>
          </cell>
          <cell r="O2042" t="str">
            <v>PLACA PARA PERNO DE APOYO</v>
          </cell>
        </row>
        <row r="2043">
          <cell r="D2043" t="str">
            <v>HTJA040312</v>
          </cell>
          <cell r="E2043" t="str">
            <v>00806088</v>
          </cell>
          <cell r="F2043" t="str">
            <v>UF-2600i Hyundai</v>
          </cell>
          <cell r="G2043">
            <v>200000</v>
          </cell>
          <cell r="H2043" t="str">
            <v>Nacional</v>
          </cell>
          <cell r="I2043">
            <v>10</v>
          </cell>
          <cell r="J2043" t="str">
            <v>STD</v>
          </cell>
          <cell r="L2043">
            <v>0</v>
          </cell>
          <cell r="M2043">
            <v>0</v>
          </cell>
          <cell r="O2043" t="str">
            <v>PLACA PARA PERNO DE APOYO</v>
          </cell>
        </row>
        <row r="2044">
          <cell r="D2044" t="str">
            <v>HTJA040312</v>
          </cell>
          <cell r="E2044" t="str">
            <v>8152050226</v>
          </cell>
          <cell r="F2044" t="str">
            <v>UF-2600i PQ-35 VW</v>
          </cell>
          <cell r="G2044">
            <v>200000</v>
          </cell>
          <cell r="H2044" t="str">
            <v>Nacional</v>
          </cell>
          <cell r="I2044">
            <v>10</v>
          </cell>
          <cell r="J2044" t="str">
            <v>STD</v>
          </cell>
          <cell r="L2044">
            <v>38227.399999999994</v>
          </cell>
          <cell r="M2044">
            <v>1662.0608695652172</v>
          </cell>
          <cell r="O2044" t="str">
            <v>PLACA PARA PERNO DE APOYO</v>
          </cell>
        </row>
        <row r="2045">
          <cell r="D2045" t="str">
            <v>HTJA040312</v>
          </cell>
          <cell r="E2045" t="str">
            <v>10018041</v>
          </cell>
          <cell r="F2045" t="str">
            <v>UF-3300i W</v>
          </cell>
          <cell r="G2045">
            <v>200000</v>
          </cell>
          <cell r="H2045" t="str">
            <v>Nacional</v>
          </cell>
          <cell r="I2045">
            <v>10</v>
          </cell>
          <cell r="J2045" t="str">
            <v>STD</v>
          </cell>
          <cell r="L2045">
            <v>13520.454678603319</v>
          </cell>
          <cell r="M2045">
            <v>587.84585559144864</v>
          </cell>
          <cell r="O2045" t="str">
            <v>PLACA PARA PERNO DE APOYO</v>
          </cell>
        </row>
        <row r="2046">
          <cell r="D2046" t="str">
            <v>HTJA040312</v>
          </cell>
          <cell r="E2046" t="str">
            <v>7870050221</v>
          </cell>
          <cell r="F2046" t="str">
            <v>UF-3400 PQ-35 VW</v>
          </cell>
          <cell r="G2046">
            <v>200000</v>
          </cell>
          <cell r="H2046" t="str">
            <v>Nacional</v>
          </cell>
          <cell r="I2046">
            <v>10</v>
          </cell>
          <cell r="J2046" t="str">
            <v>STD</v>
          </cell>
          <cell r="L2046">
            <v>45592.200000000012</v>
          </cell>
          <cell r="M2046">
            <v>1982.2695652173918</v>
          </cell>
          <cell r="O2046" t="str">
            <v>PLACA PARA PERNO DE APOYO</v>
          </cell>
        </row>
        <row r="2047">
          <cell r="D2047" t="str">
            <v>HTJA040312</v>
          </cell>
          <cell r="E2047" t="str">
            <v>10009621</v>
          </cell>
          <cell r="F2047" t="str">
            <v>UF-4600i W</v>
          </cell>
          <cell r="G2047">
            <v>200000</v>
          </cell>
          <cell r="H2047" t="str">
            <v>Nacional</v>
          </cell>
          <cell r="I2047">
            <v>10</v>
          </cell>
          <cell r="J2047" t="str">
            <v>STD</v>
          </cell>
          <cell r="L2047">
            <v>33932.483034337194</v>
          </cell>
          <cell r="M2047">
            <v>1475.3253493190084</v>
          </cell>
          <cell r="O2047" t="str">
            <v>PLACA PARA PERNO DE APOYO</v>
          </cell>
        </row>
        <row r="2048">
          <cell r="D2048" t="str">
            <v>HTJA040315</v>
          </cell>
          <cell r="E2048" t="str">
            <v>7056050202</v>
          </cell>
          <cell r="F2048" t="str">
            <v>A4 RF-91 Concept One</v>
          </cell>
          <cell r="G2048">
            <v>100000</v>
          </cell>
          <cell r="H2048" t="str">
            <v>Nacional</v>
          </cell>
          <cell r="I2048">
            <v>10</v>
          </cell>
          <cell r="J2048" t="str">
            <v>STD</v>
          </cell>
          <cell r="L2048">
            <v>0</v>
          </cell>
          <cell r="M2048">
            <v>0</v>
          </cell>
          <cell r="O2048" t="str">
            <v>BLOCK DE CARGA DERECHO</v>
          </cell>
        </row>
        <row r="2049">
          <cell r="D2049" t="str">
            <v>HTJA040315</v>
          </cell>
          <cell r="E2049" t="str">
            <v>7174050203</v>
          </cell>
          <cell r="F2049" t="str">
            <v>A4 RF-95</v>
          </cell>
          <cell r="G2049">
            <v>100000</v>
          </cell>
          <cell r="H2049" t="str">
            <v>Nacional</v>
          </cell>
          <cell r="I2049">
            <v>10</v>
          </cell>
          <cell r="J2049" t="str">
            <v>STD</v>
          </cell>
          <cell r="L2049">
            <v>8133.6</v>
          </cell>
          <cell r="M2049">
            <v>353.63478260869567</v>
          </cell>
          <cell r="O2049" t="str">
            <v>BLOCK DE CARGA DERECHO</v>
          </cell>
        </row>
        <row r="2050">
          <cell r="D2050" t="str">
            <v>HTJA040315</v>
          </cell>
          <cell r="E2050" t="str">
            <v>10019426</v>
          </cell>
          <cell r="F2050" t="str">
            <v>AC-1500i Honda 2NX / GMT</v>
          </cell>
          <cell r="G2050">
            <v>100000</v>
          </cell>
          <cell r="H2050" t="str">
            <v>Nacional</v>
          </cell>
          <cell r="I2050">
            <v>10</v>
          </cell>
          <cell r="J2050" t="str">
            <v>STD</v>
          </cell>
          <cell r="L2050">
            <v>32759.000000000004</v>
          </cell>
          <cell r="M2050">
            <v>1424.3043478260872</v>
          </cell>
          <cell r="O2050" t="str">
            <v>BLOCK DE CARGA DERECHO</v>
          </cell>
        </row>
        <row r="2051">
          <cell r="D2051" t="str">
            <v>HTJA040315</v>
          </cell>
          <cell r="E2051" t="str">
            <v>7479050219</v>
          </cell>
          <cell r="F2051" t="str">
            <v>AC-1700i FORD</v>
          </cell>
          <cell r="G2051">
            <v>100000</v>
          </cell>
          <cell r="H2051" t="str">
            <v>Nacional</v>
          </cell>
          <cell r="I2051">
            <v>10</v>
          </cell>
          <cell r="J2051" t="str">
            <v>STD</v>
          </cell>
          <cell r="L2051">
            <v>38420.799999999996</v>
          </cell>
          <cell r="M2051">
            <v>1670.4695652173912</v>
          </cell>
          <cell r="O2051" t="str">
            <v>BLOCK DE CARGA DERECHO</v>
          </cell>
        </row>
        <row r="2052">
          <cell r="D2052" t="str">
            <v>HTJA040315</v>
          </cell>
          <cell r="E2052" t="str">
            <v>8647050233</v>
          </cell>
          <cell r="F2052" t="str">
            <v>AC-2000i Honda Acura</v>
          </cell>
          <cell r="G2052">
            <v>100000</v>
          </cell>
          <cell r="H2052" t="str">
            <v>Nacional</v>
          </cell>
          <cell r="I2052">
            <v>10</v>
          </cell>
          <cell r="J2052" t="str">
            <v>STD</v>
          </cell>
          <cell r="L2052">
            <v>74729.200000000012</v>
          </cell>
          <cell r="M2052">
            <v>3249.0956521739135</v>
          </cell>
          <cell r="O2052" t="str">
            <v>BLOCK DE CARGA DERECHO</v>
          </cell>
        </row>
        <row r="2053">
          <cell r="D2053" t="str">
            <v>HTJA040315</v>
          </cell>
          <cell r="E2053" t="str">
            <v>10221803</v>
          </cell>
          <cell r="F2053" t="str">
            <v>AC-2300i Gamma Suv</v>
          </cell>
          <cell r="G2053">
            <v>100000</v>
          </cell>
          <cell r="H2053" t="str">
            <v>Nacional</v>
          </cell>
          <cell r="I2053">
            <v>10</v>
          </cell>
          <cell r="J2053" t="str">
            <v>STD</v>
          </cell>
          <cell r="L2053">
            <v>0</v>
          </cell>
          <cell r="M2053">
            <v>0</v>
          </cell>
          <cell r="O2053" t="str">
            <v>BLOCK DE CARGA DERECHO</v>
          </cell>
        </row>
        <row r="2054">
          <cell r="D2054" t="str">
            <v>HTJA040315</v>
          </cell>
          <cell r="E2054" t="str">
            <v>7324050215</v>
          </cell>
          <cell r="F2054" t="str">
            <v>AC-2300i PT-44</v>
          </cell>
          <cell r="G2054">
            <v>100000</v>
          </cell>
          <cell r="H2054" t="str">
            <v>Nacional</v>
          </cell>
          <cell r="I2054">
            <v>10</v>
          </cell>
          <cell r="J2054" t="str">
            <v>STD</v>
          </cell>
          <cell r="L2054">
            <v>58512.600000000006</v>
          </cell>
          <cell r="M2054">
            <v>2544.0260869565218</v>
          </cell>
          <cell r="O2054" t="str">
            <v>BLOCK DE CARGA DERECHO</v>
          </cell>
        </row>
        <row r="2055">
          <cell r="D2055" t="str">
            <v>HTJA040315</v>
          </cell>
          <cell r="E2055" t="str">
            <v>10001024R</v>
          </cell>
          <cell r="F2055" t="str">
            <v>AC-2600i Ford Escape</v>
          </cell>
          <cell r="G2055">
            <v>100000</v>
          </cell>
          <cell r="H2055" t="str">
            <v>Nacional</v>
          </cell>
          <cell r="I2055">
            <v>10</v>
          </cell>
          <cell r="J2055" t="str">
            <v>STD</v>
          </cell>
          <cell r="L2055">
            <v>59203</v>
          </cell>
          <cell r="M2055">
            <v>2574.0434782608695</v>
          </cell>
          <cell r="O2055" t="str">
            <v>BLOCK DE CARGA DERECHO</v>
          </cell>
        </row>
        <row r="2056">
          <cell r="D2056" t="str">
            <v>HTJA040315</v>
          </cell>
          <cell r="E2056" t="str">
            <v>7553050217</v>
          </cell>
          <cell r="F2056" t="str">
            <v>AC-2600i PT-Turbo</v>
          </cell>
          <cell r="G2056">
            <v>100000</v>
          </cell>
          <cell r="H2056" t="str">
            <v>Nacional</v>
          </cell>
          <cell r="I2056">
            <v>10</v>
          </cell>
          <cell r="J2056" t="str">
            <v>STD</v>
          </cell>
          <cell r="L2056">
            <v>37981.199999999997</v>
          </cell>
          <cell r="M2056">
            <v>1651.3565217391304</v>
          </cell>
          <cell r="O2056" t="str">
            <v>BLOCK DE CARGA DERECHO</v>
          </cell>
        </row>
        <row r="2057">
          <cell r="D2057" t="str">
            <v>HTJA040315</v>
          </cell>
          <cell r="E2057" t="str">
            <v>10054551</v>
          </cell>
          <cell r="F2057" t="str">
            <v>AC-2650 JC49 / GS PLT / DNA</v>
          </cell>
          <cell r="G2057">
            <v>100000</v>
          </cell>
          <cell r="H2057" t="str">
            <v>Nacional</v>
          </cell>
          <cell r="I2057">
            <v>10</v>
          </cell>
          <cell r="J2057" t="str">
            <v>STD</v>
          </cell>
          <cell r="L2057">
            <v>11932</v>
          </cell>
          <cell r="M2057">
            <v>518.78260869565213</v>
          </cell>
          <cell r="O2057" t="str">
            <v>BLOCK DE CARGA DERECHO</v>
          </cell>
        </row>
        <row r="2058">
          <cell r="D2058" t="str">
            <v>HTJA040315</v>
          </cell>
          <cell r="E2058" t="str">
            <v>00806342</v>
          </cell>
          <cell r="F2058" t="str">
            <v>AC-2900i VW</v>
          </cell>
          <cell r="G2058">
            <v>100000</v>
          </cell>
          <cell r="H2058" t="str">
            <v>Nacional</v>
          </cell>
          <cell r="I2058">
            <v>10</v>
          </cell>
          <cell r="J2058" t="str">
            <v>STD</v>
          </cell>
          <cell r="L2058">
            <v>23450.400000000001</v>
          </cell>
          <cell r="M2058">
            <v>1019.5826086956522</v>
          </cell>
          <cell r="O2058" t="str">
            <v>BLOCK DE CARGA DERECHO</v>
          </cell>
        </row>
        <row r="2059">
          <cell r="D2059" t="str">
            <v>HTJA040315</v>
          </cell>
          <cell r="E2059" t="str">
            <v>10019477T</v>
          </cell>
          <cell r="F2059" t="str">
            <v>AC-3300i FORD</v>
          </cell>
          <cell r="G2059">
            <v>100000</v>
          </cell>
          <cell r="H2059" t="str">
            <v>Nacional</v>
          </cell>
          <cell r="I2059">
            <v>10</v>
          </cell>
          <cell r="J2059" t="str">
            <v>STD</v>
          </cell>
          <cell r="L2059">
            <v>0</v>
          </cell>
          <cell r="M2059">
            <v>0</v>
          </cell>
          <cell r="O2059" t="str">
            <v>BLOCK DE CARGA DERECHO</v>
          </cell>
        </row>
        <row r="2060">
          <cell r="D2060" t="str">
            <v>HTJA040315</v>
          </cell>
          <cell r="E2060" t="str">
            <v>4302091005</v>
          </cell>
          <cell r="F2060" t="str">
            <v>C-2000 PL-BODY</v>
          </cell>
          <cell r="G2060">
            <v>100000</v>
          </cell>
          <cell r="H2060" t="str">
            <v>Nacional</v>
          </cell>
          <cell r="I2060">
            <v>10</v>
          </cell>
          <cell r="J2060" t="str">
            <v>STD</v>
          </cell>
          <cell r="L2060">
            <v>0</v>
          </cell>
          <cell r="M2060">
            <v>0</v>
          </cell>
          <cell r="O2060" t="str">
            <v>BLOCK DE CARGA DERECHO</v>
          </cell>
        </row>
        <row r="2061">
          <cell r="D2061" t="str">
            <v>HTJA040315</v>
          </cell>
          <cell r="E2061" t="str">
            <v>10060762</v>
          </cell>
          <cell r="F2061" t="str">
            <v>UF-2600i Ford Explorer</v>
          </cell>
          <cell r="G2061">
            <v>100000</v>
          </cell>
          <cell r="H2061" t="str">
            <v>Nacional</v>
          </cell>
          <cell r="I2061">
            <v>10</v>
          </cell>
          <cell r="J2061" t="str">
            <v>STD</v>
          </cell>
          <cell r="L2061">
            <v>0</v>
          </cell>
          <cell r="M2061">
            <v>0</v>
          </cell>
          <cell r="O2061" t="str">
            <v>BLOCK DE CARGA DERECHO</v>
          </cell>
        </row>
        <row r="2062">
          <cell r="D2062" t="str">
            <v>HTJA040315</v>
          </cell>
          <cell r="E2062" t="str">
            <v>00806088</v>
          </cell>
          <cell r="F2062" t="str">
            <v>UF-2600i Hyundai</v>
          </cell>
          <cell r="G2062">
            <v>100000</v>
          </cell>
          <cell r="H2062" t="str">
            <v>Nacional</v>
          </cell>
          <cell r="I2062">
            <v>10</v>
          </cell>
          <cell r="J2062" t="str">
            <v>STD</v>
          </cell>
          <cell r="L2062">
            <v>0</v>
          </cell>
          <cell r="M2062">
            <v>0</v>
          </cell>
          <cell r="O2062" t="str">
            <v>BLOCK DE CARGA DERECHO</v>
          </cell>
        </row>
        <row r="2063">
          <cell r="D2063" t="str">
            <v>HTJA040315</v>
          </cell>
          <cell r="E2063" t="str">
            <v>8152050226</v>
          </cell>
          <cell r="F2063" t="str">
            <v>UF-2600i PQ-35 VW</v>
          </cell>
          <cell r="G2063">
            <v>100000</v>
          </cell>
          <cell r="H2063" t="str">
            <v>Nacional</v>
          </cell>
          <cell r="I2063">
            <v>10</v>
          </cell>
          <cell r="J2063" t="str">
            <v>STD</v>
          </cell>
          <cell r="L2063">
            <v>38227.399999999994</v>
          </cell>
          <cell r="M2063">
            <v>1662.0608695652172</v>
          </cell>
          <cell r="O2063" t="str">
            <v>BLOCK DE CARGA DERECHO</v>
          </cell>
        </row>
        <row r="2064">
          <cell r="D2064" t="str">
            <v>HTJA040315</v>
          </cell>
          <cell r="E2064" t="str">
            <v>10018041</v>
          </cell>
          <cell r="F2064" t="str">
            <v>UF-3300i W</v>
          </cell>
          <cell r="G2064">
            <v>100000</v>
          </cell>
          <cell r="H2064" t="str">
            <v>Nacional</v>
          </cell>
          <cell r="I2064">
            <v>10</v>
          </cell>
          <cell r="J2064" t="str">
            <v>STD</v>
          </cell>
          <cell r="L2064">
            <v>13520.454678603319</v>
          </cell>
          <cell r="M2064">
            <v>587.84585559144864</v>
          </cell>
          <cell r="O2064" t="str">
            <v>BLOCK DE CARGA DERECHO</v>
          </cell>
        </row>
        <row r="2065">
          <cell r="D2065" t="str">
            <v>HTJA040315</v>
          </cell>
          <cell r="E2065" t="str">
            <v>7870050221</v>
          </cell>
          <cell r="F2065" t="str">
            <v>UF-3400 PQ-35 VW</v>
          </cell>
          <cell r="G2065">
            <v>100000</v>
          </cell>
          <cell r="H2065" t="str">
            <v>Nacional</v>
          </cell>
          <cell r="I2065">
            <v>10</v>
          </cell>
          <cell r="J2065" t="str">
            <v>STD</v>
          </cell>
          <cell r="L2065">
            <v>45592.200000000012</v>
          </cell>
          <cell r="M2065">
            <v>1982.2695652173918</v>
          </cell>
          <cell r="O2065" t="str">
            <v>BLOCK DE CARGA DERECHO</v>
          </cell>
        </row>
        <row r="2066">
          <cell r="D2066" t="str">
            <v>HTJA040315</v>
          </cell>
          <cell r="E2066" t="str">
            <v>10009621</v>
          </cell>
          <cell r="F2066" t="str">
            <v>UF-4600i W</v>
          </cell>
          <cell r="G2066">
            <v>100000</v>
          </cell>
          <cell r="H2066" t="str">
            <v>Nacional</v>
          </cell>
          <cell r="I2066">
            <v>10</v>
          </cell>
          <cell r="J2066" t="str">
            <v>STD</v>
          </cell>
          <cell r="L2066">
            <v>33932.483034337194</v>
          </cell>
          <cell r="M2066">
            <v>1475.3253493190084</v>
          </cell>
          <cell r="O2066" t="str">
            <v>BLOCK DE CARGA DERECHO</v>
          </cell>
        </row>
        <row r="2067">
          <cell r="D2067" t="str">
            <v>HTJA040316</v>
          </cell>
          <cell r="E2067" t="str">
            <v>7056050202</v>
          </cell>
          <cell r="F2067" t="str">
            <v>A4 RF-91 Concept One</v>
          </cell>
          <cell r="G2067">
            <v>100000</v>
          </cell>
          <cell r="H2067" t="str">
            <v>Nacional</v>
          </cell>
          <cell r="I2067">
            <v>10</v>
          </cell>
          <cell r="J2067" t="str">
            <v>STD</v>
          </cell>
          <cell r="L2067">
            <v>0</v>
          </cell>
          <cell r="M2067">
            <v>0</v>
          </cell>
          <cell r="O2067" t="str">
            <v>BLOCK DE CARGA IZQUIERDO</v>
          </cell>
        </row>
        <row r="2068">
          <cell r="D2068" t="str">
            <v>HTJA040316</v>
          </cell>
          <cell r="E2068" t="str">
            <v>7174050203</v>
          </cell>
          <cell r="F2068" t="str">
            <v>A4 RF-95</v>
          </cell>
          <cell r="G2068">
            <v>100000</v>
          </cell>
          <cell r="H2068" t="str">
            <v>Nacional</v>
          </cell>
          <cell r="I2068">
            <v>10</v>
          </cell>
          <cell r="J2068" t="str">
            <v>STD</v>
          </cell>
          <cell r="L2068">
            <v>8133.6</v>
          </cell>
          <cell r="M2068">
            <v>353.63478260869567</v>
          </cell>
          <cell r="O2068" t="str">
            <v>BLOCK DE CARGA IZQUIERDO</v>
          </cell>
        </row>
        <row r="2069">
          <cell r="D2069" t="str">
            <v>HTJA040316</v>
          </cell>
          <cell r="E2069" t="str">
            <v>10019426</v>
          </cell>
          <cell r="F2069" t="str">
            <v>AC-1500i Honda 2NX / GMT</v>
          </cell>
          <cell r="G2069">
            <v>100000</v>
          </cell>
          <cell r="H2069" t="str">
            <v>Nacional</v>
          </cell>
          <cell r="I2069">
            <v>10</v>
          </cell>
          <cell r="J2069" t="str">
            <v>STD</v>
          </cell>
          <cell r="L2069">
            <v>32759.000000000004</v>
          </cell>
          <cell r="M2069">
            <v>1424.3043478260872</v>
          </cell>
          <cell r="O2069" t="str">
            <v>BLOCK DE CARGA IZQUIERDO</v>
          </cell>
        </row>
        <row r="2070">
          <cell r="D2070" t="str">
            <v>HTJA040316</v>
          </cell>
          <cell r="E2070" t="str">
            <v>7479050219</v>
          </cell>
          <cell r="F2070" t="str">
            <v>AC-1700i FORD</v>
          </cell>
          <cell r="G2070">
            <v>100000</v>
          </cell>
          <cell r="H2070" t="str">
            <v>Nacional</v>
          </cell>
          <cell r="I2070">
            <v>10</v>
          </cell>
          <cell r="J2070" t="str">
            <v>STD</v>
          </cell>
          <cell r="L2070">
            <v>38420.799999999996</v>
          </cell>
          <cell r="M2070">
            <v>1670.4695652173912</v>
          </cell>
          <cell r="O2070" t="str">
            <v>BLOCK DE CARGA IZQUIERDO</v>
          </cell>
        </row>
        <row r="2071">
          <cell r="D2071" t="str">
            <v>HTJA040316</v>
          </cell>
          <cell r="E2071" t="str">
            <v>8647050233</v>
          </cell>
          <cell r="F2071" t="str">
            <v>AC-2000i Honda Acura</v>
          </cell>
          <cell r="G2071">
            <v>100000</v>
          </cell>
          <cell r="H2071" t="str">
            <v>Nacional</v>
          </cell>
          <cell r="I2071">
            <v>10</v>
          </cell>
          <cell r="J2071" t="str">
            <v>STD</v>
          </cell>
          <cell r="L2071">
            <v>74729.200000000012</v>
          </cell>
          <cell r="M2071">
            <v>3249.0956521739135</v>
          </cell>
          <cell r="O2071" t="str">
            <v>BLOCK DE CARGA IZQUIERDO</v>
          </cell>
        </row>
        <row r="2072">
          <cell r="D2072" t="str">
            <v>HTJA040316</v>
          </cell>
          <cell r="E2072" t="str">
            <v>10221803</v>
          </cell>
          <cell r="F2072" t="str">
            <v>AC-2300i Gamma Suv</v>
          </cell>
          <cell r="G2072">
            <v>100000</v>
          </cell>
          <cell r="H2072" t="str">
            <v>Nacional</v>
          </cell>
          <cell r="I2072">
            <v>10</v>
          </cell>
          <cell r="J2072" t="str">
            <v>STD</v>
          </cell>
          <cell r="L2072">
            <v>0</v>
          </cell>
          <cell r="M2072">
            <v>0</v>
          </cell>
          <cell r="O2072" t="str">
            <v>BLOCK DE CARGA IZQUIERDO</v>
          </cell>
        </row>
        <row r="2073">
          <cell r="D2073" t="str">
            <v>HTJA040316</v>
          </cell>
          <cell r="E2073" t="str">
            <v>7324050215</v>
          </cell>
          <cell r="F2073" t="str">
            <v>AC-2300i PT-44</v>
          </cell>
          <cell r="G2073">
            <v>100000</v>
          </cell>
          <cell r="H2073" t="str">
            <v>Nacional</v>
          </cell>
          <cell r="I2073">
            <v>10</v>
          </cell>
          <cell r="J2073" t="str">
            <v>STD</v>
          </cell>
          <cell r="L2073">
            <v>58512.600000000006</v>
          </cell>
          <cell r="M2073">
            <v>2544.0260869565218</v>
          </cell>
          <cell r="O2073" t="str">
            <v>BLOCK DE CARGA IZQUIERDO</v>
          </cell>
        </row>
        <row r="2074">
          <cell r="D2074" t="str">
            <v>HTJA040316</v>
          </cell>
          <cell r="E2074" t="str">
            <v>10001024R</v>
          </cell>
          <cell r="F2074" t="str">
            <v>AC-2600i Ford Escape</v>
          </cell>
          <cell r="G2074">
            <v>100000</v>
          </cell>
          <cell r="H2074" t="str">
            <v>Nacional</v>
          </cell>
          <cell r="I2074">
            <v>10</v>
          </cell>
          <cell r="J2074" t="str">
            <v>STD</v>
          </cell>
          <cell r="L2074">
            <v>59203</v>
          </cell>
          <cell r="M2074">
            <v>2574.0434782608695</v>
          </cell>
          <cell r="O2074" t="str">
            <v>BLOCK DE CARGA IZQUIERDO</v>
          </cell>
        </row>
        <row r="2075">
          <cell r="D2075" t="str">
            <v>HTJA040316</v>
          </cell>
          <cell r="E2075" t="str">
            <v>7553050217</v>
          </cell>
          <cell r="F2075" t="str">
            <v>AC-2600i PT-Turbo</v>
          </cell>
          <cell r="G2075">
            <v>100000</v>
          </cell>
          <cell r="H2075" t="str">
            <v>Nacional</v>
          </cell>
          <cell r="I2075">
            <v>10</v>
          </cell>
          <cell r="J2075" t="str">
            <v>STD</v>
          </cell>
          <cell r="L2075">
            <v>37981.199999999997</v>
          </cell>
          <cell r="M2075">
            <v>1651.3565217391304</v>
          </cell>
          <cell r="O2075" t="str">
            <v>BLOCK DE CARGA IZQUIERDO</v>
          </cell>
        </row>
        <row r="2076">
          <cell r="D2076" t="str">
            <v>HTJA040316</v>
          </cell>
          <cell r="E2076" t="str">
            <v>10054551</v>
          </cell>
          <cell r="F2076" t="str">
            <v>AC-2650 JC49 / GS PLT / DNA</v>
          </cell>
          <cell r="G2076">
            <v>100000</v>
          </cell>
          <cell r="H2076" t="str">
            <v>Nacional</v>
          </cell>
          <cell r="I2076">
            <v>10</v>
          </cell>
          <cell r="J2076" t="str">
            <v>STD</v>
          </cell>
          <cell r="L2076">
            <v>11932</v>
          </cell>
          <cell r="M2076">
            <v>518.78260869565213</v>
          </cell>
          <cell r="O2076" t="str">
            <v>BLOCK DE CARGA IZQUIERDO</v>
          </cell>
        </row>
        <row r="2077">
          <cell r="D2077" t="str">
            <v>HTJA040316</v>
          </cell>
          <cell r="E2077" t="str">
            <v>00806342</v>
          </cell>
          <cell r="F2077" t="str">
            <v>AC-2900i VW</v>
          </cell>
          <cell r="G2077">
            <v>100000</v>
          </cell>
          <cell r="H2077" t="str">
            <v>Nacional</v>
          </cell>
          <cell r="I2077">
            <v>10</v>
          </cell>
          <cell r="J2077" t="str">
            <v>STD</v>
          </cell>
          <cell r="L2077">
            <v>23450.400000000001</v>
          </cell>
          <cell r="M2077">
            <v>1019.5826086956522</v>
          </cell>
          <cell r="O2077" t="str">
            <v>BLOCK DE CARGA IZQUIERDO</v>
          </cell>
        </row>
        <row r="2078">
          <cell r="D2078" t="str">
            <v>HTJA040316</v>
          </cell>
          <cell r="E2078" t="str">
            <v>10019477T</v>
          </cell>
          <cell r="F2078" t="str">
            <v>AC-3300i FORD</v>
          </cell>
          <cell r="G2078">
            <v>100000</v>
          </cell>
          <cell r="H2078" t="str">
            <v>Nacional</v>
          </cell>
          <cell r="I2078">
            <v>10</v>
          </cell>
          <cell r="J2078" t="str">
            <v>STD</v>
          </cell>
          <cell r="L2078">
            <v>0</v>
          </cell>
          <cell r="M2078">
            <v>0</v>
          </cell>
          <cell r="O2078" t="str">
            <v>BLOCK DE CARGA IZQUIERDO</v>
          </cell>
        </row>
        <row r="2079">
          <cell r="D2079" t="str">
            <v>HTJA040316</v>
          </cell>
          <cell r="E2079" t="str">
            <v>4302091005</v>
          </cell>
          <cell r="F2079" t="str">
            <v>C-2000 PL-BODY</v>
          </cell>
          <cell r="G2079">
            <v>100000</v>
          </cell>
          <cell r="H2079" t="str">
            <v>Nacional</v>
          </cell>
          <cell r="I2079">
            <v>10</v>
          </cell>
          <cell r="J2079" t="str">
            <v>STD</v>
          </cell>
          <cell r="L2079">
            <v>0</v>
          </cell>
          <cell r="M2079">
            <v>0</v>
          </cell>
          <cell r="O2079" t="str">
            <v>BLOCK DE CARGA IZQUIERDO</v>
          </cell>
        </row>
        <row r="2080">
          <cell r="D2080" t="str">
            <v>HTJA040316</v>
          </cell>
          <cell r="E2080" t="str">
            <v>10060762</v>
          </cell>
          <cell r="F2080" t="str">
            <v>UF-2600i Ford Explorer</v>
          </cell>
          <cell r="G2080">
            <v>100000</v>
          </cell>
          <cell r="H2080" t="str">
            <v>Nacional</v>
          </cell>
          <cell r="I2080">
            <v>10</v>
          </cell>
          <cell r="J2080" t="str">
            <v>STD</v>
          </cell>
          <cell r="L2080">
            <v>0</v>
          </cell>
          <cell r="M2080">
            <v>0</v>
          </cell>
          <cell r="O2080" t="str">
            <v>BLOCK DE CARGA IZQUIERDO</v>
          </cell>
        </row>
        <row r="2081">
          <cell r="D2081" t="str">
            <v>HTJA040316</v>
          </cell>
          <cell r="E2081" t="str">
            <v>00806088</v>
          </cell>
          <cell r="F2081" t="str">
            <v>UF-2600i Hyundai</v>
          </cell>
          <cell r="G2081">
            <v>100000</v>
          </cell>
          <cell r="H2081" t="str">
            <v>Nacional</v>
          </cell>
          <cell r="I2081">
            <v>10</v>
          </cell>
          <cell r="J2081" t="str">
            <v>STD</v>
          </cell>
          <cell r="L2081">
            <v>0</v>
          </cell>
          <cell r="M2081">
            <v>0</v>
          </cell>
          <cell r="O2081" t="str">
            <v>BLOCK DE CARGA IZQUIERDO</v>
          </cell>
        </row>
        <row r="2082">
          <cell r="D2082" t="str">
            <v>HTJA040316</v>
          </cell>
          <cell r="E2082" t="str">
            <v>8152050226</v>
          </cell>
          <cell r="F2082" t="str">
            <v>UF-2600i PQ-35 VW</v>
          </cell>
          <cell r="G2082">
            <v>100000</v>
          </cell>
          <cell r="H2082" t="str">
            <v>Nacional</v>
          </cell>
          <cell r="I2082">
            <v>10</v>
          </cell>
          <cell r="J2082" t="str">
            <v>STD</v>
          </cell>
          <cell r="L2082">
            <v>38227.399999999994</v>
          </cell>
          <cell r="M2082">
            <v>1662.0608695652172</v>
          </cell>
          <cell r="O2082" t="str">
            <v>BLOCK DE CARGA IZQUIERDO</v>
          </cell>
        </row>
        <row r="2083">
          <cell r="D2083" t="str">
            <v>HTJA040316</v>
          </cell>
          <cell r="E2083" t="str">
            <v>10018041</v>
          </cell>
          <cell r="F2083" t="str">
            <v>UF-3300i W</v>
          </cell>
          <cell r="G2083">
            <v>100000</v>
          </cell>
          <cell r="H2083" t="str">
            <v>Nacional</v>
          </cell>
          <cell r="I2083">
            <v>10</v>
          </cell>
          <cell r="J2083" t="str">
            <v>STD</v>
          </cell>
          <cell r="L2083">
            <v>13520.454678603319</v>
          </cell>
          <cell r="M2083">
            <v>587.84585559144864</v>
          </cell>
          <cell r="O2083" t="str">
            <v>BLOCK DE CARGA IZQUIERDO</v>
          </cell>
        </row>
        <row r="2084">
          <cell r="D2084" t="str">
            <v>HTJA040316</v>
          </cell>
          <cell r="E2084" t="str">
            <v>7870050221</v>
          </cell>
          <cell r="F2084" t="str">
            <v>UF-3400 PQ-35 VW</v>
          </cell>
          <cell r="G2084">
            <v>100000</v>
          </cell>
          <cell r="H2084" t="str">
            <v>Nacional</v>
          </cell>
          <cell r="I2084">
            <v>10</v>
          </cell>
          <cell r="J2084" t="str">
            <v>STD</v>
          </cell>
          <cell r="L2084">
            <v>45592.200000000012</v>
          </cell>
          <cell r="M2084">
            <v>1982.2695652173918</v>
          </cell>
          <cell r="O2084" t="str">
            <v>BLOCK DE CARGA IZQUIERDO</v>
          </cell>
        </row>
        <row r="2085">
          <cell r="D2085" t="str">
            <v>HTJA040316</v>
          </cell>
          <cell r="E2085" t="str">
            <v>10009621</v>
          </cell>
          <cell r="F2085" t="str">
            <v>UF-4600i W</v>
          </cell>
          <cell r="G2085">
            <v>100000</v>
          </cell>
          <cell r="H2085" t="str">
            <v>Nacional</v>
          </cell>
          <cell r="I2085">
            <v>10</v>
          </cell>
          <cell r="J2085" t="str">
            <v>STD</v>
          </cell>
          <cell r="L2085">
            <v>33932.483034337194</v>
          </cell>
          <cell r="M2085">
            <v>1475.3253493190084</v>
          </cell>
          <cell r="O2085" t="str">
            <v>BLOCK DE CARGA IZQUIERDO</v>
          </cell>
        </row>
        <row r="2086">
          <cell r="E2086" t="str">
            <v>8647050233</v>
          </cell>
          <cell r="F2086" t="str">
            <v>AC-2000i Honda Acura</v>
          </cell>
          <cell r="G2086">
            <v>8000</v>
          </cell>
          <cell r="H2086" t="str">
            <v>Nacional</v>
          </cell>
          <cell r="I2086">
            <v>11</v>
          </cell>
          <cell r="J2086" t="str">
            <v>AC-2000i</v>
          </cell>
          <cell r="L2086">
            <v>74729.200000000012</v>
          </cell>
          <cell r="M2086">
            <v>3249.0956521739135</v>
          </cell>
          <cell r="O2086" t="str">
            <v>PORTA PUNZÓN LARGO</v>
          </cell>
        </row>
        <row r="2087">
          <cell r="D2087" t="str">
            <v>HTJA040156</v>
          </cell>
          <cell r="E2087" t="str">
            <v>10019426</v>
          </cell>
          <cell r="F2087" t="str">
            <v>AC-1500i Honda 2NX / GMT</v>
          </cell>
          <cell r="G2087">
            <v>8000</v>
          </cell>
          <cell r="H2087" t="str">
            <v>Nacional</v>
          </cell>
          <cell r="I2087">
            <v>11</v>
          </cell>
          <cell r="J2087" t="str">
            <v>AC-1500i</v>
          </cell>
          <cell r="L2087">
            <v>32759.000000000004</v>
          </cell>
          <cell r="M2087">
            <v>1424.3043478260872</v>
          </cell>
          <cell r="O2087" t="str">
            <v>Portapunzon Largo</v>
          </cell>
        </row>
        <row r="2088">
          <cell r="D2088" t="str">
            <v>HTJA030020N</v>
          </cell>
          <cell r="E2088" t="str">
            <v>8152050226</v>
          </cell>
          <cell r="F2088" t="str">
            <v>UF-2600i PQ-35 VW</v>
          </cell>
          <cell r="G2088">
            <v>40000</v>
          </cell>
          <cell r="H2088" t="str">
            <v>Profirrol</v>
          </cell>
          <cell r="I2088">
            <v>30</v>
          </cell>
          <cell r="J2088" t="str">
            <v>UF-2600i</v>
          </cell>
          <cell r="L2088">
            <v>38227.399999999994</v>
          </cell>
          <cell r="M2088">
            <v>1662.0608695652172</v>
          </cell>
          <cell r="O2088" t="str">
            <v>Rodillo Superior (NACIONAL)</v>
          </cell>
        </row>
        <row r="2089">
          <cell r="D2089" t="str">
            <v>HTJA030020N</v>
          </cell>
          <cell r="E2089" t="str">
            <v>10060762</v>
          </cell>
          <cell r="F2089" t="str">
            <v>UF-2600i Ford Explorer</v>
          </cell>
          <cell r="G2089">
            <v>40000</v>
          </cell>
          <cell r="H2089" t="str">
            <v>Profirrol</v>
          </cell>
          <cell r="I2089">
            <v>30</v>
          </cell>
          <cell r="J2089" t="str">
            <v>UF-2600i</v>
          </cell>
          <cell r="L2089">
            <v>0</v>
          </cell>
          <cell r="M2089">
            <v>0</v>
          </cell>
          <cell r="O2089" t="str">
            <v>Rodillo Superior (NACIONAL)</v>
          </cell>
        </row>
        <row r="2090">
          <cell r="D2090" t="str">
            <v>HTJA030020N</v>
          </cell>
          <cell r="E2090" t="str">
            <v>00806088</v>
          </cell>
          <cell r="F2090" t="str">
            <v>UF-2600i Hyundai</v>
          </cell>
          <cell r="G2090">
            <v>40000</v>
          </cell>
          <cell r="H2090" t="str">
            <v>Profirrol</v>
          </cell>
          <cell r="I2090">
            <v>30</v>
          </cell>
          <cell r="J2090" t="str">
            <v>UF-2600i</v>
          </cell>
          <cell r="L2090">
            <v>0</v>
          </cell>
          <cell r="M2090">
            <v>0</v>
          </cell>
          <cell r="O2090" t="str">
            <v>Rodillo Superior (NACIONAL)</v>
          </cell>
        </row>
        <row r="2091">
          <cell r="D2091" t="str">
            <v>HTJA030020N</v>
          </cell>
          <cell r="E2091" t="str">
            <v>10235857</v>
          </cell>
          <cell r="F2091" t="str">
            <v>UF-2600i DNA (Preforma)</v>
          </cell>
          <cell r="G2091">
            <v>40000</v>
          </cell>
          <cell r="H2091" t="str">
            <v>Profirrol</v>
          </cell>
          <cell r="I2091">
            <v>30</v>
          </cell>
          <cell r="J2091" t="str">
            <v>UF-2600i</v>
          </cell>
          <cell r="L2091">
            <v>0</v>
          </cell>
          <cell r="M2091">
            <v>0</v>
          </cell>
          <cell r="O2091" t="str">
            <v>Rodillo Superior (NACIONAL)</v>
          </cell>
        </row>
        <row r="2092">
          <cell r="D2092" t="str">
            <v>HTJA030166N</v>
          </cell>
          <cell r="E2092" t="str">
            <v>8152050226</v>
          </cell>
          <cell r="F2092" t="str">
            <v>UF-2600i PQ-35 VW</v>
          </cell>
          <cell r="G2092">
            <v>20000</v>
          </cell>
          <cell r="H2092" t="str">
            <v>Profirrol</v>
          </cell>
          <cell r="I2092">
            <v>30</v>
          </cell>
          <cell r="J2092" t="str">
            <v>UF-2600i</v>
          </cell>
          <cell r="L2092">
            <v>38227.399999999994</v>
          </cell>
          <cell r="M2092">
            <v>1662.0608695652172</v>
          </cell>
          <cell r="O2092" t="str">
            <v>MANDRIL (NACIONAL)</v>
          </cell>
        </row>
        <row r="2093">
          <cell r="D2093" t="str">
            <v>HTJA030166N</v>
          </cell>
          <cell r="E2093" t="str">
            <v>10060762</v>
          </cell>
          <cell r="F2093" t="str">
            <v>UF-2600i Ford Explorer</v>
          </cell>
          <cell r="G2093">
            <v>20000</v>
          </cell>
          <cell r="H2093" t="str">
            <v>Profirrol</v>
          </cell>
          <cell r="I2093">
            <v>30</v>
          </cell>
          <cell r="J2093" t="str">
            <v>UF-2600i</v>
          </cell>
          <cell r="L2093">
            <v>0</v>
          </cell>
          <cell r="M2093">
            <v>0</v>
          </cell>
          <cell r="O2093" t="str">
            <v>MANDRIL (NACIONAL)</v>
          </cell>
        </row>
        <row r="2094">
          <cell r="D2094" t="str">
            <v>HTJA030166N</v>
          </cell>
          <cell r="E2094" t="str">
            <v>00806088</v>
          </cell>
          <cell r="F2094" t="str">
            <v>UF-2600i Hyundai</v>
          </cell>
          <cell r="G2094">
            <v>20000</v>
          </cell>
          <cell r="H2094" t="str">
            <v>Profirrol</v>
          </cell>
          <cell r="I2094">
            <v>30</v>
          </cell>
          <cell r="J2094" t="str">
            <v>UF-2600i</v>
          </cell>
          <cell r="L2094">
            <v>0</v>
          </cell>
          <cell r="M2094">
            <v>0</v>
          </cell>
          <cell r="O2094" t="str">
            <v>MANDRIL (NACIONAL)</v>
          </cell>
        </row>
        <row r="2095">
          <cell r="D2095" t="str">
            <v>HTJA030166N</v>
          </cell>
          <cell r="E2095" t="str">
            <v>10235857</v>
          </cell>
          <cell r="F2095" t="str">
            <v>UF-2600i DNA (Preforma)</v>
          </cell>
          <cell r="G2095">
            <v>20000</v>
          </cell>
          <cell r="H2095" t="str">
            <v>Profirrol</v>
          </cell>
          <cell r="I2095">
            <v>30</v>
          </cell>
          <cell r="J2095" t="str">
            <v>UF-2600i</v>
          </cell>
          <cell r="L2095">
            <v>0</v>
          </cell>
          <cell r="M2095">
            <v>0</v>
          </cell>
          <cell r="O2095" t="str">
            <v>MANDRIL (NACIONAL)</v>
          </cell>
        </row>
        <row r="2096">
          <cell r="D2096" t="str">
            <v>HTJA030167N</v>
          </cell>
          <cell r="E2096" t="str">
            <v>8152050226</v>
          </cell>
          <cell r="F2096" t="str">
            <v>UF-2600i PQ-35 VW</v>
          </cell>
          <cell r="G2096">
            <v>40000</v>
          </cell>
          <cell r="H2096" t="str">
            <v>Nacional</v>
          </cell>
          <cell r="I2096">
            <v>10</v>
          </cell>
          <cell r="J2096" t="str">
            <v>UF-2600i</v>
          </cell>
          <cell r="L2096">
            <v>38227.399999999994</v>
          </cell>
          <cell r="M2096">
            <v>1662.0608695652172</v>
          </cell>
          <cell r="O2096" t="str">
            <v>RODILLO SUPERIOR (NACIONAL)</v>
          </cell>
        </row>
        <row r="2097">
          <cell r="D2097" t="str">
            <v>HTJA030167N</v>
          </cell>
          <cell r="E2097" t="str">
            <v>10060762</v>
          </cell>
          <cell r="F2097" t="str">
            <v>UF-2600i Ford Explorer</v>
          </cell>
          <cell r="G2097">
            <v>40000</v>
          </cell>
          <cell r="H2097" t="str">
            <v>Nacional</v>
          </cell>
          <cell r="I2097">
            <v>10</v>
          </cell>
          <cell r="J2097" t="str">
            <v>UF-2600i</v>
          </cell>
          <cell r="L2097">
            <v>0</v>
          </cell>
          <cell r="M2097">
            <v>0</v>
          </cell>
          <cell r="O2097" t="str">
            <v>RODILLO SUPERIOR (NACIONAL)</v>
          </cell>
        </row>
        <row r="2098">
          <cell r="D2098" t="str">
            <v>HTJA030167N</v>
          </cell>
          <cell r="E2098" t="str">
            <v>00806088</v>
          </cell>
          <cell r="F2098" t="str">
            <v>UF-2600i Hyundai</v>
          </cell>
          <cell r="G2098">
            <v>40000</v>
          </cell>
          <cell r="H2098" t="str">
            <v>Nacional</v>
          </cell>
          <cell r="I2098">
            <v>10</v>
          </cell>
          <cell r="J2098" t="str">
            <v>UF-2600i</v>
          </cell>
          <cell r="L2098">
            <v>0</v>
          </cell>
          <cell r="M2098">
            <v>0</v>
          </cell>
          <cell r="O2098" t="str">
            <v>RODILLO SUPERIOR (NACIONAL)</v>
          </cell>
        </row>
        <row r="2099">
          <cell r="D2099" t="str">
            <v>HTJA030167N</v>
          </cell>
          <cell r="E2099" t="str">
            <v>10235857</v>
          </cell>
          <cell r="F2099" t="str">
            <v>UF-2600i DNA (Preforma)</v>
          </cell>
          <cell r="G2099">
            <v>40000</v>
          </cell>
          <cell r="H2099" t="str">
            <v>Nacional</v>
          </cell>
          <cell r="I2099">
            <v>10</v>
          </cell>
          <cell r="J2099" t="str">
            <v>UF-2600i</v>
          </cell>
          <cell r="L2099">
            <v>0</v>
          </cell>
          <cell r="M2099">
            <v>0</v>
          </cell>
          <cell r="O2099" t="str">
            <v>RODILLO SUPERIOR (NACIONAL)</v>
          </cell>
        </row>
        <row r="2100">
          <cell r="D2100" t="str">
            <v>HTJA030168N</v>
          </cell>
          <cell r="E2100" t="str">
            <v>8152050226</v>
          </cell>
          <cell r="F2100" t="str">
            <v>UF-2600i PQ-35 VW</v>
          </cell>
          <cell r="G2100">
            <v>26000</v>
          </cell>
          <cell r="H2100" t="str">
            <v>Profirrol</v>
          </cell>
          <cell r="I2100">
            <v>30</v>
          </cell>
          <cell r="J2100" t="str">
            <v>UF-2600i</v>
          </cell>
          <cell r="L2100">
            <v>38227.399999999994</v>
          </cell>
          <cell r="M2100">
            <v>1662.0608695652172</v>
          </cell>
          <cell r="O2100" t="str">
            <v>RODILLO INFERIOR UF (NACIONAL)</v>
          </cell>
        </row>
        <row r="2101">
          <cell r="D2101" t="str">
            <v>HTJA030168N</v>
          </cell>
          <cell r="E2101" t="str">
            <v>10060762</v>
          </cell>
          <cell r="F2101" t="str">
            <v>UF-2600i Ford Explorer</v>
          </cell>
          <cell r="G2101">
            <v>26000</v>
          </cell>
          <cell r="H2101" t="str">
            <v>Profirrol</v>
          </cell>
          <cell r="I2101">
            <v>30</v>
          </cell>
          <cell r="J2101" t="str">
            <v>UF-2600i</v>
          </cell>
          <cell r="L2101">
            <v>0</v>
          </cell>
          <cell r="M2101">
            <v>0</v>
          </cell>
          <cell r="O2101" t="str">
            <v>RODILLO INFERIOR UF (NACIONAL)</v>
          </cell>
        </row>
        <row r="2102">
          <cell r="D2102" t="str">
            <v>HTJA030168N</v>
          </cell>
          <cell r="E2102" t="str">
            <v>00806088</v>
          </cell>
          <cell r="F2102" t="str">
            <v>UF-2600i Hyundai</v>
          </cell>
          <cell r="G2102">
            <v>26000</v>
          </cell>
          <cell r="H2102" t="str">
            <v>Profirrol</v>
          </cell>
          <cell r="I2102">
            <v>30</v>
          </cell>
          <cell r="J2102" t="str">
            <v>UF-2600i</v>
          </cell>
          <cell r="L2102">
            <v>0</v>
          </cell>
          <cell r="M2102">
            <v>0</v>
          </cell>
          <cell r="O2102" t="str">
            <v>RODILLO INFERIOR UF (NACIONAL)</v>
          </cell>
        </row>
        <row r="2103">
          <cell r="D2103" t="str">
            <v>HTJA030168N</v>
          </cell>
          <cell r="E2103" t="str">
            <v>10235857</v>
          </cell>
          <cell r="F2103" t="str">
            <v>UF-2600i DNA (Preforma)</v>
          </cell>
          <cell r="G2103">
            <v>26000</v>
          </cell>
          <cell r="H2103" t="str">
            <v>Profirrol</v>
          </cell>
          <cell r="I2103">
            <v>30</v>
          </cell>
          <cell r="J2103" t="str">
            <v>UF-2600i</v>
          </cell>
          <cell r="L2103">
            <v>0</v>
          </cell>
          <cell r="M2103">
            <v>0</v>
          </cell>
          <cell r="O2103" t="str">
            <v>RODILLO INFERIOR UF (NACIONAL)</v>
          </cell>
        </row>
        <row r="2104">
          <cell r="D2104" t="str">
            <v>HTJA030169N</v>
          </cell>
          <cell r="E2104" t="str">
            <v>8152050226</v>
          </cell>
          <cell r="F2104" t="str">
            <v>UF-2600i PQ-35 VW</v>
          </cell>
          <cell r="G2104">
            <v>26000</v>
          </cell>
          <cell r="H2104" t="str">
            <v>Profirrol</v>
          </cell>
          <cell r="I2104">
            <v>30</v>
          </cell>
          <cell r="J2104" t="str">
            <v>UF-2600i</v>
          </cell>
          <cell r="L2104">
            <v>38227.399999999994</v>
          </cell>
          <cell r="M2104">
            <v>1662.0608695652172</v>
          </cell>
          <cell r="O2104" t="str">
            <v>RODILLO INFERIOR (NACIONAL)</v>
          </cell>
        </row>
        <row r="2105">
          <cell r="D2105" t="str">
            <v>HTJA030169N</v>
          </cell>
          <cell r="E2105" t="str">
            <v>10060762</v>
          </cell>
          <cell r="F2105" t="str">
            <v>UF-2600i Ford Explorer</v>
          </cell>
          <cell r="G2105">
            <v>26000</v>
          </cell>
          <cell r="H2105" t="str">
            <v>Profirrol</v>
          </cell>
          <cell r="I2105">
            <v>30</v>
          </cell>
          <cell r="J2105" t="str">
            <v>UF-2600i</v>
          </cell>
          <cell r="L2105">
            <v>0</v>
          </cell>
          <cell r="M2105">
            <v>0</v>
          </cell>
          <cell r="O2105" t="str">
            <v>RODILLO INFERIOR (NACIONAL)</v>
          </cell>
        </row>
        <row r="2106">
          <cell r="D2106" t="str">
            <v>HTJA030169N</v>
          </cell>
          <cell r="E2106" t="str">
            <v>00806088</v>
          </cell>
          <cell r="F2106" t="str">
            <v>UF-2600i Hyundai</v>
          </cell>
          <cell r="G2106">
            <v>26000</v>
          </cell>
          <cell r="H2106" t="str">
            <v>Profirrol</v>
          </cell>
          <cell r="I2106">
            <v>30</v>
          </cell>
          <cell r="J2106" t="str">
            <v>UF-2600i</v>
          </cell>
          <cell r="L2106">
            <v>0</v>
          </cell>
          <cell r="M2106">
            <v>0</v>
          </cell>
          <cell r="O2106" t="str">
            <v>RODILLO INFERIOR (NACIONAL)</v>
          </cell>
        </row>
        <row r="2107">
          <cell r="D2107" t="str">
            <v>HTJA030169N</v>
          </cell>
          <cell r="E2107" t="str">
            <v>10235857</v>
          </cell>
          <cell r="F2107" t="str">
            <v>UF-2600i DNA (Preforma)</v>
          </cell>
          <cell r="G2107">
            <v>26000</v>
          </cell>
          <cell r="H2107" t="str">
            <v>Profirrol</v>
          </cell>
          <cell r="I2107">
            <v>30</v>
          </cell>
          <cell r="J2107" t="str">
            <v>UF-2600i</v>
          </cell>
          <cell r="L2107">
            <v>0</v>
          </cell>
          <cell r="M2107">
            <v>0</v>
          </cell>
          <cell r="O2107" t="str">
            <v>RODILLO INFERIOR (NACIONAL)</v>
          </cell>
        </row>
        <row r="2108">
          <cell r="D2108" t="str">
            <v>HTJA030170N</v>
          </cell>
          <cell r="E2108" t="str">
            <v>8152050226</v>
          </cell>
          <cell r="F2108" t="str">
            <v>UF-2600i PQ-35 VW</v>
          </cell>
          <cell r="G2108">
            <v>20000</v>
          </cell>
          <cell r="H2108" t="str">
            <v>Nacional</v>
          </cell>
          <cell r="I2108">
            <v>10</v>
          </cell>
          <cell r="J2108" t="str">
            <v>UF-2600i</v>
          </cell>
          <cell r="L2108">
            <v>38227.399999999994</v>
          </cell>
          <cell r="M2108">
            <v>1662.0608695652172</v>
          </cell>
          <cell r="O2108" t="str">
            <v>RODILLO REDONDO (NACIONAL)</v>
          </cell>
        </row>
        <row r="2109">
          <cell r="D2109" t="str">
            <v>HTJA030170N</v>
          </cell>
          <cell r="E2109" t="str">
            <v>10060762</v>
          </cell>
          <cell r="F2109" t="str">
            <v>UF-2600i Ford Explorer</v>
          </cell>
          <cell r="G2109">
            <v>20000</v>
          </cell>
          <cell r="H2109" t="str">
            <v>Nacional</v>
          </cell>
          <cell r="I2109">
            <v>10</v>
          </cell>
          <cell r="J2109" t="str">
            <v>UF-2600i</v>
          </cell>
          <cell r="L2109">
            <v>0</v>
          </cell>
          <cell r="M2109">
            <v>0</v>
          </cell>
          <cell r="O2109" t="str">
            <v>RODILLO REDONDO (NACIONAL)</v>
          </cell>
        </row>
        <row r="2110">
          <cell r="D2110" t="str">
            <v>HTJA030170N</v>
          </cell>
          <cell r="E2110" t="str">
            <v>00806088</v>
          </cell>
          <cell r="F2110" t="str">
            <v>UF-2600i Hyundai</v>
          </cell>
          <cell r="G2110">
            <v>20000</v>
          </cell>
          <cell r="H2110" t="str">
            <v>Nacional</v>
          </cell>
          <cell r="I2110">
            <v>10</v>
          </cell>
          <cell r="J2110" t="str">
            <v>UF-2600i</v>
          </cell>
          <cell r="L2110">
            <v>0</v>
          </cell>
          <cell r="M2110">
            <v>0</v>
          </cell>
          <cell r="O2110" t="str">
            <v>RODILLO REDONDO (NACIONAL)</v>
          </cell>
        </row>
        <row r="2111">
          <cell r="D2111" t="str">
            <v>HTJA030170N</v>
          </cell>
          <cell r="E2111">
            <v>10235857</v>
          </cell>
          <cell r="F2111" t="str">
            <v>UF-2600i DNA (Preforma)</v>
          </cell>
          <cell r="G2111">
            <v>20000</v>
          </cell>
          <cell r="H2111" t="str">
            <v>Nacional</v>
          </cell>
          <cell r="I2111">
            <v>10</v>
          </cell>
          <cell r="J2111" t="str">
            <v>UF-2600i</v>
          </cell>
          <cell r="L2111">
            <v>0</v>
          </cell>
          <cell r="M2111">
            <v>0</v>
          </cell>
          <cell r="O2111" t="str">
            <v>RODILLO REDONDO (NACIONAL)</v>
          </cell>
        </row>
        <row r="2112">
          <cell r="D2112" t="str">
            <v>HTJA030184N</v>
          </cell>
          <cell r="E2112" t="str">
            <v>8152050226</v>
          </cell>
          <cell r="F2112" t="str">
            <v>UF-2600i PQ-35 VW</v>
          </cell>
          <cell r="G2112">
            <v>500000</v>
          </cell>
          <cell r="H2112" t="str">
            <v>Profirrol</v>
          </cell>
          <cell r="I2112">
            <v>30</v>
          </cell>
          <cell r="J2112" t="str">
            <v>UF-2600i</v>
          </cell>
          <cell r="L2112">
            <v>38227.399999999994</v>
          </cell>
          <cell r="M2112">
            <v>1662.0608695652172</v>
          </cell>
          <cell r="O2112" t="str">
            <v>PLATO CONICO P/RODILLO INFERIOR DERECHO ( NACIONAL )</v>
          </cell>
        </row>
        <row r="2113">
          <cell r="D2113" t="str">
            <v>HTJA030184N</v>
          </cell>
          <cell r="E2113" t="str">
            <v>10060762</v>
          </cell>
          <cell r="F2113" t="str">
            <v>UF-2600i Ford Explorer</v>
          </cell>
          <cell r="G2113">
            <v>500000</v>
          </cell>
          <cell r="H2113" t="str">
            <v>Profirrol</v>
          </cell>
          <cell r="I2113">
            <v>30</v>
          </cell>
          <cell r="J2113" t="str">
            <v>UF-2600i</v>
          </cell>
          <cell r="L2113">
            <v>0</v>
          </cell>
          <cell r="M2113">
            <v>0</v>
          </cell>
          <cell r="O2113" t="str">
            <v>PLATO CONICO P/RODILLO INFERIOR DERECHO ( NACIONAL )</v>
          </cell>
        </row>
        <row r="2114">
          <cell r="D2114" t="str">
            <v>HTJA030184N</v>
          </cell>
          <cell r="E2114" t="str">
            <v>00806088</v>
          </cell>
          <cell r="F2114" t="str">
            <v>UF-2600i Hyundai</v>
          </cell>
          <cell r="G2114">
            <v>500000</v>
          </cell>
          <cell r="H2114" t="str">
            <v>Profirrol</v>
          </cell>
          <cell r="I2114">
            <v>30</v>
          </cell>
          <cell r="J2114" t="str">
            <v>UF-2600i</v>
          </cell>
          <cell r="L2114">
            <v>0</v>
          </cell>
          <cell r="M2114">
            <v>0</v>
          </cell>
          <cell r="O2114" t="str">
            <v>PLATO CONICO P/RODILLO INFERIOR DERECHO ( NACIONAL )</v>
          </cell>
        </row>
        <row r="2115">
          <cell r="D2115" t="str">
            <v>HTJA030184N</v>
          </cell>
          <cell r="E2115" t="str">
            <v>10235857</v>
          </cell>
          <cell r="F2115" t="str">
            <v>UF-2600i DNA (Preforma)</v>
          </cell>
          <cell r="G2115">
            <v>500000</v>
          </cell>
          <cell r="H2115" t="str">
            <v>Profirrol</v>
          </cell>
          <cell r="I2115">
            <v>30</v>
          </cell>
          <cell r="J2115" t="str">
            <v>UF-2600i</v>
          </cell>
          <cell r="L2115">
            <v>0</v>
          </cell>
          <cell r="M2115">
            <v>0</v>
          </cell>
          <cell r="O2115" t="str">
            <v>PLATO CONICO P/RODILLO INFERIOR DERECHO ( NACIONAL )</v>
          </cell>
        </row>
        <row r="2116">
          <cell r="D2116" t="str">
            <v>HTJA030184N</v>
          </cell>
          <cell r="E2116" t="str">
            <v>8152050226</v>
          </cell>
          <cell r="F2116" t="str">
            <v>UF-2600i PQ-35 VW</v>
          </cell>
          <cell r="G2116">
            <v>500000</v>
          </cell>
          <cell r="H2116" t="str">
            <v>Profirrol</v>
          </cell>
          <cell r="I2116">
            <v>30</v>
          </cell>
          <cell r="J2116" t="str">
            <v>UF-2600i</v>
          </cell>
          <cell r="L2116">
            <v>38227.399999999994</v>
          </cell>
          <cell r="M2116">
            <v>1662.0608695652172</v>
          </cell>
          <cell r="O2116" t="str">
            <v>PLATO CONICO P/RODILLO INFERIOR DERECHO ( NACIONAL )</v>
          </cell>
        </row>
        <row r="2117">
          <cell r="D2117" t="str">
            <v>HTJA030184N</v>
          </cell>
          <cell r="E2117" t="str">
            <v>10060762</v>
          </cell>
          <cell r="F2117" t="str">
            <v>UF-2600i Ford Explorer</v>
          </cell>
          <cell r="G2117">
            <v>500000</v>
          </cell>
          <cell r="H2117" t="str">
            <v>Profirrol</v>
          </cell>
          <cell r="I2117">
            <v>30</v>
          </cell>
          <cell r="J2117" t="str">
            <v>UF-2600i</v>
          </cell>
          <cell r="L2117">
            <v>0</v>
          </cell>
          <cell r="M2117">
            <v>0</v>
          </cell>
          <cell r="O2117" t="str">
            <v>PLATO CONICO P/RODILLO INFERIOR DERECHO ( NACIONAL )</v>
          </cell>
        </row>
        <row r="2118">
          <cell r="D2118" t="str">
            <v>HTJA030184N</v>
          </cell>
          <cell r="E2118" t="str">
            <v>00806088</v>
          </cell>
          <cell r="F2118" t="str">
            <v>UF-2600i Hyundai</v>
          </cell>
          <cell r="G2118">
            <v>500000</v>
          </cell>
          <cell r="H2118" t="str">
            <v>Profirrol</v>
          </cell>
          <cell r="I2118">
            <v>30</v>
          </cell>
          <cell r="J2118" t="str">
            <v>UF-2600i</v>
          </cell>
          <cell r="L2118">
            <v>0</v>
          </cell>
          <cell r="M2118">
            <v>0</v>
          </cell>
          <cell r="O2118" t="str">
            <v>PLATO CONICO P/RODILLO INFERIOR DERECHO ( NACIONAL )</v>
          </cell>
        </row>
        <row r="2119">
          <cell r="D2119" t="str">
            <v>HTJA030184N</v>
          </cell>
          <cell r="E2119" t="str">
            <v>10235857</v>
          </cell>
          <cell r="F2119" t="str">
            <v>UF-2600i DNA (Preforma)</v>
          </cell>
          <cell r="G2119">
            <v>500000</v>
          </cell>
          <cell r="H2119" t="str">
            <v>Profirrol</v>
          </cell>
          <cell r="I2119">
            <v>30</v>
          </cell>
          <cell r="J2119" t="str">
            <v>UF-2600i</v>
          </cell>
          <cell r="L2119">
            <v>0</v>
          </cell>
          <cell r="M2119">
            <v>0</v>
          </cell>
          <cell r="O2119" t="str">
            <v>PLATO CONICO P/RODILLO INFERIOR DERECHO ( NACIONAL )</v>
          </cell>
        </row>
      </sheetData>
      <sheetData sheetId="3">
        <row r="1">
          <cell r="D1" t="str">
            <v>Torneado OP 30</v>
          </cell>
        </row>
        <row r="5">
          <cell r="C5" t="str">
            <v>No. Parte Htal:</v>
          </cell>
          <cell r="D5" t="str">
            <v>RQ</v>
          </cell>
          <cell r="E5" t="str">
            <v>Inventario</v>
          </cell>
          <cell r="F5" t="str">
            <v>Pz / Herramental</v>
          </cell>
          <cell r="G5" t="str">
            <v>Tiempo Entrega</v>
          </cell>
          <cell r="H5" t="str">
            <v>Mín</v>
          </cell>
          <cell r="I5" t="str">
            <v>Pto. Reorden</v>
          </cell>
          <cell r="J5" t="str">
            <v>Máx</v>
          </cell>
          <cell r="K5" t="str">
            <v>Mín</v>
          </cell>
          <cell r="L5" t="str">
            <v>Pto. Reorden</v>
          </cell>
          <cell r="M5" t="str">
            <v>Máx</v>
          </cell>
          <cell r="N5" t="str">
            <v>STATUS</v>
          </cell>
        </row>
        <row r="6">
          <cell r="C6" t="str">
            <v>HTJA030034</v>
          </cell>
          <cell r="D6">
            <v>32759.000000000004</v>
          </cell>
          <cell r="E6">
            <v>1</v>
          </cell>
          <cell r="F6">
            <v>40000</v>
          </cell>
          <cell r="G6">
            <v>7</v>
          </cell>
          <cell r="H6">
            <v>1</v>
          </cell>
          <cell r="I6">
            <v>1</v>
          </cell>
          <cell r="J6">
            <v>1</v>
          </cell>
          <cell r="K6">
            <v>1</v>
          </cell>
          <cell r="L6">
            <v>2</v>
          </cell>
          <cell r="M6">
            <v>3</v>
          </cell>
          <cell r="N6" t="str">
            <v>PEDIR</v>
          </cell>
        </row>
        <row r="7">
          <cell r="C7" t="str">
            <v>HTJA030159</v>
          </cell>
          <cell r="D7">
            <v>71179.8</v>
          </cell>
          <cell r="E7">
            <v>1</v>
          </cell>
          <cell r="F7">
            <v>40000</v>
          </cell>
          <cell r="G7">
            <v>15</v>
          </cell>
          <cell r="H7">
            <v>2</v>
          </cell>
          <cell r="I7">
            <v>1</v>
          </cell>
          <cell r="J7">
            <v>1</v>
          </cell>
          <cell r="K7">
            <v>2</v>
          </cell>
          <cell r="L7">
            <v>3</v>
          </cell>
          <cell r="M7">
            <v>4</v>
          </cell>
          <cell r="N7" t="str">
            <v>URGENTE</v>
          </cell>
        </row>
        <row r="8">
          <cell r="C8" t="str">
            <v>N/HT</v>
          </cell>
          <cell r="D8">
            <v>0</v>
          </cell>
          <cell r="F8" t="e">
            <v>#N/A</v>
          </cell>
          <cell r="G8" t="e">
            <v>#N/A</v>
          </cell>
          <cell r="H8" t="e">
            <v>#N/A</v>
          </cell>
          <cell r="I8">
            <v>1</v>
          </cell>
          <cell r="J8">
            <v>1</v>
          </cell>
          <cell r="K8" t="e">
            <v>#N/A</v>
          </cell>
          <cell r="L8" t="e">
            <v>#N/A</v>
          </cell>
          <cell r="M8" t="e">
            <v>#N/A</v>
          </cell>
          <cell r="N8" t="e">
            <v>#N/A</v>
          </cell>
        </row>
        <row r="9">
          <cell r="C9" t="str">
            <v>N/HT</v>
          </cell>
          <cell r="D9">
            <v>0</v>
          </cell>
          <cell r="F9" t="e">
            <v>#N/A</v>
          </cell>
          <cell r="G9" t="e">
            <v>#N/A</v>
          </cell>
          <cell r="H9" t="e">
            <v>#N/A</v>
          </cell>
          <cell r="I9">
            <v>1</v>
          </cell>
          <cell r="J9">
            <v>1</v>
          </cell>
          <cell r="K9" t="e">
            <v>#N/A</v>
          </cell>
          <cell r="L9" t="e">
            <v>#N/A</v>
          </cell>
          <cell r="M9" t="e">
            <v>#N/A</v>
          </cell>
          <cell r="N9" t="e">
            <v>#N/A</v>
          </cell>
        </row>
        <row r="10">
          <cell r="C10" t="str">
            <v>N/HT</v>
          </cell>
          <cell r="D10">
            <v>0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1</v>
          </cell>
          <cell r="J10">
            <v>1</v>
          </cell>
          <cell r="K10" t="e">
            <v>#N/A</v>
          </cell>
          <cell r="L10" t="e">
            <v>#N/A</v>
          </cell>
          <cell r="M10" t="e">
            <v>#N/A</v>
          </cell>
          <cell r="N10" t="e">
            <v>#N/A</v>
          </cell>
        </row>
        <row r="11">
          <cell r="C11" t="str">
            <v>N/HT</v>
          </cell>
          <cell r="D11">
            <v>0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1</v>
          </cell>
          <cell r="J11">
            <v>1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</row>
        <row r="12">
          <cell r="C12" t="str">
            <v>N/HT</v>
          </cell>
          <cell r="D12">
            <v>0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1</v>
          </cell>
          <cell r="J12">
            <v>1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</row>
        <row r="13">
          <cell r="C13" t="str">
            <v>N/HT</v>
          </cell>
          <cell r="D13">
            <v>0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1</v>
          </cell>
          <cell r="J13">
            <v>1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</row>
        <row r="14">
          <cell r="C14" t="str">
            <v>N/HT</v>
          </cell>
          <cell r="D14">
            <v>0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1</v>
          </cell>
          <cell r="J14">
            <v>1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</row>
        <row r="15">
          <cell r="C15" t="str">
            <v>N/HT</v>
          </cell>
          <cell r="D15">
            <v>0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1</v>
          </cell>
          <cell r="J15">
            <v>1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</row>
        <row r="16">
          <cell r="C16" t="str">
            <v>N/HT</v>
          </cell>
          <cell r="D16">
            <v>0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1</v>
          </cell>
          <cell r="J16">
            <v>1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</row>
        <row r="17">
          <cell r="C17" t="str">
            <v>N/HT</v>
          </cell>
          <cell r="D17">
            <v>0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1</v>
          </cell>
          <cell r="J17">
            <v>1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</row>
        <row r="18">
          <cell r="C18" t="str">
            <v>N/HT</v>
          </cell>
          <cell r="D18">
            <v>0</v>
          </cell>
          <cell r="F18" t="e">
            <v>#N/A</v>
          </cell>
          <cell r="G18" t="e">
            <v>#N/A</v>
          </cell>
          <cell r="H18" t="e">
            <v>#N/A</v>
          </cell>
          <cell r="I18">
            <v>1</v>
          </cell>
          <cell r="J18">
            <v>1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</row>
        <row r="19">
          <cell r="C19" t="str">
            <v>N/HT</v>
          </cell>
          <cell r="D19">
            <v>0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1</v>
          </cell>
          <cell r="J19">
            <v>1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</row>
        <row r="20">
          <cell r="C20" t="str">
            <v>N/HT</v>
          </cell>
          <cell r="D20">
            <v>0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1</v>
          </cell>
          <cell r="J20">
            <v>1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</row>
        <row r="21">
          <cell r="C21" t="str">
            <v>N/HT</v>
          </cell>
          <cell r="D21">
            <v>0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1</v>
          </cell>
          <cell r="J21">
            <v>1</v>
          </cell>
          <cell r="K21" t="e">
            <v>#N/A</v>
          </cell>
          <cell r="L21" t="e">
            <v>#N/A</v>
          </cell>
          <cell r="M21" t="e">
            <v>#N/A</v>
          </cell>
          <cell r="N21" t="e">
            <v>#N/A</v>
          </cell>
        </row>
        <row r="22">
          <cell r="C22" t="str">
            <v>N/HT</v>
          </cell>
          <cell r="D22">
            <v>0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1</v>
          </cell>
          <cell r="J22">
            <v>1</v>
          </cell>
          <cell r="K22" t="e">
            <v>#N/A</v>
          </cell>
          <cell r="L22" t="e">
            <v>#N/A</v>
          </cell>
          <cell r="M22" t="e">
            <v>#N/A</v>
          </cell>
          <cell r="N22" t="e">
            <v>#N/A</v>
          </cell>
        </row>
        <row r="23">
          <cell r="C23" t="str">
            <v>N/HT</v>
          </cell>
          <cell r="D23">
            <v>0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1</v>
          </cell>
          <cell r="J23">
            <v>1</v>
          </cell>
          <cell r="K23" t="e">
            <v>#N/A</v>
          </cell>
          <cell r="L23" t="e">
            <v>#N/A</v>
          </cell>
          <cell r="M23" t="e">
            <v>#N/A</v>
          </cell>
          <cell r="N23" t="e">
            <v>#N/A</v>
          </cell>
        </row>
        <row r="24">
          <cell r="C24" t="str">
            <v>N/HT</v>
          </cell>
          <cell r="D24">
            <v>0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1</v>
          </cell>
          <cell r="J24">
            <v>1</v>
          </cell>
          <cell r="K24" t="e">
            <v>#N/A</v>
          </cell>
          <cell r="L24" t="e">
            <v>#N/A</v>
          </cell>
          <cell r="M24" t="e">
            <v>#N/A</v>
          </cell>
          <cell r="N24" t="e">
            <v>#N/A</v>
          </cell>
        </row>
        <row r="25">
          <cell r="C25" t="str">
            <v>N/HT</v>
          </cell>
          <cell r="D25">
            <v>0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1</v>
          </cell>
          <cell r="J25">
            <v>1</v>
          </cell>
          <cell r="K25" t="e">
            <v>#N/A</v>
          </cell>
          <cell r="L25" t="e">
            <v>#N/A</v>
          </cell>
          <cell r="M25" t="e">
            <v>#N/A</v>
          </cell>
          <cell r="N25" t="e">
            <v>#N/A</v>
          </cell>
        </row>
        <row r="26">
          <cell r="C26" t="str">
            <v>N/HT</v>
          </cell>
          <cell r="D26">
            <v>0</v>
          </cell>
          <cell r="F26" t="e">
            <v>#N/A</v>
          </cell>
          <cell r="G26" t="e">
            <v>#N/A</v>
          </cell>
          <cell r="H26" t="e">
            <v>#N/A</v>
          </cell>
          <cell r="I26">
            <v>1</v>
          </cell>
          <cell r="J26">
            <v>1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</row>
        <row r="27">
          <cell r="C27" t="str">
            <v>N/HT</v>
          </cell>
          <cell r="D27">
            <v>0</v>
          </cell>
          <cell r="F27" t="e">
            <v>#N/A</v>
          </cell>
          <cell r="G27" t="e">
            <v>#N/A</v>
          </cell>
          <cell r="H27" t="e">
            <v>#N/A</v>
          </cell>
          <cell r="I27">
            <v>1</v>
          </cell>
          <cell r="J27">
            <v>1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</row>
        <row r="28">
          <cell r="C28" t="str">
            <v>N/HT</v>
          </cell>
          <cell r="D28">
            <v>0</v>
          </cell>
          <cell r="F28" t="e">
            <v>#N/A</v>
          </cell>
          <cell r="G28" t="e">
            <v>#N/A</v>
          </cell>
          <cell r="H28" t="e">
            <v>#N/A</v>
          </cell>
          <cell r="I28">
            <v>1</v>
          </cell>
          <cell r="J28">
            <v>1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</row>
        <row r="29">
          <cell r="C29" t="str">
            <v>N/HT</v>
          </cell>
          <cell r="D29">
            <v>0</v>
          </cell>
          <cell r="F29" t="e">
            <v>#N/A</v>
          </cell>
          <cell r="G29" t="e">
            <v>#N/A</v>
          </cell>
          <cell r="H29" t="e">
            <v>#N/A</v>
          </cell>
          <cell r="I29">
            <v>1</v>
          </cell>
          <cell r="J29">
            <v>1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</row>
        <row r="30">
          <cell r="C30" t="str">
            <v>N/HT</v>
          </cell>
          <cell r="D30">
            <v>0</v>
          </cell>
          <cell r="F30" t="e">
            <v>#N/A</v>
          </cell>
          <cell r="G30" t="e">
            <v>#N/A</v>
          </cell>
          <cell r="H30" t="e">
            <v>#N/A</v>
          </cell>
          <cell r="I30">
            <v>1</v>
          </cell>
          <cell r="J30">
            <v>1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</row>
        <row r="31">
          <cell r="C31" t="str">
            <v>N/HT</v>
          </cell>
          <cell r="D31">
            <v>0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1</v>
          </cell>
          <cell r="J31">
            <v>1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</row>
        <row r="32">
          <cell r="C32" t="str">
            <v>N/HT</v>
          </cell>
          <cell r="D32">
            <v>0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1</v>
          </cell>
          <cell r="J32">
            <v>1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</row>
        <row r="33">
          <cell r="C33" t="str">
            <v>N/HT</v>
          </cell>
          <cell r="D33">
            <v>0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1</v>
          </cell>
          <cell r="J33">
            <v>1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</row>
        <row r="34">
          <cell r="C34" t="str">
            <v>N/HT</v>
          </cell>
          <cell r="D34">
            <v>0</v>
          </cell>
          <cell r="F34" t="e">
            <v>#N/A</v>
          </cell>
          <cell r="G34" t="e">
            <v>#N/A</v>
          </cell>
          <cell r="H34" t="e">
            <v>#N/A</v>
          </cell>
          <cell r="I34">
            <v>1</v>
          </cell>
          <cell r="J34">
            <v>1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</row>
        <row r="35">
          <cell r="C35" t="str">
            <v>N/HT</v>
          </cell>
          <cell r="D35">
            <v>0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1</v>
          </cell>
          <cell r="J35">
            <v>1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</row>
        <row r="36">
          <cell r="C36" t="str">
            <v>N/HT</v>
          </cell>
          <cell r="D36">
            <v>0</v>
          </cell>
          <cell r="F36" t="e">
            <v>#N/A</v>
          </cell>
          <cell r="G36" t="e">
            <v>#N/A</v>
          </cell>
          <cell r="H36" t="e">
            <v>#N/A</v>
          </cell>
          <cell r="I36">
            <v>1</v>
          </cell>
          <cell r="J36">
            <v>1</v>
          </cell>
          <cell r="K36" t="e">
            <v>#N/A</v>
          </cell>
          <cell r="L36" t="e">
            <v>#N/A</v>
          </cell>
          <cell r="M36" t="e">
            <v>#N/A</v>
          </cell>
          <cell r="N36" t="e">
            <v>#N/A</v>
          </cell>
        </row>
        <row r="37">
          <cell r="C37" t="str">
            <v>N/HT</v>
          </cell>
          <cell r="D37">
            <v>0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1</v>
          </cell>
          <cell r="J37">
            <v>1</v>
          </cell>
          <cell r="K37" t="e">
            <v>#N/A</v>
          </cell>
          <cell r="L37" t="e">
            <v>#N/A</v>
          </cell>
          <cell r="M37" t="e">
            <v>#N/A</v>
          </cell>
          <cell r="N37" t="e">
            <v>#N/A</v>
          </cell>
        </row>
        <row r="39">
          <cell r="C39" t="str">
            <v>No. Parte Htal:</v>
          </cell>
          <cell r="D39" t="str">
            <v>RQ</v>
          </cell>
          <cell r="E39" t="str">
            <v>Inventario</v>
          </cell>
          <cell r="F39" t="str">
            <v>Pz / Herramental</v>
          </cell>
          <cell r="G39" t="str">
            <v>Tiempo Entrega</v>
          </cell>
          <cell r="H39" t="str">
            <v>Mín</v>
          </cell>
          <cell r="I39" t="str">
            <v>Pto. Reorden</v>
          </cell>
          <cell r="J39" t="str">
            <v>Máx</v>
          </cell>
          <cell r="K39" t="str">
            <v>Mín</v>
          </cell>
          <cell r="L39" t="str">
            <v>Pto. Reorden</v>
          </cell>
          <cell r="M39" t="str">
            <v>Máx</v>
          </cell>
          <cell r="N39" t="str">
            <v>STATUS</v>
          </cell>
        </row>
        <row r="40">
          <cell r="C40" t="str">
            <v>HTJA030080</v>
          </cell>
          <cell r="D40">
            <v>38420.799999999996</v>
          </cell>
          <cell r="E40">
            <v>1</v>
          </cell>
          <cell r="F40">
            <v>40000</v>
          </cell>
          <cell r="G40">
            <v>7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2</v>
          </cell>
          <cell r="M40">
            <v>3</v>
          </cell>
          <cell r="N40" t="str">
            <v>PEDIR</v>
          </cell>
        </row>
        <row r="41">
          <cell r="C41" t="str">
            <v>N/HT</v>
          </cell>
          <cell r="D41">
            <v>0</v>
          </cell>
          <cell r="F41" t="e">
            <v>#N/A</v>
          </cell>
          <cell r="G41" t="e">
            <v>#N/A</v>
          </cell>
          <cell r="H41" t="e">
            <v>#N/A</v>
          </cell>
          <cell r="I41">
            <v>1</v>
          </cell>
          <cell r="J41">
            <v>1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</row>
        <row r="42">
          <cell r="C42" t="str">
            <v>N/HT</v>
          </cell>
          <cell r="D42">
            <v>0</v>
          </cell>
          <cell r="F42" t="e">
            <v>#N/A</v>
          </cell>
          <cell r="G42" t="e">
            <v>#N/A</v>
          </cell>
          <cell r="H42" t="e">
            <v>#N/A</v>
          </cell>
          <cell r="I42">
            <v>1</v>
          </cell>
          <cell r="J42">
            <v>1</v>
          </cell>
          <cell r="L42" t="e">
            <v>#N/A</v>
          </cell>
          <cell r="M42" t="e">
            <v>#N/A</v>
          </cell>
          <cell r="N42" t="e">
            <v>#N/A</v>
          </cell>
        </row>
        <row r="43">
          <cell r="C43" t="str">
            <v>N/HT</v>
          </cell>
          <cell r="D43">
            <v>0</v>
          </cell>
          <cell r="F43" t="e">
            <v>#N/A</v>
          </cell>
          <cell r="G43" t="e">
            <v>#N/A</v>
          </cell>
          <cell r="H43" t="e">
            <v>#N/A</v>
          </cell>
          <cell r="I43">
            <v>1</v>
          </cell>
          <cell r="J43">
            <v>1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</row>
        <row r="44">
          <cell r="C44" t="str">
            <v>N/HT</v>
          </cell>
          <cell r="D44">
            <v>0</v>
          </cell>
          <cell r="F44" t="e">
            <v>#N/A</v>
          </cell>
          <cell r="G44" t="e">
            <v>#N/A</v>
          </cell>
          <cell r="H44" t="e">
            <v>#N/A</v>
          </cell>
          <cell r="I44">
            <v>1</v>
          </cell>
          <cell r="J44">
            <v>1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</row>
        <row r="45">
          <cell r="C45" t="str">
            <v>N/HT</v>
          </cell>
          <cell r="D45">
            <v>0</v>
          </cell>
          <cell r="F45" t="e">
            <v>#N/A</v>
          </cell>
          <cell r="G45" t="e">
            <v>#N/A</v>
          </cell>
          <cell r="H45" t="e">
            <v>#N/A</v>
          </cell>
          <cell r="I45">
            <v>1</v>
          </cell>
          <cell r="J45">
            <v>1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</row>
        <row r="46">
          <cell r="C46" t="str">
            <v>N/HT</v>
          </cell>
          <cell r="D46">
            <v>0</v>
          </cell>
          <cell r="F46" t="e">
            <v>#N/A</v>
          </cell>
          <cell r="G46" t="e">
            <v>#N/A</v>
          </cell>
          <cell r="H46" t="e">
            <v>#N/A</v>
          </cell>
          <cell r="I46">
            <v>1</v>
          </cell>
          <cell r="J46">
            <v>1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</row>
        <row r="47">
          <cell r="C47" t="str">
            <v>N/HT</v>
          </cell>
          <cell r="D47">
            <v>0</v>
          </cell>
          <cell r="F47" t="e">
            <v>#N/A</v>
          </cell>
          <cell r="G47" t="e">
            <v>#N/A</v>
          </cell>
          <cell r="H47" t="e">
            <v>#N/A</v>
          </cell>
          <cell r="I47">
            <v>1</v>
          </cell>
          <cell r="J47">
            <v>1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</row>
        <row r="48">
          <cell r="C48" t="str">
            <v>N/HT</v>
          </cell>
          <cell r="D48">
            <v>0</v>
          </cell>
          <cell r="F48" t="e">
            <v>#N/A</v>
          </cell>
          <cell r="G48" t="e">
            <v>#N/A</v>
          </cell>
          <cell r="H48" t="e">
            <v>#N/A</v>
          </cell>
          <cell r="I48">
            <v>1</v>
          </cell>
          <cell r="J48">
            <v>1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</row>
        <row r="49">
          <cell r="C49" t="str">
            <v>N/HT</v>
          </cell>
          <cell r="D49">
            <v>0</v>
          </cell>
          <cell r="F49" t="e">
            <v>#N/A</v>
          </cell>
          <cell r="G49" t="e">
            <v>#N/A</v>
          </cell>
          <cell r="H49" t="e">
            <v>#N/A</v>
          </cell>
          <cell r="I49">
            <v>1</v>
          </cell>
          <cell r="J49">
            <v>1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</row>
        <row r="50">
          <cell r="C50" t="str">
            <v>N/HT</v>
          </cell>
          <cell r="D50">
            <v>0</v>
          </cell>
          <cell r="F50" t="e">
            <v>#N/A</v>
          </cell>
          <cell r="G50" t="e">
            <v>#N/A</v>
          </cell>
          <cell r="H50" t="e">
            <v>#N/A</v>
          </cell>
          <cell r="I50">
            <v>1</v>
          </cell>
          <cell r="J50">
            <v>1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</row>
        <row r="51">
          <cell r="C51" t="str">
            <v>N/HT</v>
          </cell>
          <cell r="D51">
            <v>0</v>
          </cell>
          <cell r="F51" t="e">
            <v>#N/A</v>
          </cell>
          <cell r="G51" t="e">
            <v>#N/A</v>
          </cell>
          <cell r="H51" t="e">
            <v>#N/A</v>
          </cell>
          <cell r="I51">
            <v>1</v>
          </cell>
          <cell r="J51">
            <v>1</v>
          </cell>
          <cell r="K51" t="e">
            <v>#N/A</v>
          </cell>
          <cell r="L51" t="e">
            <v>#N/A</v>
          </cell>
          <cell r="M51" t="e">
            <v>#N/A</v>
          </cell>
          <cell r="N51" t="e">
            <v>#N/A</v>
          </cell>
        </row>
        <row r="52">
          <cell r="C52" t="str">
            <v>N/HT</v>
          </cell>
          <cell r="D52">
            <v>0</v>
          </cell>
          <cell r="F52" t="e">
            <v>#N/A</v>
          </cell>
          <cell r="G52" t="e">
            <v>#N/A</v>
          </cell>
          <cell r="H52" t="e">
            <v>#N/A</v>
          </cell>
          <cell r="I52">
            <v>1</v>
          </cell>
          <cell r="J52">
            <v>1</v>
          </cell>
          <cell r="K52" t="e">
            <v>#N/A</v>
          </cell>
          <cell r="L52" t="e">
            <v>#N/A</v>
          </cell>
          <cell r="M52" t="e">
            <v>#N/A</v>
          </cell>
          <cell r="N52" t="e">
            <v>#N/A</v>
          </cell>
        </row>
        <row r="53">
          <cell r="C53" t="str">
            <v>N/HT</v>
          </cell>
          <cell r="D53">
            <v>0</v>
          </cell>
          <cell r="F53" t="e">
            <v>#N/A</v>
          </cell>
          <cell r="G53" t="e">
            <v>#N/A</v>
          </cell>
          <cell r="H53" t="e">
            <v>#N/A</v>
          </cell>
          <cell r="I53">
            <v>1</v>
          </cell>
          <cell r="J53">
            <v>1</v>
          </cell>
          <cell r="K53" t="e">
            <v>#N/A</v>
          </cell>
          <cell r="L53" t="e">
            <v>#N/A</v>
          </cell>
          <cell r="M53" t="e">
            <v>#N/A</v>
          </cell>
          <cell r="N53" t="e">
            <v>#N/A</v>
          </cell>
        </row>
        <row r="54">
          <cell r="C54" t="str">
            <v>N/HT</v>
          </cell>
          <cell r="D54">
            <v>0</v>
          </cell>
          <cell r="F54" t="e">
            <v>#N/A</v>
          </cell>
          <cell r="G54" t="e">
            <v>#N/A</v>
          </cell>
          <cell r="H54" t="e">
            <v>#N/A</v>
          </cell>
          <cell r="I54">
            <v>1</v>
          </cell>
          <cell r="J54">
            <v>1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</row>
        <row r="55">
          <cell r="C55" t="str">
            <v>N/HT</v>
          </cell>
          <cell r="D55">
            <v>0</v>
          </cell>
          <cell r="F55" t="e">
            <v>#N/A</v>
          </cell>
          <cell r="G55" t="e">
            <v>#N/A</v>
          </cell>
          <cell r="H55" t="e">
            <v>#N/A</v>
          </cell>
          <cell r="I55">
            <v>1</v>
          </cell>
          <cell r="J55">
            <v>1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</row>
        <row r="56">
          <cell r="C56" t="str">
            <v>N/HT</v>
          </cell>
          <cell r="D56">
            <v>0</v>
          </cell>
          <cell r="F56" t="e">
            <v>#N/A</v>
          </cell>
          <cell r="G56" t="e">
            <v>#N/A</v>
          </cell>
          <cell r="H56" t="e">
            <v>#N/A</v>
          </cell>
          <cell r="I56">
            <v>1</v>
          </cell>
          <cell r="J56">
            <v>1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</row>
        <row r="57">
          <cell r="C57" t="str">
            <v>N/HT</v>
          </cell>
          <cell r="D57">
            <v>0</v>
          </cell>
          <cell r="F57" t="e">
            <v>#N/A</v>
          </cell>
          <cell r="G57" t="e">
            <v>#N/A</v>
          </cell>
          <cell r="H57" t="e">
            <v>#N/A</v>
          </cell>
          <cell r="I57">
            <v>1</v>
          </cell>
          <cell r="J57">
            <v>1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</row>
        <row r="58">
          <cell r="C58" t="str">
            <v>N/HT</v>
          </cell>
          <cell r="D58">
            <v>0</v>
          </cell>
          <cell r="F58" t="e">
            <v>#N/A</v>
          </cell>
          <cell r="G58" t="e">
            <v>#N/A</v>
          </cell>
          <cell r="H58" t="e">
            <v>#N/A</v>
          </cell>
          <cell r="I58">
            <v>1</v>
          </cell>
          <cell r="J58">
            <v>1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</row>
        <row r="59">
          <cell r="C59" t="str">
            <v>N/HT</v>
          </cell>
          <cell r="D59">
            <v>0</v>
          </cell>
          <cell r="F59" t="e">
            <v>#N/A</v>
          </cell>
          <cell r="G59" t="e">
            <v>#N/A</v>
          </cell>
          <cell r="H59" t="e">
            <v>#N/A</v>
          </cell>
          <cell r="I59">
            <v>1</v>
          </cell>
          <cell r="J59">
            <v>1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</row>
        <row r="60">
          <cell r="C60" t="str">
            <v>N/HT</v>
          </cell>
          <cell r="D60">
            <v>0</v>
          </cell>
          <cell r="F60" t="e">
            <v>#N/A</v>
          </cell>
          <cell r="G60" t="e">
            <v>#N/A</v>
          </cell>
          <cell r="H60" t="e">
            <v>#N/A</v>
          </cell>
          <cell r="I60">
            <v>1</v>
          </cell>
          <cell r="J60">
            <v>1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</row>
        <row r="61">
          <cell r="C61" t="str">
            <v>N/HT</v>
          </cell>
          <cell r="D61">
            <v>0</v>
          </cell>
          <cell r="F61" t="e">
            <v>#N/A</v>
          </cell>
          <cell r="G61" t="e">
            <v>#N/A</v>
          </cell>
          <cell r="H61" t="e">
            <v>#N/A</v>
          </cell>
          <cell r="I61">
            <v>1</v>
          </cell>
          <cell r="J61">
            <v>1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</row>
        <row r="62">
          <cell r="C62" t="str">
            <v>N/HT</v>
          </cell>
          <cell r="D62">
            <v>0</v>
          </cell>
          <cell r="F62" t="e">
            <v>#N/A</v>
          </cell>
          <cell r="G62" t="e">
            <v>#N/A</v>
          </cell>
          <cell r="H62" t="e">
            <v>#N/A</v>
          </cell>
          <cell r="I62">
            <v>1</v>
          </cell>
          <cell r="J62">
            <v>1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</row>
        <row r="63">
          <cell r="C63" t="str">
            <v>N/HT</v>
          </cell>
          <cell r="D63">
            <v>0</v>
          </cell>
          <cell r="F63" t="e">
            <v>#N/A</v>
          </cell>
          <cell r="G63" t="e">
            <v>#N/A</v>
          </cell>
          <cell r="H63" t="e">
            <v>#N/A</v>
          </cell>
          <cell r="I63">
            <v>1</v>
          </cell>
          <cell r="J63">
            <v>1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</row>
        <row r="64">
          <cell r="C64" t="str">
            <v>N/HT</v>
          </cell>
          <cell r="D64">
            <v>0</v>
          </cell>
          <cell r="F64" t="e">
            <v>#N/A</v>
          </cell>
          <cell r="G64" t="e">
            <v>#N/A</v>
          </cell>
          <cell r="H64" t="e">
            <v>#N/A</v>
          </cell>
          <cell r="I64">
            <v>1</v>
          </cell>
          <cell r="J64">
            <v>1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</row>
        <row r="65">
          <cell r="C65" t="str">
            <v>N/HT</v>
          </cell>
          <cell r="D65">
            <v>0</v>
          </cell>
          <cell r="F65" t="e">
            <v>#N/A</v>
          </cell>
          <cell r="G65" t="e">
            <v>#N/A</v>
          </cell>
          <cell r="H65" t="e">
            <v>#N/A</v>
          </cell>
          <cell r="I65">
            <v>1</v>
          </cell>
          <cell r="J65">
            <v>1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</row>
        <row r="66">
          <cell r="C66" t="str">
            <v>N/HT</v>
          </cell>
          <cell r="D66">
            <v>0</v>
          </cell>
          <cell r="F66" t="e">
            <v>#N/A</v>
          </cell>
          <cell r="G66" t="e">
            <v>#N/A</v>
          </cell>
          <cell r="H66" t="e">
            <v>#N/A</v>
          </cell>
          <cell r="I66">
            <v>1</v>
          </cell>
          <cell r="J66">
            <v>1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</row>
        <row r="67">
          <cell r="C67" t="str">
            <v>N/HT</v>
          </cell>
          <cell r="D67">
            <v>0</v>
          </cell>
          <cell r="F67" t="e">
            <v>#N/A</v>
          </cell>
          <cell r="G67" t="e">
            <v>#N/A</v>
          </cell>
          <cell r="H67" t="e">
            <v>#N/A</v>
          </cell>
          <cell r="I67">
            <v>1</v>
          </cell>
          <cell r="J67">
            <v>1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</row>
        <row r="68">
          <cell r="C68" t="str">
            <v>N/HT</v>
          </cell>
          <cell r="D68">
            <v>0</v>
          </cell>
          <cell r="F68" t="e">
            <v>#N/A</v>
          </cell>
          <cell r="G68" t="e">
            <v>#N/A</v>
          </cell>
          <cell r="H68" t="e">
            <v>#N/A</v>
          </cell>
          <cell r="I68">
            <v>1</v>
          </cell>
          <cell r="J68">
            <v>1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</row>
        <row r="69">
          <cell r="C69" t="str">
            <v>N/HT</v>
          </cell>
          <cell r="D69">
            <v>0</v>
          </cell>
          <cell r="F69" t="e">
            <v>#N/A</v>
          </cell>
          <cell r="G69" t="e">
            <v>#N/A</v>
          </cell>
          <cell r="H69" t="e">
            <v>#N/A</v>
          </cell>
          <cell r="I69">
            <v>1</v>
          </cell>
          <cell r="J69">
            <v>1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</row>
        <row r="70">
          <cell r="C70" t="str">
            <v>N/HT</v>
          </cell>
          <cell r="D70">
            <v>0</v>
          </cell>
          <cell r="F70" t="e">
            <v>#N/A</v>
          </cell>
          <cell r="G70" t="e">
            <v>#N/A</v>
          </cell>
          <cell r="H70" t="e">
            <v>#N/A</v>
          </cell>
          <cell r="I70">
            <v>1</v>
          </cell>
          <cell r="J70">
            <v>1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</row>
        <row r="71">
          <cell r="C71" t="str">
            <v>N/HT</v>
          </cell>
          <cell r="D71">
            <v>0</v>
          </cell>
          <cell r="F71" t="e">
            <v>#N/A</v>
          </cell>
          <cell r="G71" t="e">
            <v>#N/A</v>
          </cell>
          <cell r="H71" t="e">
            <v>#N/A</v>
          </cell>
          <cell r="I71">
            <v>1</v>
          </cell>
          <cell r="J71">
            <v>1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</row>
        <row r="73">
          <cell r="C73" t="str">
            <v>No. Parte Htal:</v>
          </cell>
          <cell r="D73" t="str">
            <v>RQ</v>
          </cell>
          <cell r="E73" t="str">
            <v>Inventario</v>
          </cell>
          <cell r="F73" t="str">
            <v>Pz / Herramental</v>
          </cell>
          <cell r="G73" t="str">
            <v>Tiempo Entrega</v>
          </cell>
          <cell r="H73" t="str">
            <v>Mín</v>
          </cell>
          <cell r="I73" t="str">
            <v>Pto. Reorden</v>
          </cell>
          <cell r="J73" t="str">
            <v>Máx</v>
          </cell>
          <cell r="K73" t="str">
            <v>Mín</v>
          </cell>
          <cell r="L73" t="str">
            <v>Pto. Reorden</v>
          </cell>
          <cell r="M73" t="str">
            <v>Máx</v>
          </cell>
          <cell r="N73" t="str">
            <v>STATUS</v>
          </cell>
        </row>
        <row r="74">
          <cell r="C74" t="str">
            <v>HTJA030156</v>
          </cell>
          <cell r="D74">
            <v>23450.400000000001</v>
          </cell>
          <cell r="E74">
            <v>5</v>
          </cell>
          <cell r="F74">
            <v>40000</v>
          </cell>
          <cell r="G74">
            <v>7</v>
          </cell>
          <cell r="H74">
            <v>1</v>
          </cell>
          <cell r="I74">
            <v>1</v>
          </cell>
          <cell r="J74">
            <v>1</v>
          </cell>
          <cell r="K74">
            <v>1</v>
          </cell>
          <cell r="L74">
            <v>2</v>
          </cell>
          <cell r="M74">
            <v>3</v>
          </cell>
          <cell r="N74" t="str">
            <v>SOBREINVENTARIO</v>
          </cell>
        </row>
        <row r="75">
          <cell r="C75" t="str">
            <v>HTJA030172</v>
          </cell>
          <cell r="D75">
            <v>23450.400000000001</v>
          </cell>
          <cell r="E75">
            <v>1</v>
          </cell>
          <cell r="F75">
            <v>40000</v>
          </cell>
          <cell r="G75">
            <v>15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2</v>
          </cell>
          <cell r="M75">
            <v>3</v>
          </cell>
          <cell r="N75" t="str">
            <v>PEDIR</v>
          </cell>
        </row>
        <row r="76">
          <cell r="C76" t="str">
            <v>N/HT</v>
          </cell>
          <cell r="D76">
            <v>0</v>
          </cell>
          <cell r="F76" t="e">
            <v>#N/A</v>
          </cell>
          <cell r="G76" t="e">
            <v>#N/A</v>
          </cell>
          <cell r="H76" t="e">
            <v>#N/A</v>
          </cell>
          <cell r="I76">
            <v>1</v>
          </cell>
          <cell r="J76">
            <v>1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</row>
        <row r="77">
          <cell r="C77" t="str">
            <v>N/HT</v>
          </cell>
          <cell r="D77">
            <v>0</v>
          </cell>
          <cell r="F77" t="e">
            <v>#N/A</v>
          </cell>
          <cell r="G77" t="e">
            <v>#N/A</v>
          </cell>
          <cell r="H77" t="e">
            <v>#N/A</v>
          </cell>
          <cell r="I77">
            <v>1</v>
          </cell>
          <cell r="J77">
            <v>1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</row>
        <row r="78">
          <cell r="C78" t="str">
            <v>N/HT</v>
          </cell>
          <cell r="D78">
            <v>0</v>
          </cell>
          <cell r="F78" t="e">
            <v>#N/A</v>
          </cell>
          <cell r="G78" t="e">
            <v>#N/A</v>
          </cell>
          <cell r="H78" t="e">
            <v>#N/A</v>
          </cell>
          <cell r="I78">
            <v>1</v>
          </cell>
          <cell r="J78">
            <v>1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</row>
        <row r="79">
          <cell r="C79" t="str">
            <v>N/HT</v>
          </cell>
          <cell r="D79">
            <v>0</v>
          </cell>
          <cell r="F79" t="e">
            <v>#N/A</v>
          </cell>
          <cell r="G79" t="e">
            <v>#N/A</v>
          </cell>
          <cell r="H79" t="e">
            <v>#N/A</v>
          </cell>
          <cell r="I79">
            <v>1</v>
          </cell>
          <cell r="J79">
            <v>1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</row>
        <row r="80">
          <cell r="C80" t="str">
            <v>N/HT</v>
          </cell>
          <cell r="D80">
            <v>0</v>
          </cell>
          <cell r="F80" t="e">
            <v>#N/A</v>
          </cell>
          <cell r="G80" t="e">
            <v>#N/A</v>
          </cell>
          <cell r="H80" t="e">
            <v>#N/A</v>
          </cell>
          <cell r="I80">
            <v>1</v>
          </cell>
          <cell r="J80">
            <v>1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</row>
        <row r="81">
          <cell r="C81" t="str">
            <v>N/HT</v>
          </cell>
          <cell r="D81">
            <v>0</v>
          </cell>
          <cell r="F81" t="e">
            <v>#N/A</v>
          </cell>
          <cell r="G81" t="e">
            <v>#N/A</v>
          </cell>
          <cell r="H81" t="e">
            <v>#N/A</v>
          </cell>
          <cell r="I81">
            <v>1</v>
          </cell>
          <cell r="J81">
            <v>1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</row>
        <row r="82">
          <cell r="C82" t="str">
            <v>N/HT</v>
          </cell>
          <cell r="D82">
            <v>0</v>
          </cell>
          <cell r="F82" t="e">
            <v>#N/A</v>
          </cell>
          <cell r="G82" t="e">
            <v>#N/A</v>
          </cell>
          <cell r="H82" t="e">
            <v>#N/A</v>
          </cell>
          <cell r="I82">
            <v>1</v>
          </cell>
          <cell r="J82">
            <v>1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</row>
        <row r="83">
          <cell r="C83" t="str">
            <v>N/HT</v>
          </cell>
          <cell r="D83">
            <v>0</v>
          </cell>
          <cell r="F83" t="e">
            <v>#N/A</v>
          </cell>
          <cell r="G83" t="e">
            <v>#N/A</v>
          </cell>
          <cell r="H83" t="e">
            <v>#N/A</v>
          </cell>
          <cell r="I83">
            <v>1</v>
          </cell>
          <cell r="J83">
            <v>1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</row>
        <row r="84">
          <cell r="C84" t="str">
            <v>N/HT</v>
          </cell>
          <cell r="D84">
            <v>0</v>
          </cell>
          <cell r="F84" t="e">
            <v>#N/A</v>
          </cell>
          <cell r="G84" t="e">
            <v>#N/A</v>
          </cell>
          <cell r="H84" t="e">
            <v>#N/A</v>
          </cell>
          <cell r="I84">
            <v>1</v>
          </cell>
          <cell r="J84">
            <v>1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</row>
        <row r="85">
          <cell r="C85" t="str">
            <v>N/HT</v>
          </cell>
          <cell r="D85">
            <v>0</v>
          </cell>
          <cell r="F85" t="e">
            <v>#N/A</v>
          </cell>
          <cell r="G85" t="e">
            <v>#N/A</v>
          </cell>
          <cell r="H85" t="e">
            <v>#N/A</v>
          </cell>
          <cell r="I85">
            <v>1</v>
          </cell>
          <cell r="J85">
            <v>1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</row>
        <row r="86">
          <cell r="C86" t="str">
            <v>N/HT</v>
          </cell>
          <cell r="D86">
            <v>0</v>
          </cell>
          <cell r="F86" t="e">
            <v>#N/A</v>
          </cell>
          <cell r="G86" t="e">
            <v>#N/A</v>
          </cell>
          <cell r="H86" t="e">
            <v>#N/A</v>
          </cell>
          <cell r="I86">
            <v>1</v>
          </cell>
          <cell r="J86">
            <v>1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</row>
        <row r="87">
          <cell r="C87" t="str">
            <v>N/HT</v>
          </cell>
          <cell r="D87">
            <v>0</v>
          </cell>
          <cell r="F87" t="e">
            <v>#N/A</v>
          </cell>
          <cell r="G87" t="e">
            <v>#N/A</v>
          </cell>
          <cell r="H87" t="e">
            <v>#N/A</v>
          </cell>
          <cell r="I87">
            <v>1</v>
          </cell>
          <cell r="J87">
            <v>1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</row>
        <row r="88">
          <cell r="C88" t="str">
            <v>N/HT</v>
          </cell>
          <cell r="D88">
            <v>0</v>
          </cell>
          <cell r="F88" t="e">
            <v>#N/A</v>
          </cell>
          <cell r="G88" t="e">
            <v>#N/A</v>
          </cell>
          <cell r="H88" t="e">
            <v>#N/A</v>
          </cell>
          <cell r="I88">
            <v>1</v>
          </cell>
          <cell r="J88">
            <v>1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</row>
        <row r="89">
          <cell r="C89" t="str">
            <v>N/HT</v>
          </cell>
          <cell r="D89">
            <v>0</v>
          </cell>
          <cell r="F89" t="e">
            <v>#N/A</v>
          </cell>
          <cell r="G89" t="e">
            <v>#N/A</v>
          </cell>
          <cell r="H89" t="e">
            <v>#N/A</v>
          </cell>
          <cell r="I89">
            <v>1</v>
          </cell>
          <cell r="J89">
            <v>1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</row>
        <row r="90">
          <cell r="C90" t="str">
            <v>N/HT</v>
          </cell>
          <cell r="D90">
            <v>0</v>
          </cell>
          <cell r="F90" t="e">
            <v>#N/A</v>
          </cell>
          <cell r="G90" t="e">
            <v>#N/A</v>
          </cell>
          <cell r="H90" t="e">
            <v>#N/A</v>
          </cell>
          <cell r="I90">
            <v>1</v>
          </cell>
          <cell r="J90">
            <v>1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</row>
        <row r="91">
          <cell r="C91" t="str">
            <v>N/HT</v>
          </cell>
          <cell r="D91">
            <v>0</v>
          </cell>
          <cell r="F91" t="e">
            <v>#N/A</v>
          </cell>
          <cell r="G91" t="e">
            <v>#N/A</v>
          </cell>
          <cell r="H91" t="e">
            <v>#N/A</v>
          </cell>
          <cell r="I91">
            <v>1</v>
          </cell>
          <cell r="J91">
            <v>1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</row>
        <row r="92">
          <cell r="C92" t="str">
            <v>N/HT</v>
          </cell>
          <cell r="D92">
            <v>0</v>
          </cell>
          <cell r="F92" t="e">
            <v>#N/A</v>
          </cell>
          <cell r="G92" t="e">
            <v>#N/A</v>
          </cell>
          <cell r="H92" t="e">
            <v>#N/A</v>
          </cell>
          <cell r="I92">
            <v>1</v>
          </cell>
          <cell r="J92">
            <v>1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</row>
        <row r="93">
          <cell r="C93" t="str">
            <v>N/HT</v>
          </cell>
          <cell r="D93">
            <v>0</v>
          </cell>
          <cell r="F93" t="e">
            <v>#N/A</v>
          </cell>
          <cell r="G93" t="e">
            <v>#N/A</v>
          </cell>
          <cell r="H93" t="e">
            <v>#N/A</v>
          </cell>
          <cell r="I93">
            <v>1</v>
          </cell>
          <cell r="J93">
            <v>1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</row>
        <row r="94">
          <cell r="C94" t="str">
            <v>N/HT</v>
          </cell>
          <cell r="D94">
            <v>0</v>
          </cell>
          <cell r="F94" t="e">
            <v>#N/A</v>
          </cell>
          <cell r="G94" t="e">
            <v>#N/A</v>
          </cell>
          <cell r="H94" t="e">
            <v>#N/A</v>
          </cell>
          <cell r="I94">
            <v>1</v>
          </cell>
          <cell r="J94">
            <v>1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</row>
        <row r="95">
          <cell r="C95" t="str">
            <v>N/HT</v>
          </cell>
          <cell r="D95">
            <v>0</v>
          </cell>
          <cell r="F95" t="e">
            <v>#N/A</v>
          </cell>
          <cell r="G95" t="e">
            <v>#N/A</v>
          </cell>
          <cell r="H95" t="e">
            <v>#N/A</v>
          </cell>
          <cell r="I95">
            <v>1</v>
          </cell>
          <cell r="J95">
            <v>1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</row>
        <row r="96">
          <cell r="C96" t="str">
            <v>N/HT</v>
          </cell>
          <cell r="D96">
            <v>0</v>
          </cell>
          <cell r="F96" t="e">
            <v>#N/A</v>
          </cell>
          <cell r="G96" t="e">
            <v>#N/A</v>
          </cell>
          <cell r="H96" t="e">
            <v>#N/A</v>
          </cell>
          <cell r="I96">
            <v>1</v>
          </cell>
          <cell r="J96">
            <v>1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</row>
        <row r="97">
          <cell r="C97" t="str">
            <v>N/HT</v>
          </cell>
          <cell r="D97">
            <v>0</v>
          </cell>
          <cell r="F97" t="e">
            <v>#N/A</v>
          </cell>
          <cell r="G97" t="e">
            <v>#N/A</v>
          </cell>
          <cell r="H97" t="e">
            <v>#N/A</v>
          </cell>
          <cell r="I97">
            <v>1</v>
          </cell>
          <cell r="J97">
            <v>1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</row>
        <row r="98">
          <cell r="C98" t="str">
            <v>N/HT</v>
          </cell>
          <cell r="D98">
            <v>0</v>
          </cell>
          <cell r="F98" t="e">
            <v>#N/A</v>
          </cell>
          <cell r="G98" t="e">
            <v>#N/A</v>
          </cell>
          <cell r="H98" t="e">
            <v>#N/A</v>
          </cell>
          <cell r="I98">
            <v>1</v>
          </cell>
          <cell r="J98">
            <v>1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</row>
        <row r="99">
          <cell r="C99" t="str">
            <v>N/HT</v>
          </cell>
          <cell r="D99">
            <v>0</v>
          </cell>
          <cell r="F99" t="e">
            <v>#N/A</v>
          </cell>
          <cell r="G99" t="e">
            <v>#N/A</v>
          </cell>
          <cell r="H99" t="e">
            <v>#N/A</v>
          </cell>
          <cell r="I99">
            <v>1</v>
          </cell>
          <cell r="J99">
            <v>1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</row>
        <row r="100">
          <cell r="C100" t="str">
            <v>N/HT</v>
          </cell>
          <cell r="D100">
            <v>0</v>
          </cell>
          <cell r="F100" t="e">
            <v>#N/A</v>
          </cell>
          <cell r="G100" t="e">
            <v>#N/A</v>
          </cell>
          <cell r="H100" t="e">
            <v>#N/A</v>
          </cell>
          <cell r="I100">
            <v>1</v>
          </cell>
          <cell r="J100">
            <v>1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</row>
        <row r="101">
          <cell r="C101" t="str">
            <v>N/HT</v>
          </cell>
          <cell r="D101">
            <v>0</v>
          </cell>
          <cell r="F101" t="e">
            <v>#N/A</v>
          </cell>
          <cell r="G101" t="e">
            <v>#N/A</v>
          </cell>
          <cell r="H101" t="e">
            <v>#N/A</v>
          </cell>
          <cell r="I101">
            <v>1</v>
          </cell>
          <cell r="J101">
            <v>1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</row>
        <row r="102">
          <cell r="C102" t="str">
            <v>N/HT</v>
          </cell>
          <cell r="D102">
            <v>0</v>
          </cell>
          <cell r="F102" t="e">
            <v>#N/A</v>
          </cell>
          <cell r="G102" t="e">
            <v>#N/A</v>
          </cell>
          <cell r="H102" t="e">
            <v>#N/A</v>
          </cell>
          <cell r="I102">
            <v>1</v>
          </cell>
          <cell r="J102">
            <v>1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</row>
        <row r="103">
          <cell r="C103" t="str">
            <v>N/HT</v>
          </cell>
          <cell r="D103">
            <v>0</v>
          </cell>
          <cell r="F103" t="e">
            <v>#N/A</v>
          </cell>
          <cell r="G103" t="e">
            <v>#N/A</v>
          </cell>
          <cell r="H103" t="e">
            <v>#N/A</v>
          </cell>
          <cell r="I103">
            <v>1</v>
          </cell>
          <cell r="J103">
            <v>1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</row>
        <row r="104">
          <cell r="C104" t="str">
            <v>N/HT</v>
          </cell>
          <cell r="D104">
            <v>0</v>
          </cell>
          <cell r="F104" t="e">
            <v>#N/A</v>
          </cell>
          <cell r="G104" t="e">
            <v>#N/A</v>
          </cell>
          <cell r="H104" t="e">
            <v>#N/A</v>
          </cell>
          <cell r="I104">
            <v>1</v>
          </cell>
          <cell r="J104">
            <v>1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</row>
        <row r="105">
          <cell r="C105" t="str">
            <v>N/HT</v>
          </cell>
          <cell r="D105">
            <v>0</v>
          </cell>
          <cell r="F105" t="e">
            <v>#N/A</v>
          </cell>
          <cell r="G105" t="e">
            <v>#N/A</v>
          </cell>
          <cell r="H105" t="e">
            <v>#N/A</v>
          </cell>
          <cell r="I105">
            <v>1</v>
          </cell>
          <cell r="J105">
            <v>1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</row>
        <row r="107">
          <cell r="C107" t="str">
            <v>No. Parte Htal:</v>
          </cell>
          <cell r="D107" t="str">
            <v>RQ</v>
          </cell>
          <cell r="E107" t="str">
            <v>Inventario</v>
          </cell>
          <cell r="F107" t="str">
            <v>Pz / Herramental</v>
          </cell>
          <cell r="G107" t="str">
            <v>Tiempo Entrega</v>
          </cell>
          <cell r="H107" t="str">
            <v>Mín</v>
          </cell>
          <cell r="I107" t="str">
            <v>Pto. Reorden</v>
          </cell>
          <cell r="J107" t="str">
            <v>Máx</v>
          </cell>
          <cell r="K107" t="str">
            <v>Mín</v>
          </cell>
          <cell r="L107" t="str">
            <v>Pto. Reorden</v>
          </cell>
          <cell r="M107" t="str">
            <v>Máx</v>
          </cell>
          <cell r="N107" t="str">
            <v>STATUS</v>
          </cell>
        </row>
        <row r="108">
          <cell r="D108">
            <v>0</v>
          </cell>
          <cell r="F108" t="e">
            <v>#N/A</v>
          </cell>
          <cell r="G108" t="e">
            <v>#N/A</v>
          </cell>
          <cell r="H108" t="e">
            <v>#N/A</v>
          </cell>
          <cell r="I108">
            <v>1</v>
          </cell>
          <cell r="J108">
            <v>1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</row>
        <row r="109">
          <cell r="C109" t="str">
            <v>N/HT</v>
          </cell>
          <cell r="D109">
            <v>0</v>
          </cell>
          <cell r="F109" t="e">
            <v>#N/A</v>
          </cell>
          <cell r="G109" t="e">
            <v>#N/A</v>
          </cell>
          <cell r="H109" t="e">
            <v>#N/A</v>
          </cell>
          <cell r="I109">
            <v>1</v>
          </cell>
          <cell r="J109">
            <v>1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</row>
        <row r="110">
          <cell r="C110" t="str">
            <v>N/HT</v>
          </cell>
          <cell r="D110">
            <v>0</v>
          </cell>
          <cell r="F110" t="e">
            <v>#N/A</v>
          </cell>
          <cell r="G110" t="e">
            <v>#N/A</v>
          </cell>
          <cell r="H110" t="e">
            <v>#N/A</v>
          </cell>
          <cell r="I110">
            <v>1</v>
          </cell>
          <cell r="J110">
            <v>1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</row>
        <row r="111">
          <cell r="C111" t="str">
            <v>N/HT</v>
          </cell>
          <cell r="D111">
            <v>0</v>
          </cell>
          <cell r="F111" t="e">
            <v>#N/A</v>
          </cell>
          <cell r="G111" t="e">
            <v>#N/A</v>
          </cell>
          <cell r="H111" t="e">
            <v>#N/A</v>
          </cell>
          <cell r="I111">
            <v>1</v>
          </cell>
          <cell r="J111">
            <v>1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</row>
        <row r="112">
          <cell r="C112" t="str">
            <v>N/HT</v>
          </cell>
          <cell r="D112">
            <v>0</v>
          </cell>
          <cell r="F112" t="e">
            <v>#N/A</v>
          </cell>
          <cell r="G112" t="e">
            <v>#N/A</v>
          </cell>
          <cell r="H112" t="e">
            <v>#N/A</v>
          </cell>
          <cell r="I112">
            <v>1</v>
          </cell>
          <cell r="J112">
            <v>1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</row>
        <row r="113">
          <cell r="C113" t="str">
            <v>N/HT</v>
          </cell>
          <cell r="D113">
            <v>0</v>
          </cell>
          <cell r="F113" t="e">
            <v>#N/A</v>
          </cell>
          <cell r="G113" t="e">
            <v>#N/A</v>
          </cell>
          <cell r="H113" t="e">
            <v>#N/A</v>
          </cell>
          <cell r="I113">
            <v>1</v>
          </cell>
          <cell r="J113">
            <v>1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</row>
        <row r="114">
          <cell r="C114" t="str">
            <v>N/HT</v>
          </cell>
          <cell r="D114">
            <v>0</v>
          </cell>
          <cell r="F114" t="e">
            <v>#N/A</v>
          </cell>
          <cell r="G114" t="e">
            <v>#N/A</v>
          </cell>
          <cell r="H114" t="e">
            <v>#N/A</v>
          </cell>
          <cell r="I114">
            <v>1</v>
          </cell>
          <cell r="J114">
            <v>1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</row>
        <row r="115">
          <cell r="C115" t="str">
            <v>N/HT</v>
          </cell>
          <cell r="D115">
            <v>0</v>
          </cell>
          <cell r="F115" t="e">
            <v>#N/A</v>
          </cell>
          <cell r="G115" t="e">
            <v>#N/A</v>
          </cell>
          <cell r="H115" t="e">
            <v>#N/A</v>
          </cell>
          <cell r="I115">
            <v>1</v>
          </cell>
          <cell r="J115">
            <v>1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</row>
        <row r="116">
          <cell r="C116" t="str">
            <v>N/HT</v>
          </cell>
          <cell r="D116">
            <v>0</v>
          </cell>
          <cell r="F116" t="e">
            <v>#N/A</v>
          </cell>
          <cell r="G116" t="e">
            <v>#N/A</v>
          </cell>
          <cell r="H116" t="e">
            <v>#N/A</v>
          </cell>
          <cell r="I116">
            <v>1</v>
          </cell>
          <cell r="J116">
            <v>1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</row>
        <row r="117">
          <cell r="C117" t="str">
            <v>N/HT</v>
          </cell>
          <cell r="D117">
            <v>0</v>
          </cell>
          <cell r="F117" t="e">
            <v>#N/A</v>
          </cell>
          <cell r="G117" t="e">
            <v>#N/A</v>
          </cell>
          <cell r="H117" t="e">
            <v>#N/A</v>
          </cell>
          <cell r="I117">
            <v>1</v>
          </cell>
          <cell r="J117">
            <v>1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</row>
        <row r="118">
          <cell r="C118" t="str">
            <v>N/HT</v>
          </cell>
          <cell r="D118">
            <v>0</v>
          </cell>
          <cell r="F118" t="e">
            <v>#N/A</v>
          </cell>
          <cell r="G118" t="e">
            <v>#N/A</v>
          </cell>
          <cell r="H118" t="e">
            <v>#N/A</v>
          </cell>
          <cell r="I118">
            <v>1</v>
          </cell>
          <cell r="J118">
            <v>1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</row>
        <row r="119">
          <cell r="C119" t="str">
            <v>N/HT</v>
          </cell>
          <cell r="D119">
            <v>0</v>
          </cell>
          <cell r="F119" t="e">
            <v>#N/A</v>
          </cell>
          <cell r="G119" t="e">
            <v>#N/A</v>
          </cell>
          <cell r="H119" t="e">
            <v>#N/A</v>
          </cell>
          <cell r="I119">
            <v>1</v>
          </cell>
          <cell r="J119">
            <v>1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</row>
        <row r="120">
          <cell r="C120" t="str">
            <v>N/HT</v>
          </cell>
          <cell r="D120">
            <v>0</v>
          </cell>
          <cell r="F120" t="e">
            <v>#N/A</v>
          </cell>
          <cell r="G120" t="e">
            <v>#N/A</v>
          </cell>
          <cell r="H120" t="e">
            <v>#N/A</v>
          </cell>
          <cell r="I120">
            <v>1</v>
          </cell>
          <cell r="J120">
            <v>1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</row>
        <row r="121">
          <cell r="C121" t="str">
            <v>N/HT</v>
          </cell>
          <cell r="D121">
            <v>0</v>
          </cell>
          <cell r="F121" t="e">
            <v>#N/A</v>
          </cell>
          <cell r="G121" t="e">
            <v>#N/A</v>
          </cell>
          <cell r="H121" t="e">
            <v>#N/A</v>
          </cell>
          <cell r="I121">
            <v>1</v>
          </cell>
          <cell r="J121">
            <v>1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</row>
        <row r="122">
          <cell r="C122" t="str">
            <v>N/HT</v>
          </cell>
          <cell r="D122">
            <v>0</v>
          </cell>
          <cell r="F122" t="e">
            <v>#N/A</v>
          </cell>
          <cell r="G122" t="e">
            <v>#N/A</v>
          </cell>
          <cell r="H122" t="e">
            <v>#N/A</v>
          </cell>
          <cell r="I122">
            <v>1</v>
          </cell>
          <cell r="J122">
            <v>1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</row>
        <row r="123">
          <cell r="C123" t="str">
            <v>N/HT</v>
          </cell>
          <cell r="D123">
            <v>0</v>
          </cell>
          <cell r="F123" t="e">
            <v>#N/A</v>
          </cell>
          <cell r="G123" t="e">
            <v>#N/A</v>
          </cell>
          <cell r="H123" t="e">
            <v>#N/A</v>
          </cell>
          <cell r="I123">
            <v>1</v>
          </cell>
          <cell r="J123">
            <v>1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</row>
        <row r="124">
          <cell r="C124" t="str">
            <v>N/HT</v>
          </cell>
          <cell r="D124">
            <v>0</v>
          </cell>
          <cell r="F124" t="e">
            <v>#N/A</v>
          </cell>
          <cell r="G124" t="e">
            <v>#N/A</v>
          </cell>
          <cell r="H124" t="e">
            <v>#N/A</v>
          </cell>
          <cell r="I124">
            <v>1</v>
          </cell>
          <cell r="J124">
            <v>1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</row>
        <row r="125">
          <cell r="C125" t="str">
            <v>N/HT</v>
          </cell>
          <cell r="D125">
            <v>0</v>
          </cell>
          <cell r="F125" t="e">
            <v>#N/A</v>
          </cell>
          <cell r="G125" t="e">
            <v>#N/A</v>
          </cell>
          <cell r="H125" t="e">
            <v>#N/A</v>
          </cell>
          <cell r="I125">
            <v>1</v>
          </cell>
          <cell r="J125">
            <v>1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</row>
        <row r="126">
          <cell r="C126" t="str">
            <v>N/HT</v>
          </cell>
          <cell r="D126">
            <v>0</v>
          </cell>
          <cell r="F126" t="e">
            <v>#N/A</v>
          </cell>
          <cell r="G126" t="e">
            <v>#N/A</v>
          </cell>
          <cell r="H126" t="e">
            <v>#N/A</v>
          </cell>
          <cell r="I126">
            <v>1</v>
          </cell>
          <cell r="J126">
            <v>1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</row>
        <row r="127">
          <cell r="C127" t="str">
            <v>N/HT</v>
          </cell>
          <cell r="D127">
            <v>0</v>
          </cell>
          <cell r="F127" t="e">
            <v>#N/A</v>
          </cell>
          <cell r="G127" t="e">
            <v>#N/A</v>
          </cell>
          <cell r="H127" t="e">
            <v>#N/A</v>
          </cell>
          <cell r="I127">
            <v>1</v>
          </cell>
          <cell r="J127">
            <v>1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</row>
        <row r="128">
          <cell r="C128" t="str">
            <v>N/HT</v>
          </cell>
          <cell r="D128">
            <v>0</v>
          </cell>
          <cell r="F128" t="e">
            <v>#N/A</v>
          </cell>
          <cell r="G128" t="e">
            <v>#N/A</v>
          </cell>
          <cell r="H128" t="e">
            <v>#N/A</v>
          </cell>
          <cell r="I128">
            <v>1</v>
          </cell>
          <cell r="J128">
            <v>1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</row>
        <row r="129">
          <cell r="C129" t="str">
            <v>N/HT</v>
          </cell>
          <cell r="D129">
            <v>0</v>
          </cell>
          <cell r="F129" t="e">
            <v>#N/A</v>
          </cell>
          <cell r="G129" t="e">
            <v>#N/A</v>
          </cell>
          <cell r="H129" t="e">
            <v>#N/A</v>
          </cell>
          <cell r="I129">
            <v>1</v>
          </cell>
          <cell r="J129">
            <v>1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</row>
        <row r="130">
          <cell r="C130" t="str">
            <v>N/HT</v>
          </cell>
          <cell r="D130">
            <v>0</v>
          </cell>
          <cell r="F130" t="e">
            <v>#N/A</v>
          </cell>
          <cell r="G130" t="e">
            <v>#N/A</v>
          </cell>
          <cell r="H130" t="e">
            <v>#N/A</v>
          </cell>
          <cell r="I130">
            <v>1</v>
          </cell>
          <cell r="J130">
            <v>1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</row>
        <row r="131">
          <cell r="C131" t="str">
            <v>N/HT</v>
          </cell>
          <cell r="D131">
            <v>0</v>
          </cell>
          <cell r="F131" t="e">
            <v>#N/A</v>
          </cell>
          <cell r="G131" t="e">
            <v>#N/A</v>
          </cell>
          <cell r="H131" t="e">
            <v>#N/A</v>
          </cell>
          <cell r="I131">
            <v>1</v>
          </cell>
          <cell r="J131">
            <v>1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</row>
        <row r="132">
          <cell r="C132" t="str">
            <v>N/HT</v>
          </cell>
          <cell r="D132">
            <v>0</v>
          </cell>
          <cell r="F132" t="e">
            <v>#N/A</v>
          </cell>
          <cell r="G132" t="e">
            <v>#N/A</v>
          </cell>
          <cell r="H132" t="e">
            <v>#N/A</v>
          </cell>
          <cell r="I132">
            <v>1</v>
          </cell>
          <cell r="J132">
            <v>1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</row>
        <row r="133">
          <cell r="C133" t="str">
            <v>N/HT</v>
          </cell>
          <cell r="D133">
            <v>0</v>
          </cell>
          <cell r="F133" t="e">
            <v>#N/A</v>
          </cell>
          <cell r="G133" t="e">
            <v>#N/A</v>
          </cell>
          <cell r="H133" t="e">
            <v>#N/A</v>
          </cell>
          <cell r="I133">
            <v>1</v>
          </cell>
          <cell r="J133">
            <v>1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</row>
        <row r="134">
          <cell r="C134" t="str">
            <v>N/HT</v>
          </cell>
          <cell r="D134">
            <v>0</v>
          </cell>
          <cell r="F134" t="e">
            <v>#N/A</v>
          </cell>
          <cell r="G134" t="e">
            <v>#N/A</v>
          </cell>
          <cell r="H134" t="e">
            <v>#N/A</v>
          </cell>
          <cell r="I134">
            <v>1</v>
          </cell>
          <cell r="J134">
            <v>1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</row>
        <row r="135">
          <cell r="C135" t="str">
            <v>N/HT</v>
          </cell>
          <cell r="D135">
            <v>0</v>
          </cell>
          <cell r="F135" t="e">
            <v>#N/A</v>
          </cell>
          <cell r="G135" t="e">
            <v>#N/A</v>
          </cell>
          <cell r="H135" t="e">
            <v>#N/A</v>
          </cell>
          <cell r="I135">
            <v>1</v>
          </cell>
          <cell r="J135">
            <v>1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</row>
        <row r="136">
          <cell r="C136" t="str">
            <v>N/HT</v>
          </cell>
          <cell r="D136">
            <v>0</v>
          </cell>
          <cell r="F136" t="e">
            <v>#N/A</v>
          </cell>
          <cell r="G136" t="e">
            <v>#N/A</v>
          </cell>
          <cell r="H136" t="e">
            <v>#N/A</v>
          </cell>
          <cell r="I136">
            <v>1</v>
          </cell>
          <cell r="J136">
            <v>1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</row>
        <row r="137">
          <cell r="C137" t="str">
            <v>N/HT</v>
          </cell>
          <cell r="D137">
            <v>0</v>
          </cell>
          <cell r="F137" t="e">
            <v>#N/A</v>
          </cell>
          <cell r="G137" t="e">
            <v>#N/A</v>
          </cell>
          <cell r="H137" t="e">
            <v>#N/A</v>
          </cell>
          <cell r="I137">
            <v>1</v>
          </cell>
          <cell r="J137">
            <v>1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</row>
        <row r="138">
          <cell r="C138" t="str">
            <v>N/HT</v>
          </cell>
          <cell r="D138">
            <v>0</v>
          </cell>
          <cell r="F138" t="e">
            <v>#N/A</v>
          </cell>
          <cell r="G138" t="e">
            <v>#N/A</v>
          </cell>
          <cell r="H138" t="e">
            <v>#N/A</v>
          </cell>
          <cell r="I138">
            <v>1</v>
          </cell>
          <cell r="J138">
            <v>1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</row>
        <row r="140">
          <cell r="C140" t="str">
            <v>No. Parte Htal:</v>
          </cell>
          <cell r="D140" t="str">
            <v>RQ</v>
          </cell>
          <cell r="E140" t="str">
            <v>Inventario</v>
          </cell>
          <cell r="F140" t="str">
            <v>Pz / Herramental</v>
          </cell>
          <cell r="G140" t="str">
            <v>Tiempo Entrega</v>
          </cell>
          <cell r="H140" t="str">
            <v>Mín</v>
          </cell>
          <cell r="I140" t="str">
            <v>Pto. Reorden</v>
          </cell>
          <cell r="J140" t="str">
            <v>Máx</v>
          </cell>
          <cell r="K140" t="str">
            <v>Mín</v>
          </cell>
          <cell r="L140" t="str">
            <v>Pto. Reorden</v>
          </cell>
          <cell r="M140" t="str">
            <v>Máx</v>
          </cell>
          <cell r="N140" t="str">
            <v>STATUS</v>
          </cell>
        </row>
        <row r="141">
          <cell r="C141" t="str">
            <v>HTJA030042</v>
          </cell>
          <cell r="D141">
            <v>140222.40000000002</v>
          </cell>
          <cell r="E141">
            <v>11</v>
          </cell>
          <cell r="F141">
            <v>40000</v>
          </cell>
          <cell r="G141">
            <v>15</v>
          </cell>
          <cell r="H141">
            <v>3</v>
          </cell>
          <cell r="I141">
            <v>1</v>
          </cell>
          <cell r="J141">
            <v>1</v>
          </cell>
          <cell r="K141">
            <v>3</v>
          </cell>
          <cell r="L141">
            <v>4</v>
          </cell>
          <cell r="M141">
            <v>5</v>
          </cell>
          <cell r="N141" t="str">
            <v>SOBREINVENTARIO</v>
          </cell>
        </row>
        <row r="142">
          <cell r="C142" t="str">
            <v>HTJA030049</v>
          </cell>
          <cell r="D142">
            <v>140222.40000000002</v>
          </cell>
          <cell r="E142">
            <v>0</v>
          </cell>
          <cell r="F142">
            <v>100000</v>
          </cell>
          <cell r="G142">
            <v>15</v>
          </cell>
          <cell r="H142">
            <v>1</v>
          </cell>
          <cell r="I142">
            <v>1</v>
          </cell>
          <cell r="J142">
            <v>1</v>
          </cell>
          <cell r="K142">
            <v>1</v>
          </cell>
          <cell r="L142">
            <v>2</v>
          </cell>
          <cell r="M142">
            <v>3</v>
          </cell>
          <cell r="N142" t="str">
            <v>URGENTE</v>
          </cell>
        </row>
        <row r="143">
          <cell r="C143" t="str">
            <v>HTJA030182</v>
          </cell>
          <cell r="D143">
            <v>140222.40000000002</v>
          </cell>
          <cell r="E143">
            <v>3</v>
          </cell>
          <cell r="F143">
            <v>500000</v>
          </cell>
          <cell r="G143">
            <v>15</v>
          </cell>
          <cell r="H143">
            <v>1</v>
          </cell>
          <cell r="I143">
            <v>1</v>
          </cell>
          <cell r="J143">
            <v>1</v>
          </cell>
          <cell r="K143">
            <v>1</v>
          </cell>
          <cell r="L143">
            <v>2</v>
          </cell>
          <cell r="M143">
            <v>3</v>
          </cell>
          <cell r="N143" t="str">
            <v>OK</v>
          </cell>
        </row>
        <row r="144">
          <cell r="C144" t="str">
            <v>HTJA030078</v>
          </cell>
          <cell r="D144">
            <v>140222.40000000002</v>
          </cell>
          <cell r="E144">
            <v>0</v>
          </cell>
          <cell r="F144">
            <v>500000</v>
          </cell>
          <cell r="G144">
            <v>15</v>
          </cell>
          <cell r="H144">
            <v>1</v>
          </cell>
          <cell r="I144">
            <v>1</v>
          </cell>
          <cell r="J144">
            <v>1</v>
          </cell>
          <cell r="K144">
            <v>1</v>
          </cell>
          <cell r="L144">
            <v>2</v>
          </cell>
          <cell r="M144">
            <v>3</v>
          </cell>
          <cell r="N144" t="str">
            <v>URGENTE</v>
          </cell>
        </row>
        <row r="145">
          <cell r="C145" t="str">
            <v>HTJA030085</v>
          </cell>
          <cell r="D145">
            <v>140222.40000000002</v>
          </cell>
          <cell r="E145">
            <v>2</v>
          </cell>
          <cell r="F145">
            <v>500000</v>
          </cell>
          <cell r="G145">
            <v>15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2</v>
          </cell>
          <cell r="M145">
            <v>3</v>
          </cell>
          <cell r="N145" t="str">
            <v>PEDIR</v>
          </cell>
        </row>
        <row r="146">
          <cell r="C146" t="str">
            <v>HTJA030087</v>
          </cell>
          <cell r="D146">
            <v>140222.40000000002</v>
          </cell>
          <cell r="E146">
            <v>2</v>
          </cell>
          <cell r="F146">
            <v>100000</v>
          </cell>
          <cell r="G146">
            <v>10</v>
          </cell>
          <cell r="H146">
            <v>1</v>
          </cell>
          <cell r="I146">
            <v>1</v>
          </cell>
          <cell r="J146">
            <v>1</v>
          </cell>
          <cell r="K146">
            <v>1</v>
          </cell>
          <cell r="L146">
            <v>2</v>
          </cell>
          <cell r="M146">
            <v>3</v>
          </cell>
          <cell r="N146" t="str">
            <v>PEDIR</v>
          </cell>
        </row>
        <row r="147">
          <cell r="C147" t="str">
            <v>HTJA030180</v>
          </cell>
          <cell r="D147">
            <v>140222.40000000002</v>
          </cell>
          <cell r="E147">
            <v>1</v>
          </cell>
          <cell r="F147">
            <v>500000</v>
          </cell>
          <cell r="G147">
            <v>15</v>
          </cell>
          <cell r="H147">
            <v>1</v>
          </cell>
          <cell r="I147">
            <v>1</v>
          </cell>
          <cell r="J147">
            <v>1</v>
          </cell>
          <cell r="K147">
            <v>1</v>
          </cell>
          <cell r="L147">
            <v>2</v>
          </cell>
          <cell r="M147">
            <v>3</v>
          </cell>
          <cell r="N147" t="str">
            <v>PEDIR</v>
          </cell>
        </row>
        <row r="148">
          <cell r="D148">
            <v>0</v>
          </cell>
          <cell r="F148" t="e">
            <v>#N/A</v>
          </cell>
          <cell r="G148" t="e">
            <v>#N/A</v>
          </cell>
          <cell r="H148" t="e">
            <v>#N/A</v>
          </cell>
          <cell r="I148">
            <v>1</v>
          </cell>
          <cell r="J148">
            <v>1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</row>
        <row r="149">
          <cell r="D149">
            <v>0</v>
          </cell>
          <cell r="F149" t="e">
            <v>#N/A</v>
          </cell>
          <cell r="G149" t="e">
            <v>#N/A</v>
          </cell>
          <cell r="H149" t="e">
            <v>#N/A</v>
          </cell>
          <cell r="I149">
            <v>1</v>
          </cell>
          <cell r="J149">
            <v>1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</row>
        <row r="150">
          <cell r="D150">
            <v>0</v>
          </cell>
          <cell r="F150" t="e">
            <v>#N/A</v>
          </cell>
          <cell r="G150" t="e">
            <v>#N/A</v>
          </cell>
          <cell r="H150" t="e">
            <v>#N/A</v>
          </cell>
          <cell r="I150">
            <v>1</v>
          </cell>
          <cell r="J150">
            <v>1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</row>
        <row r="151">
          <cell r="D151">
            <v>0</v>
          </cell>
          <cell r="F151" t="e">
            <v>#N/A</v>
          </cell>
          <cell r="G151" t="e">
            <v>#N/A</v>
          </cell>
          <cell r="H151" t="e">
            <v>#N/A</v>
          </cell>
          <cell r="I151">
            <v>1</v>
          </cell>
          <cell r="J151">
            <v>1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</row>
        <row r="152">
          <cell r="D152">
            <v>0</v>
          </cell>
          <cell r="F152" t="e">
            <v>#N/A</v>
          </cell>
          <cell r="G152" t="e">
            <v>#N/A</v>
          </cell>
          <cell r="H152" t="e">
            <v>#N/A</v>
          </cell>
          <cell r="I152">
            <v>1</v>
          </cell>
          <cell r="J152">
            <v>1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</row>
        <row r="153">
          <cell r="D153">
            <v>0</v>
          </cell>
          <cell r="E153">
            <v>1</v>
          </cell>
          <cell r="F153" t="e">
            <v>#N/A</v>
          </cell>
          <cell r="G153" t="e">
            <v>#N/A</v>
          </cell>
          <cell r="H153" t="e">
            <v>#N/A</v>
          </cell>
          <cell r="I153">
            <v>1</v>
          </cell>
          <cell r="J153">
            <v>1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</row>
        <row r="154">
          <cell r="C154" t="str">
            <v>N/HT</v>
          </cell>
          <cell r="D154">
            <v>0</v>
          </cell>
          <cell r="F154" t="e">
            <v>#N/A</v>
          </cell>
          <cell r="G154" t="e">
            <v>#N/A</v>
          </cell>
          <cell r="H154" t="e">
            <v>#N/A</v>
          </cell>
          <cell r="I154">
            <v>1</v>
          </cell>
          <cell r="J154">
            <v>1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</row>
        <row r="155">
          <cell r="C155" t="str">
            <v>N/HT</v>
          </cell>
          <cell r="D155">
            <v>0</v>
          </cell>
          <cell r="F155" t="e">
            <v>#N/A</v>
          </cell>
          <cell r="G155" t="e">
            <v>#N/A</v>
          </cell>
          <cell r="H155" t="e">
            <v>#N/A</v>
          </cell>
          <cell r="I155">
            <v>1</v>
          </cell>
          <cell r="J155">
            <v>1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</row>
        <row r="156">
          <cell r="C156" t="str">
            <v>N/HT</v>
          </cell>
          <cell r="D156">
            <v>0</v>
          </cell>
          <cell r="F156" t="e">
            <v>#N/A</v>
          </cell>
          <cell r="G156" t="e">
            <v>#N/A</v>
          </cell>
          <cell r="H156" t="e">
            <v>#N/A</v>
          </cell>
          <cell r="I156">
            <v>1</v>
          </cell>
          <cell r="J156">
            <v>1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</row>
        <row r="157">
          <cell r="C157" t="str">
            <v>N/HT</v>
          </cell>
          <cell r="D157">
            <v>0</v>
          </cell>
          <cell r="F157" t="e">
            <v>#N/A</v>
          </cell>
          <cell r="G157" t="e">
            <v>#N/A</v>
          </cell>
          <cell r="H157" t="e">
            <v>#N/A</v>
          </cell>
          <cell r="I157">
            <v>1</v>
          </cell>
          <cell r="J157">
            <v>1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</row>
        <row r="158">
          <cell r="C158" t="str">
            <v>N/HT</v>
          </cell>
          <cell r="D158">
            <v>0</v>
          </cell>
          <cell r="F158" t="e">
            <v>#N/A</v>
          </cell>
          <cell r="G158" t="e">
            <v>#N/A</v>
          </cell>
          <cell r="H158" t="e">
            <v>#N/A</v>
          </cell>
          <cell r="I158">
            <v>1</v>
          </cell>
          <cell r="J158">
            <v>1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</row>
        <row r="159">
          <cell r="C159" t="str">
            <v>N/HT</v>
          </cell>
          <cell r="D159">
            <v>0</v>
          </cell>
          <cell r="F159" t="e">
            <v>#N/A</v>
          </cell>
          <cell r="G159" t="e">
            <v>#N/A</v>
          </cell>
          <cell r="H159" t="e">
            <v>#N/A</v>
          </cell>
          <cell r="I159">
            <v>1</v>
          </cell>
          <cell r="J159">
            <v>1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</row>
        <row r="160">
          <cell r="C160" t="str">
            <v>N/HT</v>
          </cell>
          <cell r="D160">
            <v>0</v>
          </cell>
          <cell r="F160" t="e">
            <v>#N/A</v>
          </cell>
          <cell r="G160" t="e">
            <v>#N/A</v>
          </cell>
          <cell r="H160" t="e">
            <v>#N/A</v>
          </cell>
          <cell r="I160">
            <v>1</v>
          </cell>
          <cell r="J160">
            <v>1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</row>
        <row r="161">
          <cell r="C161" t="str">
            <v>N/HT</v>
          </cell>
          <cell r="D161">
            <v>0</v>
          </cell>
          <cell r="F161" t="e">
            <v>#N/A</v>
          </cell>
          <cell r="G161" t="e">
            <v>#N/A</v>
          </cell>
          <cell r="H161" t="e">
            <v>#N/A</v>
          </cell>
          <cell r="I161">
            <v>1</v>
          </cell>
          <cell r="J161">
            <v>1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</row>
        <row r="162">
          <cell r="C162" t="str">
            <v>N/HT</v>
          </cell>
          <cell r="D162">
            <v>0</v>
          </cell>
          <cell r="F162" t="e">
            <v>#N/A</v>
          </cell>
          <cell r="G162" t="e">
            <v>#N/A</v>
          </cell>
          <cell r="H162" t="e">
            <v>#N/A</v>
          </cell>
          <cell r="I162">
            <v>1</v>
          </cell>
          <cell r="J162">
            <v>1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</row>
        <row r="163">
          <cell r="C163" t="str">
            <v>N/HT</v>
          </cell>
          <cell r="D163">
            <v>0</v>
          </cell>
          <cell r="F163" t="e">
            <v>#N/A</v>
          </cell>
          <cell r="G163" t="e">
            <v>#N/A</v>
          </cell>
          <cell r="H163" t="e">
            <v>#N/A</v>
          </cell>
          <cell r="I163">
            <v>1</v>
          </cell>
          <cell r="J163">
            <v>1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</row>
        <row r="164">
          <cell r="C164" t="str">
            <v>N/HT</v>
          </cell>
          <cell r="D164">
            <v>0</v>
          </cell>
          <cell r="F164" t="e">
            <v>#N/A</v>
          </cell>
          <cell r="G164" t="e">
            <v>#N/A</v>
          </cell>
          <cell r="H164" t="e">
            <v>#N/A</v>
          </cell>
          <cell r="I164">
            <v>1</v>
          </cell>
          <cell r="J164">
            <v>1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</row>
        <row r="165">
          <cell r="C165" t="str">
            <v>N/HT</v>
          </cell>
          <cell r="D165">
            <v>0</v>
          </cell>
          <cell r="F165" t="e">
            <v>#N/A</v>
          </cell>
          <cell r="G165" t="e">
            <v>#N/A</v>
          </cell>
          <cell r="H165" t="e">
            <v>#N/A</v>
          </cell>
          <cell r="I165">
            <v>1</v>
          </cell>
          <cell r="J165">
            <v>1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</row>
        <row r="166">
          <cell r="C166" t="str">
            <v>N/HT</v>
          </cell>
          <cell r="D166">
            <v>0</v>
          </cell>
          <cell r="F166" t="e">
            <v>#N/A</v>
          </cell>
          <cell r="G166" t="e">
            <v>#N/A</v>
          </cell>
          <cell r="H166" t="e">
            <v>#N/A</v>
          </cell>
          <cell r="I166">
            <v>1</v>
          </cell>
          <cell r="J166">
            <v>1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</row>
        <row r="167">
          <cell r="C167" t="str">
            <v>N/HT</v>
          </cell>
          <cell r="D167">
            <v>0</v>
          </cell>
          <cell r="F167" t="e">
            <v>#N/A</v>
          </cell>
          <cell r="G167" t="e">
            <v>#N/A</v>
          </cell>
          <cell r="H167" t="e">
            <v>#N/A</v>
          </cell>
          <cell r="I167">
            <v>1</v>
          </cell>
          <cell r="J167">
            <v>1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</row>
        <row r="168">
          <cell r="C168" t="str">
            <v>N/HT</v>
          </cell>
          <cell r="D168">
            <v>0</v>
          </cell>
          <cell r="F168" t="e">
            <v>#N/A</v>
          </cell>
          <cell r="G168" t="e">
            <v>#N/A</v>
          </cell>
          <cell r="H168" t="e">
            <v>#N/A</v>
          </cell>
          <cell r="I168">
            <v>1</v>
          </cell>
          <cell r="J168">
            <v>1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</row>
        <row r="169">
          <cell r="C169" t="str">
            <v>N/HT</v>
          </cell>
          <cell r="D169">
            <v>0</v>
          </cell>
          <cell r="F169" t="e">
            <v>#N/A</v>
          </cell>
          <cell r="G169" t="e">
            <v>#N/A</v>
          </cell>
          <cell r="H169" t="e">
            <v>#N/A</v>
          </cell>
          <cell r="I169">
            <v>1</v>
          </cell>
          <cell r="J169">
            <v>1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</row>
        <row r="170">
          <cell r="C170" t="str">
            <v>N/HT</v>
          </cell>
          <cell r="D170">
            <v>0</v>
          </cell>
          <cell r="F170" t="e">
            <v>#N/A</v>
          </cell>
          <cell r="G170" t="e">
            <v>#N/A</v>
          </cell>
          <cell r="H170" t="e">
            <v>#N/A</v>
          </cell>
          <cell r="I170">
            <v>1</v>
          </cell>
          <cell r="J170">
            <v>1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</row>
        <row r="171">
          <cell r="C171" t="str">
            <v>N/HT</v>
          </cell>
          <cell r="D171">
            <v>0</v>
          </cell>
          <cell r="F171" t="e">
            <v>#N/A</v>
          </cell>
          <cell r="G171" t="e">
            <v>#N/A</v>
          </cell>
          <cell r="H171" t="e">
            <v>#N/A</v>
          </cell>
          <cell r="I171">
            <v>1</v>
          </cell>
          <cell r="J171">
            <v>1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</row>
        <row r="172">
          <cell r="C172" t="str">
            <v>N/HT</v>
          </cell>
          <cell r="D172">
            <v>0</v>
          </cell>
          <cell r="F172" t="e">
            <v>#N/A</v>
          </cell>
          <cell r="G172" t="e">
            <v>#N/A</v>
          </cell>
          <cell r="H172" t="e">
            <v>#N/A</v>
          </cell>
          <cell r="I172">
            <v>1</v>
          </cell>
          <cell r="J172">
            <v>1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</row>
        <row r="174">
          <cell r="C174" t="str">
            <v>No. Parte Htal:</v>
          </cell>
          <cell r="D174" t="str">
            <v>RQ</v>
          </cell>
          <cell r="E174" t="str">
            <v>Inventario</v>
          </cell>
          <cell r="F174" t="str">
            <v>Pz / Herramental</v>
          </cell>
          <cell r="G174" t="str">
            <v>Tiempo Entrega</v>
          </cell>
          <cell r="H174" t="str">
            <v>Mín</v>
          </cell>
          <cell r="I174" t="str">
            <v>Pto. Reorden</v>
          </cell>
          <cell r="J174" t="str">
            <v>Máx</v>
          </cell>
          <cell r="K174" t="str">
            <v>Mín</v>
          </cell>
          <cell r="L174" t="str">
            <v>Pto. Reorden</v>
          </cell>
          <cell r="M174" t="str">
            <v>Máx</v>
          </cell>
          <cell r="N174" t="str">
            <v>STATUS</v>
          </cell>
        </row>
        <row r="175">
          <cell r="D175">
            <v>0</v>
          </cell>
          <cell r="F175" t="e">
            <v>#N/A</v>
          </cell>
          <cell r="G175" t="e">
            <v>#N/A</v>
          </cell>
          <cell r="H175" t="e">
            <v>#N/A</v>
          </cell>
          <cell r="I175">
            <v>1</v>
          </cell>
          <cell r="J175">
            <v>1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</row>
        <row r="176">
          <cell r="C176" t="str">
            <v>N/HT</v>
          </cell>
          <cell r="D176">
            <v>0</v>
          </cell>
          <cell r="F176" t="e">
            <v>#N/A</v>
          </cell>
          <cell r="G176" t="e">
            <v>#N/A</v>
          </cell>
          <cell r="H176" t="e">
            <v>#N/A</v>
          </cell>
          <cell r="I176">
            <v>1</v>
          </cell>
          <cell r="J176">
            <v>1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</row>
        <row r="177">
          <cell r="C177" t="str">
            <v>N/HT</v>
          </cell>
          <cell r="D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>
            <v>1</v>
          </cell>
          <cell r="J177">
            <v>1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</row>
        <row r="178">
          <cell r="C178" t="str">
            <v>N/HT</v>
          </cell>
          <cell r="D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>
            <v>1</v>
          </cell>
          <cell r="J178">
            <v>1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</row>
        <row r="179">
          <cell r="C179" t="str">
            <v>N/HT</v>
          </cell>
          <cell r="D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>
            <v>1</v>
          </cell>
          <cell r="J179">
            <v>1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</row>
        <row r="180">
          <cell r="C180" t="str">
            <v>N/HT</v>
          </cell>
          <cell r="D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>
            <v>1</v>
          </cell>
          <cell r="J180">
            <v>1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</row>
        <row r="181">
          <cell r="C181" t="str">
            <v>N/HT</v>
          </cell>
          <cell r="D181">
            <v>0</v>
          </cell>
          <cell r="F181" t="e">
            <v>#N/A</v>
          </cell>
          <cell r="G181" t="e">
            <v>#N/A</v>
          </cell>
          <cell r="H181" t="e">
            <v>#N/A</v>
          </cell>
          <cell r="I181">
            <v>1</v>
          </cell>
          <cell r="J181">
            <v>1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</row>
        <row r="182">
          <cell r="C182" t="str">
            <v>N/HT</v>
          </cell>
          <cell r="D182">
            <v>0</v>
          </cell>
          <cell r="F182" t="e">
            <v>#N/A</v>
          </cell>
          <cell r="G182" t="e">
            <v>#N/A</v>
          </cell>
          <cell r="H182" t="e">
            <v>#N/A</v>
          </cell>
          <cell r="I182">
            <v>1</v>
          </cell>
          <cell r="J182">
            <v>1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</row>
        <row r="183">
          <cell r="C183" t="str">
            <v>N/HT</v>
          </cell>
          <cell r="D183">
            <v>0</v>
          </cell>
          <cell r="F183" t="e">
            <v>#N/A</v>
          </cell>
          <cell r="G183" t="e">
            <v>#N/A</v>
          </cell>
          <cell r="H183" t="e">
            <v>#N/A</v>
          </cell>
          <cell r="I183">
            <v>1</v>
          </cell>
          <cell r="J183">
            <v>1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</row>
        <row r="184">
          <cell r="C184" t="str">
            <v>N/HT</v>
          </cell>
          <cell r="D184">
            <v>0</v>
          </cell>
          <cell r="F184" t="e">
            <v>#N/A</v>
          </cell>
          <cell r="G184" t="e">
            <v>#N/A</v>
          </cell>
          <cell r="H184" t="e">
            <v>#N/A</v>
          </cell>
          <cell r="I184">
            <v>1</v>
          </cell>
          <cell r="J184">
            <v>1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</row>
        <row r="185">
          <cell r="C185" t="str">
            <v>N/HT</v>
          </cell>
          <cell r="D185">
            <v>0</v>
          </cell>
          <cell r="F185" t="e">
            <v>#N/A</v>
          </cell>
          <cell r="G185" t="e">
            <v>#N/A</v>
          </cell>
          <cell r="H185" t="e">
            <v>#N/A</v>
          </cell>
          <cell r="I185">
            <v>1</v>
          </cell>
          <cell r="J185">
            <v>1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</row>
        <row r="186">
          <cell r="C186" t="str">
            <v>N/HT</v>
          </cell>
          <cell r="D186">
            <v>0</v>
          </cell>
          <cell r="F186" t="e">
            <v>#N/A</v>
          </cell>
          <cell r="G186" t="e">
            <v>#N/A</v>
          </cell>
          <cell r="H186" t="e">
            <v>#N/A</v>
          </cell>
          <cell r="I186">
            <v>1</v>
          </cell>
          <cell r="J186">
            <v>1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</row>
        <row r="187">
          <cell r="C187" t="str">
            <v>N/HT</v>
          </cell>
          <cell r="D187">
            <v>0</v>
          </cell>
          <cell r="F187" t="e">
            <v>#N/A</v>
          </cell>
          <cell r="G187" t="e">
            <v>#N/A</v>
          </cell>
          <cell r="H187" t="e">
            <v>#N/A</v>
          </cell>
          <cell r="I187">
            <v>1</v>
          </cell>
          <cell r="J187">
            <v>1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</row>
        <row r="188">
          <cell r="C188" t="str">
            <v>N/HT</v>
          </cell>
          <cell r="D188">
            <v>0</v>
          </cell>
          <cell r="F188" t="e">
            <v>#N/A</v>
          </cell>
          <cell r="G188" t="e">
            <v>#N/A</v>
          </cell>
          <cell r="H188" t="e">
            <v>#N/A</v>
          </cell>
          <cell r="I188">
            <v>1</v>
          </cell>
          <cell r="J188">
            <v>1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</row>
        <row r="189">
          <cell r="C189" t="str">
            <v>N/HT</v>
          </cell>
          <cell r="D189">
            <v>0</v>
          </cell>
          <cell r="F189" t="e">
            <v>#N/A</v>
          </cell>
          <cell r="G189" t="e">
            <v>#N/A</v>
          </cell>
          <cell r="H189" t="e">
            <v>#N/A</v>
          </cell>
          <cell r="I189">
            <v>1</v>
          </cell>
          <cell r="J189">
            <v>1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</row>
        <row r="190">
          <cell r="C190" t="str">
            <v>N/HT</v>
          </cell>
          <cell r="D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>
            <v>1</v>
          </cell>
          <cell r="J190">
            <v>1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</row>
        <row r="191">
          <cell r="C191" t="str">
            <v>N/HT</v>
          </cell>
          <cell r="D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>
            <v>1</v>
          </cell>
          <cell r="J191">
            <v>1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</row>
        <row r="192">
          <cell r="C192" t="str">
            <v>N/HT</v>
          </cell>
          <cell r="D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>
            <v>1</v>
          </cell>
          <cell r="J192">
            <v>1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</row>
        <row r="193">
          <cell r="C193" t="str">
            <v>N/HT</v>
          </cell>
          <cell r="D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>
            <v>1</v>
          </cell>
          <cell r="J193">
            <v>1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</row>
        <row r="194">
          <cell r="C194" t="str">
            <v>N/HT</v>
          </cell>
          <cell r="D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>
            <v>1</v>
          </cell>
          <cell r="J194">
            <v>1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</row>
        <row r="195">
          <cell r="C195" t="str">
            <v>N/HT</v>
          </cell>
          <cell r="D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>
            <v>1</v>
          </cell>
          <cell r="J195">
            <v>1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</row>
        <row r="196">
          <cell r="C196" t="str">
            <v>N/HT</v>
          </cell>
          <cell r="D196">
            <v>0</v>
          </cell>
          <cell r="F196" t="e">
            <v>#N/A</v>
          </cell>
          <cell r="G196" t="e">
            <v>#N/A</v>
          </cell>
          <cell r="H196" t="e">
            <v>#N/A</v>
          </cell>
          <cell r="I196">
            <v>1</v>
          </cell>
          <cell r="J196">
            <v>1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</row>
        <row r="197">
          <cell r="C197" t="str">
            <v>N/HT</v>
          </cell>
          <cell r="D197">
            <v>0</v>
          </cell>
          <cell r="F197" t="e">
            <v>#N/A</v>
          </cell>
          <cell r="G197" t="e">
            <v>#N/A</v>
          </cell>
          <cell r="H197" t="e">
            <v>#N/A</v>
          </cell>
          <cell r="I197">
            <v>1</v>
          </cell>
          <cell r="J197">
            <v>1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</row>
        <row r="198">
          <cell r="C198" t="str">
            <v>N/HT</v>
          </cell>
          <cell r="D198">
            <v>0</v>
          </cell>
          <cell r="F198" t="e">
            <v>#N/A</v>
          </cell>
          <cell r="G198" t="e">
            <v>#N/A</v>
          </cell>
          <cell r="H198" t="e">
            <v>#N/A</v>
          </cell>
          <cell r="I198">
            <v>1</v>
          </cell>
          <cell r="J198">
            <v>1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</row>
        <row r="199">
          <cell r="C199" t="str">
            <v>N/HT</v>
          </cell>
          <cell r="D199">
            <v>0</v>
          </cell>
          <cell r="F199" t="e">
            <v>#N/A</v>
          </cell>
          <cell r="G199" t="e">
            <v>#N/A</v>
          </cell>
          <cell r="H199" t="e">
            <v>#N/A</v>
          </cell>
          <cell r="I199">
            <v>1</v>
          </cell>
          <cell r="J199">
            <v>1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</row>
        <row r="200">
          <cell r="C200" t="str">
            <v>N/HT</v>
          </cell>
          <cell r="D200">
            <v>0</v>
          </cell>
          <cell r="F200" t="e">
            <v>#N/A</v>
          </cell>
          <cell r="G200" t="e">
            <v>#N/A</v>
          </cell>
          <cell r="H200" t="e">
            <v>#N/A</v>
          </cell>
          <cell r="I200">
            <v>1</v>
          </cell>
          <cell r="J200">
            <v>1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</row>
        <row r="201">
          <cell r="C201" t="str">
            <v>N/HT</v>
          </cell>
          <cell r="D201">
            <v>0</v>
          </cell>
          <cell r="F201" t="e">
            <v>#N/A</v>
          </cell>
          <cell r="G201" t="e">
            <v>#N/A</v>
          </cell>
          <cell r="H201" t="e">
            <v>#N/A</v>
          </cell>
          <cell r="I201">
            <v>1</v>
          </cell>
          <cell r="J201">
            <v>1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</row>
        <row r="202">
          <cell r="C202" t="str">
            <v>N/HT</v>
          </cell>
          <cell r="D202">
            <v>0</v>
          </cell>
          <cell r="F202" t="e">
            <v>#N/A</v>
          </cell>
          <cell r="G202" t="e">
            <v>#N/A</v>
          </cell>
          <cell r="H202" t="e">
            <v>#N/A</v>
          </cell>
          <cell r="I202">
            <v>1</v>
          </cell>
          <cell r="J202">
            <v>1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</row>
        <row r="203">
          <cell r="C203" t="str">
            <v>N/HT</v>
          </cell>
          <cell r="D203">
            <v>0</v>
          </cell>
          <cell r="E203">
            <v>1</v>
          </cell>
          <cell r="F203" t="e">
            <v>#N/A</v>
          </cell>
          <cell r="G203" t="e">
            <v>#N/A</v>
          </cell>
          <cell r="H203" t="e">
            <v>#N/A</v>
          </cell>
          <cell r="I203">
            <v>1</v>
          </cell>
          <cell r="J203">
            <v>1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</row>
        <row r="204">
          <cell r="C204" t="str">
            <v>N/HT</v>
          </cell>
          <cell r="D204">
            <v>0</v>
          </cell>
          <cell r="F204" t="e">
            <v>#N/A</v>
          </cell>
          <cell r="G204" t="e">
            <v>#N/A</v>
          </cell>
          <cell r="H204" t="e">
            <v>#N/A</v>
          </cell>
          <cell r="I204">
            <v>1</v>
          </cell>
          <cell r="J204">
            <v>1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</row>
        <row r="205">
          <cell r="C205" t="str">
            <v>N/HT</v>
          </cell>
          <cell r="D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>
            <v>1</v>
          </cell>
          <cell r="J205">
            <v>1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</row>
        <row r="206">
          <cell r="C206" t="str">
            <v>N/HT</v>
          </cell>
          <cell r="D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>
            <v>1</v>
          </cell>
          <cell r="J206">
            <v>1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</row>
        <row r="208">
          <cell r="C208" t="str">
            <v>No. Parte Htal:</v>
          </cell>
          <cell r="D208" t="str">
            <v>RQ</v>
          </cell>
          <cell r="E208" t="str">
            <v>Inventario</v>
          </cell>
          <cell r="F208" t="str">
            <v>Pz / Herramental</v>
          </cell>
          <cell r="G208" t="str">
            <v>Tiempo Entrega</v>
          </cell>
          <cell r="H208" t="str">
            <v>Mín</v>
          </cell>
          <cell r="I208" t="str">
            <v>Pto. Reorden</v>
          </cell>
          <cell r="J208" t="str">
            <v>Máx</v>
          </cell>
          <cell r="K208" t="str">
            <v>Mín</v>
          </cell>
          <cell r="L208" t="str">
            <v>Pto. Reorden</v>
          </cell>
          <cell r="M208" t="str">
            <v>Máx</v>
          </cell>
          <cell r="N208" t="str">
            <v>STATUS</v>
          </cell>
        </row>
        <row r="209">
          <cell r="D209">
            <v>0</v>
          </cell>
          <cell r="F209" t="e">
            <v>#N/A</v>
          </cell>
          <cell r="G209" t="e">
            <v>#N/A</v>
          </cell>
          <cell r="H209" t="e">
            <v>#N/A</v>
          </cell>
          <cell r="I209">
            <v>1</v>
          </cell>
          <cell r="J209">
            <v>1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</row>
        <row r="210">
          <cell r="C210" t="str">
            <v>N/HT</v>
          </cell>
          <cell r="D210">
            <v>0</v>
          </cell>
          <cell r="F210" t="e">
            <v>#N/A</v>
          </cell>
          <cell r="G210" t="e">
            <v>#N/A</v>
          </cell>
          <cell r="H210" t="e">
            <v>#N/A</v>
          </cell>
          <cell r="I210">
            <v>1</v>
          </cell>
          <cell r="J210">
            <v>1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</row>
        <row r="211">
          <cell r="C211" t="str">
            <v>N/HT</v>
          </cell>
          <cell r="D211">
            <v>0</v>
          </cell>
          <cell r="F211" t="e">
            <v>#N/A</v>
          </cell>
          <cell r="G211" t="e">
            <v>#N/A</v>
          </cell>
          <cell r="H211" t="e">
            <v>#N/A</v>
          </cell>
          <cell r="I211">
            <v>1</v>
          </cell>
          <cell r="J211">
            <v>1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</row>
        <row r="212">
          <cell r="C212" t="str">
            <v>N/HT</v>
          </cell>
          <cell r="D212">
            <v>0</v>
          </cell>
          <cell r="F212" t="e">
            <v>#N/A</v>
          </cell>
          <cell r="G212" t="e">
            <v>#N/A</v>
          </cell>
          <cell r="H212" t="e">
            <v>#N/A</v>
          </cell>
          <cell r="I212">
            <v>1</v>
          </cell>
          <cell r="J212">
            <v>1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</row>
        <row r="213">
          <cell r="C213" t="str">
            <v>N/HT</v>
          </cell>
          <cell r="D213">
            <v>0</v>
          </cell>
          <cell r="F213" t="e">
            <v>#N/A</v>
          </cell>
          <cell r="G213" t="e">
            <v>#N/A</v>
          </cell>
          <cell r="H213" t="e">
            <v>#N/A</v>
          </cell>
          <cell r="I213">
            <v>1</v>
          </cell>
          <cell r="J213">
            <v>1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</row>
        <row r="214">
          <cell r="C214" t="str">
            <v>N/HT</v>
          </cell>
          <cell r="D214">
            <v>0</v>
          </cell>
          <cell r="F214" t="e">
            <v>#N/A</v>
          </cell>
          <cell r="G214" t="e">
            <v>#N/A</v>
          </cell>
          <cell r="H214" t="e">
            <v>#N/A</v>
          </cell>
          <cell r="I214">
            <v>1</v>
          </cell>
          <cell r="J214">
            <v>1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</row>
        <row r="215">
          <cell r="C215" t="str">
            <v>N/HT</v>
          </cell>
          <cell r="D215">
            <v>0</v>
          </cell>
          <cell r="F215" t="e">
            <v>#N/A</v>
          </cell>
          <cell r="G215" t="e">
            <v>#N/A</v>
          </cell>
          <cell r="H215" t="e">
            <v>#N/A</v>
          </cell>
          <cell r="I215">
            <v>1</v>
          </cell>
          <cell r="J215">
            <v>1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</row>
        <row r="216">
          <cell r="C216" t="str">
            <v>N/HT</v>
          </cell>
          <cell r="D216">
            <v>0</v>
          </cell>
          <cell r="F216" t="e">
            <v>#N/A</v>
          </cell>
          <cell r="G216" t="e">
            <v>#N/A</v>
          </cell>
          <cell r="H216" t="e">
            <v>#N/A</v>
          </cell>
          <cell r="I216">
            <v>1</v>
          </cell>
          <cell r="J216">
            <v>1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</row>
        <row r="217">
          <cell r="C217" t="str">
            <v>N/HT</v>
          </cell>
          <cell r="D217">
            <v>0</v>
          </cell>
          <cell r="F217" t="e">
            <v>#N/A</v>
          </cell>
          <cell r="G217" t="e">
            <v>#N/A</v>
          </cell>
          <cell r="H217" t="e">
            <v>#N/A</v>
          </cell>
          <cell r="I217">
            <v>1</v>
          </cell>
          <cell r="J217">
            <v>1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</row>
        <row r="218">
          <cell r="C218" t="str">
            <v>N/HT</v>
          </cell>
          <cell r="D218">
            <v>0</v>
          </cell>
          <cell r="F218" t="e">
            <v>#N/A</v>
          </cell>
          <cell r="G218" t="e">
            <v>#N/A</v>
          </cell>
          <cell r="H218" t="e">
            <v>#N/A</v>
          </cell>
          <cell r="I218">
            <v>1</v>
          </cell>
          <cell r="J218">
            <v>1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</row>
        <row r="219">
          <cell r="C219" t="str">
            <v>N/HT</v>
          </cell>
          <cell r="D219">
            <v>0</v>
          </cell>
          <cell r="F219" t="e">
            <v>#N/A</v>
          </cell>
          <cell r="G219" t="e">
            <v>#N/A</v>
          </cell>
          <cell r="H219" t="e">
            <v>#N/A</v>
          </cell>
          <cell r="I219">
            <v>1</v>
          </cell>
          <cell r="J219">
            <v>1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</row>
        <row r="220">
          <cell r="C220" t="str">
            <v>N/HT</v>
          </cell>
          <cell r="D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>
            <v>1</v>
          </cell>
          <cell r="J220">
            <v>1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</row>
        <row r="221">
          <cell r="C221" t="str">
            <v>N/HT</v>
          </cell>
          <cell r="D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>
            <v>1</v>
          </cell>
          <cell r="J221">
            <v>1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</row>
        <row r="222">
          <cell r="C222" t="str">
            <v>N/HT</v>
          </cell>
          <cell r="D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>
            <v>1</v>
          </cell>
          <cell r="J222">
            <v>1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</row>
        <row r="223">
          <cell r="C223" t="str">
            <v>N/HT</v>
          </cell>
          <cell r="D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>
            <v>1</v>
          </cell>
          <cell r="J223">
            <v>1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</row>
        <row r="224">
          <cell r="C224" t="str">
            <v>N/HT</v>
          </cell>
          <cell r="D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>
            <v>1</v>
          </cell>
          <cell r="J224">
            <v>1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</row>
        <row r="225">
          <cell r="C225" t="str">
            <v>N/HT</v>
          </cell>
          <cell r="D225">
            <v>0</v>
          </cell>
          <cell r="F225" t="e">
            <v>#N/A</v>
          </cell>
          <cell r="G225" t="e">
            <v>#N/A</v>
          </cell>
          <cell r="H225" t="e">
            <v>#N/A</v>
          </cell>
          <cell r="I225">
            <v>1</v>
          </cell>
          <cell r="J225">
            <v>1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</row>
        <row r="226">
          <cell r="C226" t="str">
            <v>N/HT</v>
          </cell>
          <cell r="D226">
            <v>0</v>
          </cell>
          <cell r="F226" t="e">
            <v>#N/A</v>
          </cell>
          <cell r="G226" t="e">
            <v>#N/A</v>
          </cell>
          <cell r="H226" t="e">
            <v>#N/A</v>
          </cell>
          <cell r="I226">
            <v>1</v>
          </cell>
          <cell r="J226">
            <v>1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</row>
        <row r="227">
          <cell r="C227" t="str">
            <v>N/HT</v>
          </cell>
          <cell r="D227">
            <v>0</v>
          </cell>
          <cell r="F227" t="e">
            <v>#N/A</v>
          </cell>
          <cell r="G227" t="e">
            <v>#N/A</v>
          </cell>
          <cell r="H227" t="e">
            <v>#N/A</v>
          </cell>
          <cell r="I227">
            <v>1</v>
          </cell>
          <cell r="J227">
            <v>1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</row>
        <row r="228">
          <cell r="C228" t="str">
            <v>N/HT</v>
          </cell>
          <cell r="D228">
            <v>0</v>
          </cell>
          <cell r="F228" t="e">
            <v>#N/A</v>
          </cell>
          <cell r="G228" t="e">
            <v>#N/A</v>
          </cell>
          <cell r="H228" t="e">
            <v>#N/A</v>
          </cell>
          <cell r="I228">
            <v>1</v>
          </cell>
          <cell r="J228">
            <v>1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</row>
        <row r="229">
          <cell r="C229" t="str">
            <v>N/HT</v>
          </cell>
          <cell r="D229">
            <v>0</v>
          </cell>
          <cell r="F229" t="e">
            <v>#N/A</v>
          </cell>
          <cell r="G229" t="e">
            <v>#N/A</v>
          </cell>
          <cell r="H229" t="e">
            <v>#N/A</v>
          </cell>
          <cell r="I229">
            <v>1</v>
          </cell>
          <cell r="J229">
            <v>1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</row>
        <row r="230">
          <cell r="C230" t="str">
            <v>N/HT</v>
          </cell>
          <cell r="D230">
            <v>0</v>
          </cell>
          <cell r="F230" t="e">
            <v>#N/A</v>
          </cell>
          <cell r="G230" t="e">
            <v>#N/A</v>
          </cell>
          <cell r="H230" t="e">
            <v>#N/A</v>
          </cell>
          <cell r="I230">
            <v>1</v>
          </cell>
          <cell r="J230">
            <v>1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</row>
        <row r="231">
          <cell r="C231" t="str">
            <v>N/HT</v>
          </cell>
          <cell r="D231">
            <v>0</v>
          </cell>
          <cell r="F231" t="e">
            <v>#N/A</v>
          </cell>
          <cell r="G231" t="e">
            <v>#N/A</v>
          </cell>
          <cell r="H231" t="e">
            <v>#N/A</v>
          </cell>
          <cell r="I231">
            <v>1</v>
          </cell>
          <cell r="J231">
            <v>1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</row>
        <row r="232">
          <cell r="C232" t="str">
            <v>N/HT</v>
          </cell>
          <cell r="D232">
            <v>0</v>
          </cell>
          <cell r="F232" t="e">
            <v>#N/A</v>
          </cell>
          <cell r="G232" t="e">
            <v>#N/A</v>
          </cell>
          <cell r="H232" t="e">
            <v>#N/A</v>
          </cell>
          <cell r="I232">
            <v>1</v>
          </cell>
          <cell r="J232">
            <v>1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</row>
        <row r="233">
          <cell r="C233" t="str">
            <v>N/HT</v>
          </cell>
          <cell r="D233">
            <v>0</v>
          </cell>
          <cell r="F233" t="e">
            <v>#N/A</v>
          </cell>
          <cell r="G233" t="e">
            <v>#N/A</v>
          </cell>
          <cell r="H233" t="e">
            <v>#N/A</v>
          </cell>
          <cell r="I233">
            <v>1</v>
          </cell>
          <cell r="J233">
            <v>1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</row>
        <row r="234">
          <cell r="C234" t="str">
            <v>N/HT</v>
          </cell>
          <cell r="D234">
            <v>0</v>
          </cell>
          <cell r="F234" t="e">
            <v>#N/A</v>
          </cell>
          <cell r="G234" t="e">
            <v>#N/A</v>
          </cell>
          <cell r="H234" t="e">
            <v>#N/A</v>
          </cell>
          <cell r="I234">
            <v>1</v>
          </cell>
          <cell r="J234">
            <v>1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</row>
        <row r="235">
          <cell r="C235" t="str">
            <v>N/HT</v>
          </cell>
          <cell r="D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>
            <v>1</v>
          </cell>
          <cell r="J235">
            <v>1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</row>
        <row r="236">
          <cell r="C236" t="str">
            <v>N/HT</v>
          </cell>
          <cell r="D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>
            <v>1</v>
          </cell>
          <cell r="J236">
            <v>1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</row>
        <row r="237">
          <cell r="C237" t="str">
            <v>N/HT</v>
          </cell>
          <cell r="D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>
            <v>1</v>
          </cell>
          <cell r="J237">
            <v>1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</row>
        <row r="238">
          <cell r="C238" t="str">
            <v>N/HT</v>
          </cell>
          <cell r="D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>
            <v>1</v>
          </cell>
          <cell r="J238">
            <v>1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</row>
        <row r="239">
          <cell r="C239" t="str">
            <v>N/HT</v>
          </cell>
          <cell r="D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>
            <v>1</v>
          </cell>
          <cell r="J239">
            <v>1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</row>
        <row r="240">
          <cell r="C240" t="str">
            <v>N/HT</v>
          </cell>
          <cell r="D240">
            <v>0</v>
          </cell>
          <cell r="F240" t="e">
            <v>#N/A</v>
          </cell>
          <cell r="G240" t="e">
            <v>#N/A</v>
          </cell>
          <cell r="H240" t="e">
            <v>#N/A</v>
          </cell>
          <cell r="I240">
            <v>1</v>
          </cell>
          <cell r="J240">
            <v>1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</row>
        <row r="242">
          <cell r="C242" t="str">
            <v>No. Parte Htal:</v>
          </cell>
          <cell r="D242" t="str">
            <v>RQ</v>
          </cell>
          <cell r="E242" t="str">
            <v>Inventario</v>
          </cell>
          <cell r="F242" t="str">
            <v>Pz / Herramental</v>
          </cell>
          <cell r="G242" t="str">
            <v>Tiempo Entrega</v>
          </cell>
          <cell r="H242" t="str">
            <v>Mín</v>
          </cell>
          <cell r="I242" t="str">
            <v>Pto. Reorden</v>
          </cell>
          <cell r="J242" t="str">
            <v>Máx</v>
          </cell>
          <cell r="K242" t="str">
            <v>Mín</v>
          </cell>
          <cell r="L242" t="str">
            <v>Pto. Reorden</v>
          </cell>
          <cell r="M242" t="str">
            <v>Máx</v>
          </cell>
          <cell r="N242" t="str">
            <v>STATUS</v>
          </cell>
        </row>
        <row r="243">
          <cell r="D243">
            <v>0</v>
          </cell>
          <cell r="F243" t="e">
            <v>#N/A</v>
          </cell>
          <cell r="G243" t="e">
            <v>#N/A</v>
          </cell>
          <cell r="H243" t="e">
            <v>#N/A</v>
          </cell>
          <cell r="I243">
            <v>1</v>
          </cell>
          <cell r="J243">
            <v>1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</row>
        <row r="244">
          <cell r="C244" t="str">
            <v>N/HT</v>
          </cell>
          <cell r="D244">
            <v>0</v>
          </cell>
          <cell r="F244" t="e">
            <v>#N/A</v>
          </cell>
          <cell r="G244" t="e">
            <v>#N/A</v>
          </cell>
          <cell r="H244" t="e">
            <v>#N/A</v>
          </cell>
          <cell r="I244">
            <v>1</v>
          </cell>
          <cell r="J244">
            <v>1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</row>
        <row r="245">
          <cell r="C245" t="str">
            <v>N/HT</v>
          </cell>
          <cell r="D245">
            <v>0</v>
          </cell>
          <cell r="F245" t="e">
            <v>#N/A</v>
          </cell>
          <cell r="G245" t="e">
            <v>#N/A</v>
          </cell>
          <cell r="H245" t="e">
            <v>#N/A</v>
          </cell>
          <cell r="I245">
            <v>1</v>
          </cell>
          <cell r="J245">
            <v>1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</row>
        <row r="246">
          <cell r="C246" t="str">
            <v>N/HT</v>
          </cell>
          <cell r="D246">
            <v>0</v>
          </cell>
          <cell r="F246" t="e">
            <v>#N/A</v>
          </cell>
          <cell r="G246" t="e">
            <v>#N/A</v>
          </cell>
          <cell r="H246" t="e">
            <v>#N/A</v>
          </cell>
          <cell r="I246">
            <v>1</v>
          </cell>
          <cell r="J246">
            <v>1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</row>
        <row r="247">
          <cell r="C247" t="str">
            <v>N/HT</v>
          </cell>
          <cell r="D247">
            <v>0</v>
          </cell>
          <cell r="F247" t="e">
            <v>#N/A</v>
          </cell>
          <cell r="G247" t="e">
            <v>#N/A</v>
          </cell>
          <cell r="H247" t="e">
            <v>#N/A</v>
          </cell>
          <cell r="I247">
            <v>1</v>
          </cell>
          <cell r="J247">
            <v>1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</row>
        <row r="248">
          <cell r="C248" t="str">
            <v>N/HT</v>
          </cell>
          <cell r="D248">
            <v>0</v>
          </cell>
          <cell r="F248" t="e">
            <v>#N/A</v>
          </cell>
          <cell r="G248" t="e">
            <v>#N/A</v>
          </cell>
          <cell r="H248" t="e">
            <v>#N/A</v>
          </cell>
          <cell r="I248">
            <v>1</v>
          </cell>
          <cell r="J248">
            <v>1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</row>
        <row r="249">
          <cell r="C249" t="str">
            <v>N/HT</v>
          </cell>
          <cell r="D249">
            <v>0</v>
          </cell>
          <cell r="F249" t="e">
            <v>#N/A</v>
          </cell>
          <cell r="G249" t="e">
            <v>#N/A</v>
          </cell>
          <cell r="H249" t="e">
            <v>#N/A</v>
          </cell>
          <cell r="I249">
            <v>1</v>
          </cell>
          <cell r="J249">
            <v>1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</row>
        <row r="250">
          <cell r="C250" t="str">
            <v>N/HT</v>
          </cell>
          <cell r="D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>
            <v>1</v>
          </cell>
          <cell r="J250">
            <v>1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</row>
        <row r="251">
          <cell r="C251" t="str">
            <v>N/HT</v>
          </cell>
          <cell r="D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>
            <v>1</v>
          </cell>
          <cell r="J251">
            <v>1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</row>
        <row r="252">
          <cell r="C252" t="str">
            <v>N/HT</v>
          </cell>
          <cell r="D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>
            <v>1</v>
          </cell>
          <cell r="J252">
            <v>1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</row>
        <row r="253">
          <cell r="C253" t="str">
            <v>N/HT</v>
          </cell>
          <cell r="D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>
            <v>1</v>
          </cell>
          <cell r="J253">
            <v>1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</row>
        <row r="254">
          <cell r="C254" t="str">
            <v>N/HT</v>
          </cell>
          <cell r="D254">
            <v>0</v>
          </cell>
          <cell r="F254" t="e">
            <v>#N/A</v>
          </cell>
          <cell r="G254" t="e">
            <v>#N/A</v>
          </cell>
          <cell r="H254" t="e">
            <v>#N/A</v>
          </cell>
          <cell r="I254">
            <v>1</v>
          </cell>
          <cell r="J254">
            <v>1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</row>
        <row r="255">
          <cell r="C255" t="str">
            <v>N/HT</v>
          </cell>
          <cell r="D255">
            <v>0</v>
          </cell>
          <cell r="F255" t="e">
            <v>#N/A</v>
          </cell>
          <cell r="G255" t="e">
            <v>#N/A</v>
          </cell>
          <cell r="H255" t="e">
            <v>#N/A</v>
          </cell>
          <cell r="I255">
            <v>1</v>
          </cell>
          <cell r="J255">
            <v>1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</row>
        <row r="256">
          <cell r="C256" t="str">
            <v>N/HT</v>
          </cell>
          <cell r="D256">
            <v>0</v>
          </cell>
          <cell r="F256" t="e">
            <v>#N/A</v>
          </cell>
          <cell r="G256" t="e">
            <v>#N/A</v>
          </cell>
          <cell r="H256" t="e">
            <v>#N/A</v>
          </cell>
          <cell r="I256">
            <v>1</v>
          </cell>
          <cell r="J256">
            <v>1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</row>
        <row r="257">
          <cell r="C257" t="str">
            <v>N/HT</v>
          </cell>
          <cell r="D257">
            <v>0</v>
          </cell>
          <cell r="F257" t="e">
            <v>#N/A</v>
          </cell>
          <cell r="G257" t="e">
            <v>#N/A</v>
          </cell>
          <cell r="H257" t="e">
            <v>#N/A</v>
          </cell>
          <cell r="I257">
            <v>1</v>
          </cell>
          <cell r="J257">
            <v>1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</row>
        <row r="258">
          <cell r="C258" t="str">
            <v>N/HT</v>
          </cell>
          <cell r="D258">
            <v>0</v>
          </cell>
          <cell r="F258" t="e">
            <v>#N/A</v>
          </cell>
          <cell r="G258" t="e">
            <v>#N/A</v>
          </cell>
          <cell r="H258" t="e">
            <v>#N/A</v>
          </cell>
          <cell r="I258">
            <v>1</v>
          </cell>
          <cell r="J258">
            <v>1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</row>
        <row r="259">
          <cell r="C259" t="str">
            <v>N/HT</v>
          </cell>
          <cell r="D259">
            <v>0</v>
          </cell>
          <cell r="F259" t="e">
            <v>#N/A</v>
          </cell>
          <cell r="G259" t="e">
            <v>#N/A</v>
          </cell>
          <cell r="H259" t="e">
            <v>#N/A</v>
          </cell>
          <cell r="I259">
            <v>1</v>
          </cell>
          <cell r="J259">
            <v>1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</row>
        <row r="260">
          <cell r="C260" t="str">
            <v>N/HT</v>
          </cell>
          <cell r="D260">
            <v>0</v>
          </cell>
          <cell r="F260" t="e">
            <v>#N/A</v>
          </cell>
          <cell r="G260" t="e">
            <v>#N/A</v>
          </cell>
          <cell r="H260" t="e">
            <v>#N/A</v>
          </cell>
          <cell r="I260">
            <v>1</v>
          </cell>
          <cell r="J260">
            <v>1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</row>
        <row r="261">
          <cell r="C261" t="str">
            <v>N/HT</v>
          </cell>
          <cell r="D261">
            <v>0</v>
          </cell>
          <cell r="F261" t="e">
            <v>#N/A</v>
          </cell>
          <cell r="G261" t="e">
            <v>#N/A</v>
          </cell>
          <cell r="H261" t="e">
            <v>#N/A</v>
          </cell>
          <cell r="I261">
            <v>1</v>
          </cell>
          <cell r="J261">
            <v>1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</row>
        <row r="262">
          <cell r="C262" t="str">
            <v>N/HT</v>
          </cell>
          <cell r="D262">
            <v>0</v>
          </cell>
          <cell r="F262" t="e">
            <v>#N/A</v>
          </cell>
          <cell r="G262" t="e">
            <v>#N/A</v>
          </cell>
          <cell r="H262" t="e">
            <v>#N/A</v>
          </cell>
          <cell r="I262">
            <v>1</v>
          </cell>
          <cell r="J262">
            <v>1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</row>
        <row r="263">
          <cell r="C263" t="str">
            <v>N/HT</v>
          </cell>
          <cell r="D263">
            <v>0</v>
          </cell>
          <cell r="F263" t="e">
            <v>#N/A</v>
          </cell>
          <cell r="G263" t="e">
            <v>#N/A</v>
          </cell>
          <cell r="H263" t="e">
            <v>#N/A</v>
          </cell>
          <cell r="I263">
            <v>1</v>
          </cell>
          <cell r="J263">
            <v>1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</row>
        <row r="264">
          <cell r="C264" t="str">
            <v>N/HT</v>
          </cell>
          <cell r="D264">
            <v>0</v>
          </cell>
          <cell r="F264" t="e">
            <v>#N/A</v>
          </cell>
          <cell r="G264" t="e">
            <v>#N/A</v>
          </cell>
          <cell r="H264" t="e">
            <v>#N/A</v>
          </cell>
          <cell r="I264">
            <v>1</v>
          </cell>
          <cell r="J264">
            <v>1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</row>
        <row r="265">
          <cell r="C265" t="str">
            <v>N/HT</v>
          </cell>
          <cell r="D265">
            <v>0</v>
          </cell>
          <cell r="F265" t="e">
            <v>#N/A</v>
          </cell>
          <cell r="G265" t="e">
            <v>#N/A</v>
          </cell>
          <cell r="H265" t="e">
            <v>#N/A</v>
          </cell>
          <cell r="I265">
            <v>1</v>
          </cell>
          <cell r="J265">
            <v>1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</row>
        <row r="266">
          <cell r="C266" t="str">
            <v>N/HT</v>
          </cell>
          <cell r="D266">
            <v>0</v>
          </cell>
          <cell r="F266" t="e">
            <v>#N/A</v>
          </cell>
          <cell r="G266" t="e">
            <v>#N/A</v>
          </cell>
          <cell r="H266" t="e">
            <v>#N/A</v>
          </cell>
          <cell r="I266">
            <v>1</v>
          </cell>
          <cell r="J266">
            <v>1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</row>
        <row r="267">
          <cell r="C267" t="str">
            <v>N/HT</v>
          </cell>
          <cell r="D267">
            <v>0</v>
          </cell>
          <cell r="F267" t="e">
            <v>#N/A</v>
          </cell>
          <cell r="G267" t="e">
            <v>#N/A</v>
          </cell>
          <cell r="H267" t="e">
            <v>#N/A</v>
          </cell>
          <cell r="I267">
            <v>1</v>
          </cell>
          <cell r="J267">
            <v>1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</row>
        <row r="268">
          <cell r="C268" t="str">
            <v>N/HT</v>
          </cell>
          <cell r="D268">
            <v>0</v>
          </cell>
          <cell r="F268" t="e">
            <v>#N/A</v>
          </cell>
          <cell r="G268" t="e">
            <v>#N/A</v>
          </cell>
          <cell r="H268" t="e">
            <v>#N/A</v>
          </cell>
          <cell r="I268">
            <v>1</v>
          </cell>
          <cell r="J268">
            <v>1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</row>
        <row r="269">
          <cell r="C269" t="str">
            <v>N/HT</v>
          </cell>
          <cell r="D269">
            <v>0</v>
          </cell>
          <cell r="F269" t="e">
            <v>#N/A</v>
          </cell>
          <cell r="G269" t="e">
            <v>#N/A</v>
          </cell>
          <cell r="H269" t="e">
            <v>#N/A</v>
          </cell>
          <cell r="I269">
            <v>1</v>
          </cell>
          <cell r="J269">
            <v>1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</row>
        <row r="270">
          <cell r="C270" t="str">
            <v>N/HT</v>
          </cell>
          <cell r="D270">
            <v>0</v>
          </cell>
          <cell r="F270" t="e">
            <v>#N/A</v>
          </cell>
          <cell r="G270" t="e">
            <v>#N/A</v>
          </cell>
          <cell r="H270" t="e">
            <v>#N/A</v>
          </cell>
          <cell r="I270">
            <v>1</v>
          </cell>
          <cell r="J270">
            <v>1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</row>
        <row r="271">
          <cell r="C271" t="str">
            <v>N/HT</v>
          </cell>
          <cell r="D271">
            <v>0</v>
          </cell>
          <cell r="F271" t="e">
            <v>#N/A</v>
          </cell>
          <cell r="G271" t="e">
            <v>#N/A</v>
          </cell>
          <cell r="H271" t="e">
            <v>#N/A</v>
          </cell>
          <cell r="I271">
            <v>1</v>
          </cell>
          <cell r="J271">
            <v>1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</row>
        <row r="272">
          <cell r="C272" t="str">
            <v>N/HT</v>
          </cell>
          <cell r="D272">
            <v>0</v>
          </cell>
          <cell r="F272" t="e">
            <v>#N/A</v>
          </cell>
          <cell r="G272" t="e">
            <v>#N/A</v>
          </cell>
          <cell r="H272" t="e">
            <v>#N/A</v>
          </cell>
          <cell r="I272">
            <v>1</v>
          </cell>
          <cell r="J272">
            <v>1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</row>
        <row r="273">
          <cell r="C273" t="str">
            <v>N/HT</v>
          </cell>
          <cell r="D273">
            <v>0</v>
          </cell>
          <cell r="F273" t="e">
            <v>#N/A</v>
          </cell>
          <cell r="G273" t="e">
            <v>#N/A</v>
          </cell>
          <cell r="H273" t="e">
            <v>#N/A</v>
          </cell>
          <cell r="I273">
            <v>1</v>
          </cell>
          <cell r="J273">
            <v>1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</row>
        <row r="274">
          <cell r="C274" t="str">
            <v>N/HT</v>
          </cell>
          <cell r="D274">
            <v>0</v>
          </cell>
          <cell r="F274" t="e">
            <v>#N/A</v>
          </cell>
          <cell r="G274" t="e">
            <v>#N/A</v>
          </cell>
          <cell r="H274" t="e">
            <v>#N/A</v>
          </cell>
          <cell r="I274">
            <v>1</v>
          </cell>
          <cell r="J274">
            <v>1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</row>
        <row r="276">
          <cell r="C276" t="str">
            <v>No. Parte Htal:</v>
          </cell>
          <cell r="D276" t="str">
            <v>RQ</v>
          </cell>
          <cell r="E276" t="str">
            <v>Inventario</v>
          </cell>
          <cell r="F276" t="str">
            <v>Pz / Herramental</v>
          </cell>
          <cell r="G276" t="str">
            <v>Tiempo Entrega</v>
          </cell>
          <cell r="H276" t="str">
            <v>Mín</v>
          </cell>
          <cell r="I276" t="str">
            <v>Pto. Reorden</v>
          </cell>
          <cell r="J276" t="str">
            <v>Máx</v>
          </cell>
          <cell r="K276" t="str">
            <v>Mín</v>
          </cell>
          <cell r="L276" t="str">
            <v>Pto. Reorden</v>
          </cell>
          <cell r="M276" t="str">
            <v>Máx</v>
          </cell>
          <cell r="N276" t="str">
            <v>STATUS</v>
          </cell>
        </row>
        <row r="277">
          <cell r="C277" t="str">
            <v>HTJA030041</v>
          </cell>
          <cell r="D277">
            <v>45592.200000000012</v>
          </cell>
          <cell r="E277">
            <v>3</v>
          </cell>
          <cell r="F277">
            <v>40000</v>
          </cell>
          <cell r="G277">
            <v>7</v>
          </cell>
          <cell r="H277">
            <v>1</v>
          </cell>
          <cell r="I277">
            <v>1</v>
          </cell>
          <cell r="J277">
            <v>1</v>
          </cell>
          <cell r="K277">
            <v>1</v>
          </cell>
          <cell r="L277">
            <v>2</v>
          </cell>
          <cell r="M277">
            <v>3</v>
          </cell>
          <cell r="N277" t="str">
            <v>OK</v>
          </cell>
        </row>
        <row r="278">
          <cell r="C278" t="str">
            <v>HTJA030160</v>
          </cell>
          <cell r="D278">
            <v>45592.200000000012</v>
          </cell>
          <cell r="E278">
            <v>1</v>
          </cell>
          <cell r="F278">
            <v>40000</v>
          </cell>
          <cell r="G278">
            <v>15</v>
          </cell>
          <cell r="H278">
            <v>1</v>
          </cell>
          <cell r="I278">
            <v>1</v>
          </cell>
          <cell r="J278">
            <v>1</v>
          </cell>
          <cell r="K278">
            <v>1</v>
          </cell>
          <cell r="L278">
            <v>2</v>
          </cell>
          <cell r="M278">
            <v>3</v>
          </cell>
          <cell r="N278" t="str">
            <v>PEDIR</v>
          </cell>
        </row>
        <row r="279">
          <cell r="C279" t="str">
            <v>N/HT</v>
          </cell>
          <cell r="D279">
            <v>0</v>
          </cell>
          <cell r="F279" t="e">
            <v>#N/A</v>
          </cell>
          <cell r="G279" t="e">
            <v>#N/A</v>
          </cell>
          <cell r="H279" t="e">
            <v>#N/A</v>
          </cell>
          <cell r="I279">
            <v>1</v>
          </cell>
          <cell r="J279">
            <v>1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</row>
        <row r="280">
          <cell r="C280" t="str">
            <v>N/HT</v>
          </cell>
          <cell r="D280">
            <v>0</v>
          </cell>
          <cell r="F280" t="e">
            <v>#N/A</v>
          </cell>
          <cell r="G280" t="e">
            <v>#N/A</v>
          </cell>
          <cell r="H280" t="e">
            <v>#N/A</v>
          </cell>
          <cell r="I280">
            <v>1</v>
          </cell>
          <cell r="J280">
            <v>1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</row>
        <row r="281">
          <cell r="C281" t="str">
            <v>N/HT</v>
          </cell>
          <cell r="D281">
            <v>0</v>
          </cell>
          <cell r="F281" t="e">
            <v>#N/A</v>
          </cell>
          <cell r="G281" t="e">
            <v>#N/A</v>
          </cell>
          <cell r="H281" t="e">
            <v>#N/A</v>
          </cell>
          <cell r="I281">
            <v>1</v>
          </cell>
          <cell r="J281">
            <v>1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</row>
        <row r="282">
          <cell r="C282" t="str">
            <v>N/HT</v>
          </cell>
          <cell r="D282">
            <v>0</v>
          </cell>
          <cell r="F282" t="e">
            <v>#N/A</v>
          </cell>
          <cell r="G282" t="e">
            <v>#N/A</v>
          </cell>
          <cell r="H282" t="e">
            <v>#N/A</v>
          </cell>
          <cell r="I282">
            <v>1</v>
          </cell>
          <cell r="J282">
            <v>1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</row>
        <row r="283">
          <cell r="C283" t="str">
            <v>N/HT</v>
          </cell>
          <cell r="D283">
            <v>0</v>
          </cell>
          <cell r="F283" t="e">
            <v>#N/A</v>
          </cell>
          <cell r="G283" t="e">
            <v>#N/A</v>
          </cell>
          <cell r="H283" t="e">
            <v>#N/A</v>
          </cell>
          <cell r="I283">
            <v>1</v>
          </cell>
          <cell r="J283">
            <v>1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</row>
        <row r="284">
          <cell r="C284" t="str">
            <v>N/HT</v>
          </cell>
          <cell r="D284">
            <v>0</v>
          </cell>
          <cell r="F284" t="e">
            <v>#N/A</v>
          </cell>
          <cell r="G284" t="e">
            <v>#N/A</v>
          </cell>
          <cell r="H284" t="e">
            <v>#N/A</v>
          </cell>
          <cell r="I284">
            <v>1</v>
          </cell>
          <cell r="J284">
            <v>1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</row>
        <row r="285">
          <cell r="C285" t="str">
            <v>N/HT</v>
          </cell>
          <cell r="D285">
            <v>0</v>
          </cell>
          <cell r="F285" t="e">
            <v>#N/A</v>
          </cell>
          <cell r="G285" t="e">
            <v>#N/A</v>
          </cell>
          <cell r="H285" t="e">
            <v>#N/A</v>
          </cell>
          <cell r="I285">
            <v>1</v>
          </cell>
          <cell r="J285">
            <v>1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</row>
        <row r="286">
          <cell r="C286" t="str">
            <v>N/HT</v>
          </cell>
          <cell r="D286">
            <v>0</v>
          </cell>
          <cell r="F286" t="e">
            <v>#N/A</v>
          </cell>
          <cell r="G286" t="e">
            <v>#N/A</v>
          </cell>
          <cell r="H286" t="e">
            <v>#N/A</v>
          </cell>
          <cell r="I286">
            <v>1</v>
          </cell>
          <cell r="J286">
            <v>1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</row>
        <row r="287">
          <cell r="C287" t="str">
            <v>N/HT</v>
          </cell>
          <cell r="D287">
            <v>0</v>
          </cell>
          <cell r="F287" t="e">
            <v>#N/A</v>
          </cell>
          <cell r="G287" t="e">
            <v>#N/A</v>
          </cell>
          <cell r="H287" t="e">
            <v>#N/A</v>
          </cell>
          <cell r="I287">
            <v>1</v>
          </cell>
          <cell r="J287">
            <v>1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</row>
        <row r="288">
          <cell r="C288" t="str">
            <v>N/HT</v>
          </cell>
          <cell r="D288">
            <v>0</v>
          </cell>
          <cell r="F288" t="e">
            <v>#N/A</v>
          </cell>
          <cell r="G288" t="e">
            <v>#N/A</v>
          </cell>
          <cell r="H288" t="e">
            <v>#N/A</v>
          </cell>
          <cell r="I288">
            <v>1</v>
          </cell>
          <cell r="J288">
            <v>1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</row>
        <row r="289">
          <cell r="C289" t="str">
            <v>N/HT</v>
          </cell>
          <cell r="D289">
            <v>0</v>
          </cell>
          <cell r="F289" t="e">
            <v>#N/A</v>
          </cell>
          <cell r="G289" t="e">
            <v>#N/A</v>
          </cell>
          <cell r="H289" t="e">
            <v>#N/A</v>
          </cell>
          <cell r="I289">
            <v>1</v>
          </cell>
          <cell r="J289">
            <v>1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</row>
        <row r="290">
          <cell r="C290" t="str">
            <v>N/HT</v>
          </cell>
          <cell r="D290">
            <v>0</v>
          </cell>
          <cell r="F290" t="e">
            <v>#N/A</v>
          </cell>
          <cell r="G290" t="e">
            <v>#N/A</v>
          </cell>
          <cell r="H290" t="e">
            <v>#N/A</v>
          </cell>
          <cell r="I290">
            <v>1</v>
          </cell>
          <cell r="J290">
            <v>1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</row>
        <row r="291">
          <cell r="C291" t="str">
            <v>N/HT</v>
          </cell>
          <cell r="D291">
            <v>0</v>
          </cell>
          <cell r="F291" t="e">
            <v>#N/A</v>
          </cell>
          <cell r="G291" t="e">
            <v>#N/A</v>
          </cell>
          <cell r="H291" t="e">
            <v>#N/A</v>
          </cell>
          <cell r="I291">
            <v>1</v>
          </cell>
          <cell r="J291">
            <v>1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</row>
        <row r="292">
          <cell r="C292" t="str">
            <v>N/HT</v>
          </cell>
          <cell r="D292">
            <v>0</v>
          </cell>
          <cell r="F292" t="e">
            <v>#N/A</v>
          </cell>
          <cell r="G292" t="e">
            <v>#N/A</v>
          </cell>
          <cell r="H292" t="e">
            <v>#N/A</v>
          </cell>
          <cell r="I292">
            <v>1</v>
          </cell>
          <cell r="J292">
            <v>1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</row>
        <row r="293">
          <cell r="C293" t="str">
            <v>N/HT</v>
          </cell>
          <cell r="D293">
            <v>0</v>
          </cell>
          <cell r="F293" t="e">
            <v>#N/A</v>
          </cell>
          <cell r="G293" t="e">
            <v>#N/A</v>
          </cell>
          <cell r="H293" t="e">
            <v>#N/A</v>
          </cell>
          <cell r="I293">
            <v>1</v>
          </cell>
          <cell r="J293">
            <v>1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</row>
        <row r="294">
          <cell r="C294" t="str">
            <v>N/HT</v>
          </cell>
          <cell r="D294">
            <v>0</v>
          </cell>
          <cell r="F294" t="e">
            <v>#N/A</v>
          </cell>
          <cell r="G294" t="e">
            <v>#N/A</v>
          </cell>
          <cell r="H294" t="e">
            <v>#N/A</v>
          </cell>
          <cell r="I294">
            <v>1</v>
          </cell>
          <cell r="J294">
            <v>1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</row>
        <row r="295">
          <cell r="C295" t="str">
            <v>N/HT</v>
          </cell>
          <cell r="D295">
            <v>0</v>
          </cell>
          <cell r="F295" t="e">
            <v>#N/A</v>
          </cell>
          <cell r="G295" t="e">
            <v>#N/A</v>
          </cell>
          <cell r="H295" t="e">
            <v>#N/A</v>
          </cell>
          <cell r="I295">
            <v>1</v>
          </cell>
          <cell r="J295">
            <v>1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</row>
        <row r="296">
          <cell r="C296" t="str">
            <v>N/HT</v>
          </cell>
          <cell r="D296">
            <v>0</v>
          </cell>
          <cell r="F296" t="e">
            <v>#N/A</v>
          </cell>
          <cell r="G296" t="e">
            <v>#N/A</v>
          </cell>
          <cell r="H296" t="e">
            <v>#N/A</v>
          </cell>
          <cell r="I296">
            <v>1</v>
          </cell>
          <cell r="J296">
            <v>1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</row>
        <row r="297">
          <cell r="C297" t="str">
            <v>N/HT</v>
          </cell>
          <cell r="D297">
            <v>0</v>
          </cell>
          <cell r="F297" t="e">
            <v>#N/A</v>
          </cell>
          <cell r="G297" t="e">
            <v>#N/A</v>
          </cell>
          <cell r="H297" t="e">
            <v>#N/A</v>
          </cell>
          <cell r="I297">
            <v>1</v>
          </cell>
          <cell r="J297">
            <v>1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</row>
        <row r="298">
          <cell r="C298" t="str">
            <v>N/HT</v>
          </cell>
          <cell r="D298">
            <v>0</v>
          </cell>
          <cell r="F298" t="e">
            <v>#N/A</v>
          </cell>
          <cell r="G298" t="e">
            <v>#N/A</v>
          </cell>
          <cell r="H298" t="e">
            <v>#N/A</v>
          </cell>
          <cell r="I298">
            <v>1</v>
          </cell>
          <cell r="J298">
            <v>1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</row>
        <row r="299">
          <cell r="C299" t="str">
            <v>N/HT</v>
          </cell>
          <cell r="D299">
            <v>0</v>
          </cell>
          <cell r="F299" t="e">
            <v>#N/A</v>
          </cell>
          <cell r="G299" t="e">
            <v>#N/A</v>
          </cell>
          <cell r="H299" t="e">
            <v>#N/A</v>
          </cell>
          <cell r="I299">
            <v>1</v>
          </cell>
          <cell r="J299">
            <v>1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</row>
        <row r="300">
          <cell r="C300" t="str">
            <v>N/HT</v>
          </cell>
          <cell r="D300">
            <v>0</v>
          </cell>
          <cell r="F300" t="e">
            <v>#N/A</v>
          </cell>
          <cell r="G300" t="e">
            <v>#N/A</v>
          </cell>
          <cell r="H300" t="e">
            <v>#N/A</v>
          </cell>
          <cell r="I300">
            <v>1</v>
          </cell>
          <cell r="J300">
            <v>1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</row>
        <row r="301">
          <cell r="C301" t="str">
            <v>N/HT</v>
          </cell>
          <cell r="D301">
            <v>0</v>
          </cell>
          <cell r="F301" t="e">
            <v>#N/A</v>
          </cell>
          <cell r="G301" t="e">
            <v>#N/A</v>
          </cell>
          <cell r="H301" t="e">
            <v>#N/A</v>
          </cell>
          <cell r="I301">
            <v>1</v>
          </cell>
          <cell r="J301">
            <v>1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</row>
        <row r="302">
          <cell r="C302" t="str">
            <v>N/HT</v>
          </cell>
          <cell r="D302">
            <v>0</v>
          </cell>
          <cell r="F302" t="e">
            <v>#N/A</v>
          </cell>
          <cell r="G302" t="e">
            <v>#N/A</v>
          </cell>
          <cell r="H302" t="e">
            <v>#N/A</v>
          </cell>
          <cell r="I302">
            <v>1</v>
          </cell>
          <cell r="J302">
            <v>1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</row>
        <row r="303">
          <cell r="C303" t="str">
            <v>N/HT</v>
          </cell>
          <cell r="D303">
            <v>0</v>
          </cell>
          <cell r="F303" t="e">
            <v>#N/A</v>
          </cell>
          <cell r="G303" t="e">
            <v>#N/A</v>
          </cell>
          <cell r="H303" t="e">
            <v>#N/A</v>
          </cell>
          <cell r="I303">
            <v>1</v>
          </cell>
          <cell r="J303">
            <v>1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</row>
        <row r="304">
          <cell r="C304" t="str">
            <v>N/HT</v>
          </cell>
          <cell r="D304">
            <v>0</v>
          </cell>
          <cell r="F304" t="e">
            <v>#N/A</v>
          </cell>
          <cell r="G304" t="e">
            <v>#N/A</v>
          </cell>
          <cell r="H304" t="e">
            <v>#N/A</v>
          </cell>
          <cell r="I304">
            <v>1</v>
          </cell>
          <cell r="J304">
            <v>1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</row>
        <row r="305">
          <cell r="C305" t="str">
            <v>N/HT</v>
          </cell>
          <cell r="D305">
            <v>0</v>
          </cell>
          <cell r="F305" t="e">
            <v>#N/A</v>
          </cell>
          <cell r="G305" t="e">
            <v>#N/A</v>
          </cell>
          <cell r="H305" t="e">
            <v>#N/A</v>
          </cell>
          <cell r="I305">
            <v>1</v>
          </cell>
          <cell r="J305">
            <v>1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</row>
        <row r="306">
          <cell r="C306" t="str">
            <v>N/HT</v>
          </cell>
          <cell r="D306">
            <v>0</v>
          </cell>
          <cell r="F306" t="e">
            <v>#N/A</v>
          </cell>
          <cell r="G306" t="e">
            <v>#N/A</v>
          </cell>
          <cell r="H306" t="e">
            <v>#N/A</v>
          </cell>
          <cell r="I306">
            <v>1</v>
          </cell>
          <cell r="J306">
            <v>1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</row>
        <row r="307">
          <cell r="C307" t="str">
            <v>N/HT</v>
          </cell>
          <cell r="D307">
            <v>0</v>
          </cell>
          <cell r="F307" t="e">
            <v>#N/A</v>
          </cell>
          <cell r="G307" t="e">
            <v>#N/A</v>
          </cell>
          <cell r="H307" t="e">
            <v>#N/A</v>
          </cell>
          <cell r="I307">
            <v>1</v>
          </cell>
          <cell r="J307">
            <v>1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</row>
        <row r="308">
          <cell r="C308" t="str">
            <v>N/HT</v>
          </cell>
          <cell r="D308">
            <v>0</v>
          </cell>
          <cell r="F308" t="e">
            <v>#N/A</v>
          </cell>
          <cell r="G308" t="e">
            <v>#N/A</v>
          </cell>
          <cell r="H308" t="e">
            <v>#N/A</v>
          </cell>
          <cell r="I308">
            <v>1</v>
          </cell>
          <cell r="J308">
            <v>1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</row>
        <row r="310">
          <cell r="C310" t="str">
            <v>No. Parte Htal:</v>
          </cell>
          <cell r="D310" t="str">
            <v>RQ</v>
          </cell>
          <cell r="E310" t="str">
            <v>Inventario</v>
          </cell>
          <cell r="F310" t="str">
            <v>Pz / Herramental</v>
          </cell>
          <cell r="G310" t="str">
            <v>Tiempo Entrega</v>
          </cell>
          <cell r="H310" t="str">
            <v>Mín</v>
          </cell>
          <cell r="I310" t="str">
            <v>Pto. Reorden</v>
          </cell>
          <cell r="J310" t="str">
            <v>Máx</v>
          </cell>
          <cell r="K310" t="str">
            <v>Mín</v>
          </cell>
          <cell r="L310" t="str">
            <v>Pto. Reorden</v>
          </cell>
          <cell r="M310" t="str">
            <v>Máx</v>
          </cell>
          <cell r="N310" t="str">
            <v>STATUS</v>
          </cell>
        </row>
        <row r="311">
          <cell r="C311" t="str">
            <v>HTJA030120</v>
          </cell>
          <cell r="D311">
            <v>26461.240903134531</v>
          </cell>
          <cell r="E311">
            <v>0</v>
          </cell>
          <cell r="F311">
            <v>40000</v>
          </cell>
          <cell r="G311">
            <v>15</v>
          </cell>
          <cell r="H311">
            <v>1</v>
          </cell>
          <cell r="I311">
            <v>1</v>
          </cell>
          <cell r="J311">
            <v>1</v>
          </cell>
          <cell r="K311">
            <v>1</v>
          </cell>
          <cell r="L311">
            <v>2</v>
          </cell>
          <cell r="M311">
            <v>3</v>
          </cell>
          <cell r="N311" t="str">
            <v>URGENTE</v>
          </cell>
        </row>
        <row r="312">
          <cell r="C312" t="str">
            <v>N/HT</v>
          </cell>
          <cell r="D312">
            <v>0</v>
          </cell>
          <cell r="F312" t="e">
            <v>#N/A</v>
          </cell>
          <cell r="G312" t="e">
            <v>#N/A</v>
          </cell>
          <cell r="H312" t="e">
            <v>#N/A</v>
          </cell>
          <cell r="I312">
            <v>1</v>
          </cell>
          <cell r="J312">
            <v>1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</row>
        <row r="313">
          <cell r="C313" t="str">
            <v>N/HT</v>
          </cell>
          <cell r="D313">
            <v>0</v>
          </cell>
          <cell r="F313" t="e">
            <v>#N/A</v>
          </cell>
          <cell r="G313" t="e">
            <v>#N/A</v>
          </cell>
          <cell r="H313" t="e">
            <v>#N/A</v>
          </cell>
          <cell r="I313">
            <v>1</v>
          </cell>
          <cell r="J313">
            <v>1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</row>
        <row r="314">
          <cell r="C314" t="str">
            <v>N/HT</v>
          </cell>
          <cell r="D314">
            <v>0</v>
          </cell>
          <cell r="F314" t="e">
            <v>#N/A</v>
          </cell>
          <cell r="G314" t="e">
            <v>#N/A</v>
          </cell>
          <cell r="H314" t="e">
            <v>#N/A</v>
          </cell>
          <cell r="I314">
            <v>1</v>
          </cell>
          <cell r="J314">
            <v>1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</row>
        <row r="315">
          <cell r="C315" t="str">
            <v>N/HT</v>
          </cell>
          <cell r="D315">
            <v>0</v>
          </cell>
          <cell r="F315" t="e">
            <v>#N/A</v>
          </cell>
          <cell r="G315" t="e">
            <v>#N/A</v>
          </cell>
          <cell r="H315" t="e">
            <v>#N/A</v>
          </cell>
          <cell r="I315">
            <v>1</v>
          </cell>
          <cell r="J315">
            <v>1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</row>
        <row r="316">
          <cell r="C316" t="str">
            <v>N/HT</v>
          </cell>
          <cell r="D316">
            <v>0</v>
          </cell>
          <cell r="F316" t="e">
            <v>#N/A</v>
          </cell>
          <cell r="G316" t="e">
            <v>#N/A</v>
          </cell>
          <cell r="H316" t="e">
            <v>#N/A</v>
          </cell>
          <cell r="I316">
            <v>1</v>
          </cell>
          <cell r="J316">
            <v>1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</row>
        <row r="317">
          <cell r="C317" t="str">
            <v>N/HT</v>
          </cell>
          <cell r="D317">
            <v>0</v>
          </cell>
          <cell r="F317" t="e">
            <v>#N/A</v>
          </cell>
          <cell r="G317" t="e">
            <v>#N/A</v>
          </cell>
          <cell r="H317" t="e">
            <v>#N/A</v>
          </cell>
          <cell r="I317">
            <v>1</v>
          </cell>
          <cell r="J317">
            <v>1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</row>
        <row r="318">
          <cell r="C318" t="str">
            <v>N/HT</v>
          </cell>
          <cell r="D318">
            <v>0</v>
          </cell>
          <cell r="F318" t="e">
            <v>#N/A</v>
          </cell>
          <cell r="G318" t="e">
            <v>#N/A</v>
          </cell>
          <cell r="H318" t="e">
            <v>#N/A</v>
          </cell>
          <cell r="I318">
            <v>1</v>
          </cell>
          <cell r="J318">
            <v>1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</row>
        <row r="319">
          <cell r="C319" t="str">
            <v>N/HT</v>
          </cell>
          <cell r="D319">
            <v>0</v>
          </cell>
          <cell r="F319" t="e">
            <v>#N/A</v>
          </cell>
          <cell r="G319" t="e">
            <v>#N/A</v>
          </cell>
          <cell r="H319" t="e">
            <v>#N/A</v>
          </cell>
          <cell r="I319">
            <v>1</v>
          </cell>
          <cell r="J319">
            <v>1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</row>
        <row r="320">
          <cell r="C320" t="str">
            <v>N/HT</v>
          </cell>
          <cell r="D320">
            <v>0</v>
          </cell>
          <cell r="F320" t="e">
            <v>#N/A</v>
          </cell>
          <cell r="G320" t="e">
            <v>#N/A</v>
          </cell>
          <cell r="H320" t="e">
            <v>#N/A</v>
          </cell>
          <cell r="I320">
            <v>1</v>
          </cell>
          <cell r="J320">
            <v>1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</row>
        <row r="321">
          <cell r="C321" t="str">
            <v>N/HT</v>
          </cell>
          <cell r="D321">
            <v>0</v>
          </cell>
          <cell r="F321" t="e">
            <v>#N/A</v>
          </cell>
          <cell r="G321" t="e">
            <v>#N/A</v>
          </cell>
          <cell r="H321" t="e">
            <v>#N/A</v>
          </cell>
          <cell r="I321">
            <v>1</v>
          </cell>
          <cell r="J321">
            <v>1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</row>
        <row r="322">
          <cell r="C322" t="str">
            <v>N/HT</v>
          </cell>
          <cell r="D322">
            <v>0</v>
          </cell>
          <cell r="F322" t="e">
            <v>#N/A</v>
          </cell>
          <cell r="G322" t="e">
            <v>#N/A</v>
          </cell>
          <cell r="H322" t="e">
            <v>#N/A</v>
          </cell>
          <cell r="I322">
            <v>1</v>
          </cell>
          <cell r="J322">
            <v>1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</row>
        <row r="323">
          <cell r="C323" t="str">
            <v>N/HT</v>
          </cell>
          <cell r="D323">
            <v>0</v>
          </cell>
          <cell r="F323" t="e">
            <v>#N/A</v>
          </cell>
          <cell r="G323" t="e">
            <v>#N/A</v>
          </cell>
          <cell r="H323" t="e">
            <v>#N/A</v>
          </cell>
          <cell r="I323">
            <v>1</v>
          </cell>
          <cell r="J323">
            <v>1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</row>
        <row r="324">
          <cell r="C324" t="str">
            <v>N/HT</v>
          </cell>
          <cell r="D324">
            <v>0</v>
          </cell>
          <cell r="F324" t="e">
            <v>#N/A</v>
          </cell>
          <cell r="G324" t="e">
            <v>#N/A</v>
          </cell>
          <cell r="H324" t="e">
            <v>#N/A</v>
          </cell>
          <cell r="I324">
            <v>1</v>
          </cell>
          <cell r="J324">
            <v>1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</row>
        <row r="325">
          <cell r="C325" t="str">
            <v>N/HT</v>
          </cell>
          <cell r="D325">
            <v>0</v>
          </cell>
          <cell r="F325" t="e">
            <v>#N/A</v>
          </cell>
          <cell r="G325" t="e">
            <v>#N/A</v>
          </cell>
          <cell r="H325" t="e">
            <v>#N/A</v>
          </cell>
          <cell r="I325">
            <v>1</v>
          </cell>
          <cell r="J325">
            <v>1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</row>
        <row r="326">
          <cell r="C326" t="str">
            <v>N/HT</v>
          </cell>
          <cell r="D326">
            <v>0</v>
          </cell>
          <cell r="F326" t="e">
            <v>#N/A</v>
          </cell>
          <cell r="G326" t="e">
            <v>#N/A</v>
          </cell>
          <cell r="H326" t="e">
            <v>#N/A</v>
          </cell>
          <cell r="I326">
            <v>1</v>
          </cell>
          <cell r="J326">
            <v>1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</row>
        <row r="327">
          <cell r="C327" t="str">
            <v>N/HT</v>
          </cell>
          <cell r="D327">
            <v>0</v>
          </cell>
          <cell r="F327" t="e">
            <v>#N/A</v>
          </cell>
          <cell r="G327" t="e">
            <v>#N/A</v>
          </cell>
          <cell r="H327" t="e">
            <v>#N/A</v>
          </cell>
          <cell r="I327">
            <v>1</v>
          </cell>
          <cell r="J327">
            <v>1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</row>
        <row r="328">
          <cell r="C328" t="str">
            <v>N/HT</v>
          </cell>
          <cell r="D328">
            <v>0</v>
          </cell>
          <cell r="F328" t="e">
            <v>#N/A</v>
          </cell>
          <cell r="G328" t="e">
            <v>#N/A</v>
          </cell>
          <cell r="H328" t="e">
            <v>#N/A</v>
          </cell>
          <cell r="I328">
            <v>1</v>
          </cell>
          <cell r="J328">
            <v>1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</row>
        <row r="329">
          <cell r="C329" t="str">
            <v>N/HT</v>
          </cell>
          <cell r="D329">
            <v>0</v>
          </cell>
          <cell r="F329" t="e">
            <v>#N/A</v>
          </cell>
          <cell r="G329" t="e">
            <v>#N/A</v>
          </cell>
          <cell r="H329" t="e">
            <v>#N/A</v>
          </cell>
          <cell r="I329">
            <v>1</v>
          </cell>
          <cell r="J329">
            <v>1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</row>
        <row r="330">
          <cell r="C330" t="str">
            <v>N/HT</v>
          </cell>
          <cell r="D330">
            <v>0</v>
          </cell>
          <cell r="F330" t="e">
            <v>#N/A</v>
          </cell>
          <cell r="G330" t="e">
            <v>#N/A</v>
          </cell>
          <cell r="H330" t="e">
            <v>#N/A</v>
          </cell>
          <cell r="I330">
            <v>1</v>
          </cell>
          <cell r="J330">
            <v>1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</row>
        <row r="331">
          <cell r="C331" t="str">
            <v>N/HT</v>
          </cell>
          <cell r="D331">
            <v>0</v>
          </cell>
          <cell r="F331" t="e">
            <v>#N/A</v>
          </cell>
          <cell r="G331" t="e">
            <v>#N/A</v>
          </cell>
          <cell r="H331" t="e">
            <v>#N/A</v>
          </cell>
          <cell r="I331">
            <v>1</v>
          </cell>
          <cell r="J331">
            <v>1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</row>
        <row r="332">
          <cell r="C332" t="str">
            <v>N/HT</v>
          </cell>
          <cell r="D332">
            <v>0</v>
          </cell>
          <cell r="F332" t="e">
            <v>#N/A</v>
          </cell>
          <cell r="G332" t="e">
            <v>#N/A</v>
          </cell>
          <cell r="H332" t="e">
            <v>#N/A</v>
          </cell>
          <cell r="I332">
            <v>1</v>
          </cell>
          <cell r="J332">
            <v>1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</row>
        <row r="333">
          <cell r="C333" t="str">
            <v>N/HT</v>
          </cell>
          <cell r="D333">
            <v>0</v>
          </cell>
          <cell r="F333" t="e">
            <v>#N/A</v>
          </cell>
          <cell r="G333" t="e">
            <v>#N/A</v>
          </cell>
          <cell r="H333" t="e">
            <v>#N/A</v>
          </cell>
          <cell r="I333">
            <v>1</v>
          </cell>
          <cell r="J333">
            <v>1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</row>
        <row r="334">
          <cell r="C334" t="str">
            <v>N/HT</v>
          </cell>
          <cell r="D334">
            <v>0</v>
          </cell>
          <cell r="F334" t="e">
            <v>#N/A</v>
          </cell>
          <cell r="G334" t="e">
            <v>#N/A</v>
          </cell>
          <cell r="H334" t="e">
            <v>#N/A</v>
          </cell>
          <cell r="I334">
            <v>1</v>
          </cell>
          <cell r="J334">
            <v>1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</row>
        <row r="335">
          <cell r="C335" t="str">
            <v>N/HT</v>
          </cell>
          <cell r="D335">
            <v>0</v>
          </cell>
          <cell r="F335" t="e">
            <v>#N/A</v>
          </cell>
          <cell r="G335" t="e">
            <v>#N/A</v>
          </cell>
          <cell r="H335" t="e">
            <v>#N/A</v>
          </cell>
          <cell r="I335">
            <v>1</v>
          </cell>
          <cell r="J335">
            <v>1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</row>
        <row r="336">
          <cell r="C336" t="str">
            <v>N/HT</v>
          </cell>
          <cell r="D336">
            <v>0</v>
          </cell>
          <cell r="F336" t="e">
            <v>#N/A</v>
          </cell>
          <cell r="G336" t="e">
            <v>#N/A</v>
          </cell>
          <cell r="H336" t="e">
            <v>#N/A</v>
          </cell>
          <cell r="I336">
            <v>1</v>
          </cell>
          <cell r="J336">
            <v>1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</row>
        <row r="337">
          <cell r="C337" t="str">
            <v>N/HT</v>
          </cell>
          <cell r="D337">
            <v>0</v>
          </cell>
          <cell r="F337" t="e">
            <v>#N/A</v>
          </cell>
          <cell r="G337" t="e">
            <v>#N/A</v>
          </cell>
          <cell r="H337" t="e">
            <v>#N/A</v>
          </cell>
          <cell r="I337">
            <v>1</v>
          </cell>
          <cell r="J337">
            <v>1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</row>
        <row r="338">
          <cell r="C338" t="str">
            <v>N/HT</v>
          </cell>
          <cell r="D338">
            <v>0</v>
          </cell>
          <cell r="F338" t="e">
            <v>#N/A</v>
          </cell>
          <cell r="G338" t="e">
            <v>#N/A</v>
          </cell>
          <cell r="H338" t="e">
            <v>#N/A</v>
          </cell>
          <cell r="I338">
            <v>1</v>
          </cell>
          <cell r="J338">
            <v>1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</row>
        <row r="339">
          <cell r="C339" t="str">
            <v>N/HT</v>
          </cell>
          <cell r="D339">
            <v>0</v>
          </cell>
          <cell r="F339" t="e">
            <v>#N/A</v>
          </cell>
          <cell r="G339" t="e">
            <v>#N/A</v>
          </cell>
          <cell r="H339" t="e">
            <v>#N/A</v>
          </cell>
          <cell r="I339">
            <v>1</v>
          </cell>
          <cell r="J339">
            <v>1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</row>
        <row r="340">
          <cell r="C340" t="str">
            <v>N/HT</v>
          </cell>
          <cell r="D340">
            <v>0</v>
          </cell>
          <cell r="F340" t="e">
            <v>#N/A</v>
          </cell>
          <cell r="G340" t="e">
            <v>#N/A</v>
          </cell>
          <cell r="H340" t="e">
            <v>#N/A</v>
          </cell>
          <cell r="I340">
            <v>1</v>
          </cell>
          <cell r="J340">
            <v>1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</row>
        <row r="341">
          <cell r="C341" t="str">
            <v>N/HT</v>
          </cell>
          <cell r="D341">
            <v>0</v>
          </cell>
          <cell r="F341" t="e">
            <v>#N/A</v>
          </cell>
          <cell r="G341" t="e">
            <v>#N/A</v>
          </cell>
          <cell r="H341" t="e">
            <v>#N/A</v>
          </cell>
          <cell r="I341">
            <v>1</v>
          </cell>
          <cell r="J341">
            <v>1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</row>
        <row r="342">
          <cell r="C342" t="str">
            <v>N/HT</v>
          </cell>
          <cell r="D342">
            <v>0</v>
          </cell>
          <cell r="F342" t="e">
            <v>#N/A</v>
          </cell>
          <cell r="G342" t="e">
            <v>#N/A</v>
          </cell>
          <cell r="H342" t="e">
            <v>#N/A</v>
          </cell>
          <cell r="I342">
            <v>1</v>
          </cell>
          <cell r="J342">
            <v>1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</row>
        <row r="344">
          <cell r="C344" t="str">
            <v>No. Parte Htal:</v>
          </cell>
          <cell r="D344" t="str">
            <v>RQ</v>
          </cell>
          <cell r="E344" t="str">
            <v>Inventario</v>
          </cell>
          <cell r="F344" t="str">
            <v>Pz / Herramental</v>
          </cell>
          <cell r="G344" t="str">
            <v>Tiempo Entrega</v>
          </cell>
          <cell r="H344" t="str">
            <v>Mín</v>
          </cell>
          <cell r="I344" t="str">
            <v>Pto. Reorden</v>
          </cell>
          <cell r="J344" t="str">
            <v>Máx</v>
          </cell>
          <cell r="K344" t="str">
            <v>Mín</v>
          </cell>
          <cell r="L344" t="str">
            <v>Pto. Reorden</v>
          </cell>
          <cell r="M344" t="str">
            <v>Máx</v>
          </cell>
          <cell r="N344" t="str">
            <v>STATUS</v>
          </cell>
        </row>
        <row r="345">
          <cell r="C345" t="str">
            <v>HTJA030115</v>
          </cell>
          <cell r="D345">
            <v>33932.483034337194</v>
          </cell>
          <cell r="E345">
            <v>0</v>
          </cell>
          <cell r="F345">
            <v>40000</v>
          </cell>
          <cell r="G345">
            <v>15</v>
          </cell>
          <cell r="H345">
            <v>1</v>
          </cell>
          <cell r="I345">
            <v>1</v>
          </cell>
          <cell r="J345">
            <v>1</v>
          </cell>
          <cell r="K345">
            <v>1</v>
          </cell>
          <cell r="L345">
            <v>2</v>
          </cell>
          <cell r="M345">
            <v>3</v>
          </cell>
          <cell r="N345" t="str">
            <v>URGENTE</v>
          </cell>
        </row>
        <row r="346">
          <cell r="C346" t="str">
            <v>N/HT</v>
          </cell>
          <cell r="D346">
            <v>0</v>
          </cell>
          <cell r="F346" t="e">
            <v>#N/A</v>
          </cell>
          <cell r="G346" t="e">
            <v>#N/A</v>
          </cell>
          <cell r="H346" t="e">
            <v>#N/A</v>
          </cell>
          <cell r="I346">
            <v>1</v>
          </cell>
          <cell r="J346">
            <v>1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</row>
        <row r="347">
          <cell r="C347" t="str">
            <v>N/HT</v>
          </cell>
          <cell r="D347">
            <v>0</v>
          </cell>
          <cell r="F347" t="e">
            <v>#N/A</v>
          </cell>
          <cell r="G347" t="e">
            <v>#N/A</v>
          </cell>
          <cell r="H347" t="e">
            <v>#N/A</v>
          </cell>
          <cell r="I347">
            <v>1</v>
          </cell>
          <cell r="J347">
            <v>1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</row>
        <row r="348">
          <cell r="C348" t="str">
            <v>N/HT</v>
          </cell>
          <cell r="D348">
            <v>0</v>
          </cell>
          <cell r="F348" t="e">
            <v>#N/A</v>
          </cell>
          <cell r="G348" t="e">
            <v>#N/A</v>
          </cell>
          <cell r="H348" t="e">
            <v>#N/A</v>
          </cell>
          <cell r="I348">
            <v>1</v>
          </cell>
          <cell r="J348">
            <v>1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</row>
        <row r="349">
          <cell r="C349" t="str">
            <v>N/HT</v>
          </cell>
          <cell r="D349">
            <v>0</v>
          </cell>
          <cell r="F349" t="e">
            <v>#N/A</v>
          </cell>
          <cell r="G349" t="e">
            <v>#N/A</v>
          </cell>
          <cell r="H349" t="e">
            <v>#N/A</v>
          </cell>
          <cell r="I349">
            <v>1</v>
          </cell>
          <cell r="J349">
            <v>1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</row>
        <row r="350">
          <cell r="C350" t="str">
            <v>N/HT</v>
          </cell>
          <cell r="D350">
            <v>0</v>
          </cell>
          <cell r="F350" t="e">
            <v>#N/A</v>
          </cell>
          <cell r="G350" t="e">
            <v>#N/A</v>
          </cell>
          <cell r="H350" t="e">
            <v>#N/A</v>
          </cell>
          <cell r="I350">
            <v>1</v>
          </cell>
          <cell r="J350">
            <v>1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</row>
        <row r="351">
          <cell r="C351" t="str">
            <v>N/HT</v>
          </cell>
          <cell r="D351">
            <v>0</v>
          </cell>
          <cell r="F351" t="e">
            <v>#N/A</v>
          </cell>
          <cell r="G351" t="e">
            <v>#N/A</v>
          </cell>
          <cell r="H351" t="e">
            <v>#N/A</v>
          </cell>
          <cell r="I351">
            <v>1</v>
          </cell>
          <cell r="J351">
            <v>1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</row>
        <row r="352">
          <cell r="C352" t="str">
            <v>N/HT</v>
          </cell>
          <cell r="D352">
            <v>0</v>
          </cell>
          <cell r="F352" t="e">
            <v>#N/A</v>
          </cell>
          <cell r="G352" t="e">
            <v>#N/A</v>
          </cell>
          <cell r="H352" t="e">
            <v>#N/A</v>
          </cell>
          <cell r="I352">
            <v>1</v>
          </cell>
          <cell r="J352">
            <v>1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</row>
        <row r="353">
          <cell r="C353" t="str">
            <v>N/HT</v>
          </cell>
          <cell r="D353">
            <v>0</v>
          </cell>
          <cell r="F353" t="e">
            <v>#N/A</v>
          </cell>
          <cell r="G353" t="e">
            <v>#N/A</v>
          </cell>
          <cell r="H353" t="e">
            <v>#N/A</v>
          </cell>
          <cell r="I353">
            <v>1</v>
          </cell>
          <cell r="J353">
            <v>1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</row>
        <row r="354">
          <cell r="C354" t="str">
            <v>N/HT</v>
          </cell>
          <cell r="D354">
            <v>0</v>
          </cell>
          <cell r="F354" t="e">
            <v>#N/A</v>
          </cell>
          <cell r="G354" t="e">
            <v>#N/A</v>
          </cell>
          <cell r="H354" t="e">
            <v>#N/A</v>
          </cell>
          <cell r="I354">
            <v>1</v>
          </cell>
          <cell r="J354">
            <v>1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</row>
        <row r="355">
          <cell r="C355" t="str">
            <v>N/HT</v>
          </cell>
          <cell r="D355">
            <v>0</v>
          </cell>
          <cell r="F355" t="e">
            <v>#N/A</v>
          </cell>
          <cell r="G355" t="e">
            <v>#N/A</v>
          </cell>
          <cell r="H355" t="e">
            <v>#N/A</v>
          </cell>
          <cell r="I355">
            <v>1</v>
          </cell>
          <cell r="J355">
            <v>1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</row>
        <row r="356">
          <cell r="C356" t="str">
            <v>N/HT</v>
          </cell>
          <cell r="D356">
            <v>0</v>
          </cell>
          <cell r="F356" t="e">
            <v>#N/A</v>
          </cell>
          <cell r="G356" t="e">
            <v>#N/A</v>
          </cell>
          <cell r="H356" t="e">
            <v>#N/A</v>
          </cell>
          <cell r="I356">
            <v>1</v>
          </cell>
          <cell r="J356">
            <v>1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</row>
        <row r="357">
          <cell r="C357" t="str">
            <v>N/HT</v>
          </cell>
          <cell r="D357">
            <v>0</v>
          </cell>
          <cell r="F357" t="e">
            <v>#N/A</v>
          </cell>
          <cell r="G357" t="e">
            <v>#N/A</v>
          </cell>
          <cell r="H357" t="e">
            <v>#N/A</v>
          </cell>
          <cell r="I357">
            <v>1</v>
          </cell>
          <cell r="J357">
            <v>1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</row>
        <row r="358">
          <cell r="C358" t="str">
            <v>N/HT</v>
          </cell>
          <cell r="D358">
            <v>0</v>
          </cell>
          <cell r="F358" t="e">
            <v>#N/A</v>
          </cell>
          <cell r="G358" t="e">
            <v>#N/A</v>
          </cell>
          <cell r="H358" t="e">
            <v>#N/A</v>
          </cell>
          <cell r="I358">
            <v>1</v>
          </cell>
          <cell r="J358">
            <v>1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</row>
        <row r="359">
          <cell r="C359" t="str">
            <v>N/HT</v>
          </cell>
          <cell r="D359">
            <v>0</v>
          </cell>
          <cell r="F359" t="e">
            <v>#N/A</v>
          </cell>
          <cell r="G359" t="e">
            <v>#N/A</v>
          </cell>
          <cell r="H359" t="e">
            <v>#N/A</v>
          </cell>
          <cell r="I359">
            <v>1</v>
          </cell>
          <cell r="J359">
            <v>1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</row>
        <row r="360">
          <cell r="C360" t="str">
            <v>N/HT</v>
          </cell>
          <cell r="D360">
            <v>0</v>
          </cell>
          <cell r="F360" t="e">
            <v>#N/A</v>
          </cell>
          <cell r="G360" t="e">
            <v>#N/A</v>
          </cell>
          <cell r="H360" t="e">
            <v>#N/A</v>
          </cell>
          <cell r="I360">
            <v>1</v>
          </cell>
          <cell r="J360">
            <v>1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</row>
        <row r="361">
          <cell r="C361" t="str">
            <v>N/HT</v>
          </cell>
          <cell r="D361">
            <v>0</v>
          </cell>
          <cell r="F361" t="e">
            <v>#N/A</v>
          </cell>
          <cell r="G361" t="e">
            <v>#N/A</v>
          </cell>
          <cell r="H361" t="e">
            <v>#N/A</v>
          </cell>
          <cell r="I361">
            <v>1</v>
          </cell>
          <cell r="J361">
            <v>1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</row>
        <row r="362">
          <cell r="C362" t="str">
            <v>N/HT</v>
          </cell>
          <cell r="D362">
            <v>0</v>
          </cell>
          <cell r="F362" t="e">
            <v>#N/A</v>
          </cell>
          <cell r="G362" t="e">
            <v>#N/A</v>
          </cell>
          <cell r="H362" t="e">
            <v>#N/A</v>
          </cell>
          <cell r="I362">
            <v>1</v>
          </cell>
          <cell r="J362">
            <v>1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</row>
        <row r="363">
          <cell r="C363" t="str">
            <v>N/HT</v>
          </cell>
          <cell r="D363">
            <v>0</v>
          </cell>
          <cell r="F363" t="e">
            <v>#N/A</v>
          </cell>
          <cell r="G363" t="e">
            <v>#N/A</v>
          </cell>
          <cell r="H363" t="e">
            <v>#N/A</v>
          </cell>
          <cell r="I363">
            <v>1</v>
          </cell>
          <cell r="J363">
            <v>1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</row>
        <row r="364">
          <cell r="C364" t="str">
            <v>N/HT</v>
          </cell>
          <cell r="D364">
            <v>0</v>
          </cell>
          <cell r="F364" t="e">
            <v>#N/A</v>
          </cell>
          <cell r="G364" t="e">
            <v>#N/A</v>
          </cell>
          <cell r="H364" t="e">
            <v>#N/A</v>
          </cell>
          <cell r="I364">
            <v>1</v>
          </cell>
          <cell r="J364">
            <v>1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</row>
        <row r="365">
          <cell r="C365" t="str">
            <v>N/HT</v>
          </cell>
          <cell r="D365">
            <v>0</v>
          </cell>
          <cell r="F365" t="e">
            <v>#N/A</v>
          </cell>
          <cell r="G365" t="e">
            <v>#N/A</v>
          </cell>
          <cell r="H365" t="e">
            <v>#N/A</v>
          </cell>
          <cell r="I365">
            <v>1</v>
          </cell>
          <cell r="J365">
            <v>1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</row>
        <row r="366">
          <cell r="C366" t="str">
            <v>N/HT</v>
          </cell>
          <cell r="D366">
            <v>0</v>
          </cell>
          <cell r="F366" t="e">
            <v>#N/A</v>
          </cell>
          <cell r="G366" t="e">
            <v>#N/A</v>
          </cell>
          <cell r="H366" t="e">
            <v>#N/A</v>
          </cell>
          <cell r="I366">
            <v>1</v>
          </cell>
          <cell r="J366">
            <v>1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</row>
        <row r="367">
          <cell r="C367" t="str">
            <v>N/HT</v>
          </cell>
          <cell r="D367">
            <v>0</v>
          </cell>
          <cell r="F367" t="e">
            <v>#N/A</v>
          </cell>
          <cell r="G367" t="e">
            <v>#N/A</v>
          </cell>
          <cell r="H367" t="e">
            <v>#N/A</v>
          </cell>
          <cell r="I367">
            <v>1</v>
          </cell>
          <cell r="J367">
            <v>1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</row>
        <row r="368">
          <cell r="C368" t="str">
            <v>N/HT</v>
          </cell>
          <cell r="D368">
            <v>0</v>
          </cell>
          <cell r="F368" t="e">
            <v>#N/A</v>
          </cell>
          <cell r="G368" t="e">
            <v>#N/A</v>
          </cell>
          <cell r="H368" t="e">
            <v>#N/A</v>
          </cell>
          <cell r="I368">
            <v>1</v>
          </cell>
          <cell r="J368">
            <v>1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</row>
        <row r="369">
          <cell r="C369" t="str">
            <v>N/HT</v>
          </cell>
          <cell r="D369">
            <v>0</v>
          </cell>
          <cell r="F369" t="e">
            <v>#N/A</v>
          </cell>
          <cell r="G369" t="e">
            <v>#N/A</v>
          </cell>
          <cell r="H369" t="e">
            <v>#N/A</v>
          </cell>
          <cell r="I369">
            <v>1</v>
          </cell>
          <cell r="J369">
            <v>1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</row>
        <row r="370">
          <cell r="C370" t="str">
            <v>N/HT</v>
          </cell>
          <cell r="D370">
            <v>0</v>
          </cell>
          <cell r="F370" t="e">
            <v>#N/A</v>
          </cell>
          <cell r="G370" t="e">
            <v>#N/A</v>
          </cell>
          <cell r="H370" t="e">
            <v>#N/A</v>
          </cell>
          <cell r="I370">
            <v>1</v>
          </cell>
          <cell r="J370">
            <v>1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</row>
        <row r="371">
          <cell r="C371" t="str">
            <v>N/HT</v>
          </cell>
          <cell r="D371">
            <v>0</v>
          </cell>
          <cell r="F371" t="e">
            <v>#N/A</v>
          </cell>
          <cell r="G371" t="e">
            <v>#N/A</v>
          </cell>
          <cell r="H371" t="e">
            <v>#N/A</v>
          </cell>
          <cell r="I371">
            <v>1</v>
          </cell>
          <cell r="J371">
            <v>1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</row>
        <row r="372">
          <cell r="C372" t="str">
            <v>N/HT</v>
          </cell>
          <cell r="D372">
            <v>0</v>
          </cell>
          <cell r="F372" t="e">
            <v>#N/A</v>
          </cell>
          <cell r="G372" t="e">
            <v>#N/A</v>
          </cell>
          <cell r="H372" t="e">
            <v>#N/A</v>
          </cell>
          <cell r="I372">
            <v>1</v>
          </cell>
          <cell r="J372">
            <v>1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</row>
        <row r="373">
          <cell r="C373" t="str">
            <v>N/HT</v>
          </cell>
          <cell r="D373">
            <v>0</v>
          </cell>
          <cell r="F373" t="e">
            <v>#N/A</v>
          </cell>
          <cell r="G373" t="e">
            <v>#N/A</v>
          </cell>
          <cell r="H373" t="e">
            <v>#N/A</v>
          </cell>
          <cell r="I373">
            <v>1</v>
          </cell>
          <cell r="J373">
            <v>1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</row>
        <row r="374">
          <cell r="C374" t="str">
            <v>N/HT</v>
          </cell>
          <cell r="D374">
            <v>0</v>
          </cell>
          <cell r="F374" t="e">
            <v>#N/A</v>
          </cell>
          <cell r="G374" t="e">
            <v>#N/A</v>
          </cell>
          <cell r="H374" t="e">
            <v>#N/A</v>
          </cell>
          <cell r="I374">
            <v>1</v>
          </cell>
          <cell r="J374">
            <v>1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</row>
        <row r="375">
          <cell r="C375" t="str">
            <v>N/HT</v>
          </cell>
          <cell r="D375">
            <v>0</v>
          </cell>
          <cell r="F375" t="e">
            <v>#N/A</v>
          </cell>
          <cell r="G375" t="e">
            <v>#N/A</v>
          </cell>
          <cell r="H375" t="e">
            <v>#N/A</v>
          </cell>
          <cell r="I375">
            <v>1</v>
          </cell>
          <cell r="J375">
            <v>1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</row>
        <row r="376">
          <cell r="C376" t="str">
            <v>N/HT</v>
          </cell>
          <cell r="D376">
            <v>0</v>
          </cell>
          <cell r="F376" t="e">
            <v>#N/A</v>
          </cell>
          <cell r="G376" t="e">
            <v>#N/A</v>
          </cell>
          <cell r="H376" t="e">
            <v>#N/A</v>
          </cell>
          <cell r="I376">
            <v>1</v>
          </cell>
          <cell r="J376">
            <v>1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</row>
        <row r="378">
          <cell r="C378" t="str">
            <v>No. Parte Htal:</v>
          </cell>
          <cell r="D378" t="str">
            <v>RQ</v>
          </cell>
          <cell r="E378" t="str">
            <v>Inventario</v>
          </cell>
          <cell r="F378" t="str">
            <v>Pz / Herramental</v>
          </cell>
          <cell r="G378" t="str">
            <v>Tiempo Entrega</v>
          </cell>
          <cell r="H378" t="str">
            <v>Mín</v>
          </cell>
          <cell r="I378" t="str">
            <v>Pto. Reorden</v>
          </cell>
          <cell r="J378" t="str">
            <v>Máx</v>
          </cell>
          <cell r="K378" t="str">
            <v>Mín</v>
          </cell>
          <cell r="L378" t="str">
            <v>Pto. Reorden</v>
          </cell>
          <cell r="M378" t="str">
            <v>Máx</v>
          </cell>
          <cell r="N378" t="str">
            <v>STATUS</v>
          </cell>
        </row>
        <row r="379">
          <cell r="D379">
            <v>0</v>
          </cell>
          <cell r="F379" t="e">
            <v>#N/A</v>
          </cell>
          <cell r="G379" t="e">
            <v>#N/A</v>
          </cell>
          <cell r="H379" t="e">
            <v>#N/A</v>
          </cell>
          <cell r="I379">
            <v>1</v>
          </cell>
          <cell r="J379">
            <v>1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</row>
        <row r="380">
          <cell r="D380">
            <v>0</v>
          </cell>
          <cell r="F380" t="e">
            <v>#N/A</v>
          </cell>
          <cell r="G380" t="e">
            <v>#N/A</v>
          </cell>
          <cell r="H380" t="e">
            <v>#N/A</v>
          </cell>
          <cell r="I380">
            <v>1</v>
          </cell>
          <cell r="J380">
            <v>1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</row>
        <row r="381">
          <cell r="D381">
            <v>0</v>
          </cell>
          <cell r="F381" t="e">
            <v>#N/A</v>
          </cell>
          <cell r="G381" t="e">
            <v>#N/A</v>
          </cell>
          <cell r="H381" t="e">
            <v>#N/A</v>
          </cell>
          <cell r="I381">
            <v>1</v>
          </cell>
          <cell r="J381">
            <v>1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</row>
        <row r="382">
          <cell r="D382">
            <v>0</v>
          </cell>
          <cell r="F382" t="e">
            <v>#N/A</v>
          </cell>
          <cell r="G382" t="e">
            <v>#N/A</v>
          </cell>
          <cell r="H382" t="e">
            <v>#N/A</v>
          </cell>
          <cell r="I382">
            <v>1</v>
          </cell>
          <cell r="J382">
            <v>1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</row>
        <row r="383">
          <cell r="D383">
            <v>0</v>
          </cell>
          <cell r="F383" t="e">
            <v>#N/A</v>
          </cell>
          <cell r="G383" t="e">
            <v>#N/A</v>
          </cell>
          <cell r="H383" t="e">
            <v>#N/A</v>
          </cell>
          <cell r="I383">
            <v>1</v>
          </cell>
          <cell r="J383">
            <v>1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</row>
        <row r="384">
          <cell r="D384">
            <v>0</v>
          </cell>
          <cell r="F384" t="e">
            <v>#N/A</v>
          </cell>
          <cell r="G384" t="e">
            <v>#N/A</v>
          </cell>
          <cell r="H384" t="e">
            <v>#N/A</v>
          </cell>
          <cell r="I384">
            <v>1</v>
          </cell>
          <cell r="J384">
            <v>1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</row>
        <row r="385">
          <cell r="D385">
            <v>0</v>
          </cell>
          <cell r="F385" t="e">
            <v>#N/A</v>
          </cell>
          <cell r="G385" t="e">
            <v>#N/A</v>
          </cell>
          <cell r="H385" t="e">
            <v>#N/A</v>
          </cell>
          <cell r="I385">
            <v>1</v>
          </cell>
          <cell r="J385">
            <v>1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</row>
        <row r="386">
          <cell r="D386">
            <v>0</v>
          </cell>
          <cell r="F386" t="e">
            <v>#N/A</v>
          </cell>
          <cell r="G386" t="e">
            <v>#N/A</v>
          </cell>
          <cell r="H386" t="e">
            <v>#N/A</v>
          </cell>
          <cell r="I386">
            <v>1</v>
          </cell>
          <cell r="J386">
            <v>1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</row>
        <row r="387">
          <cell r="D387">
            <v>0</v>
          </cell>
          <cell r="F387" t="e">
            <v>#N/A</v>
          </cell>
          <cell r="G387" t="e">
            <v>#N/A</v>
          </cell>
          <cell r="H387" t="e">
            <v>#N/A</v>
          </cell>
          <cell r="I387">
            <v>1</v>
          </cell>
          <cell r="J387">
            <v>1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</row>
        <row r="388">
          <cell r="D388">
            <v>0</v>
          </cell>
          <cell r="F388" t="e">
            <v>#N/A</v>
          </cell>
          <cell r="G388" t="e">
            <v>#N/A</v>
          </cell>
          <cell r="H388" t="e">
            <v>#N/A</v>
          </cell>
          <cell r="I388">
            <v>1</v>
          </cell>
          <cell r="J388">
            <v>1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</row>
        <row r="389">
          <cell r="D389">
            <v>0</v>
          </cell>
          <cell r="F389" t="e">
            <v>#N/A</v>
          </cell>
          <cell r="G389" t="e">
            <v>#N/A</v>
          </cell>
          <cell r="H389" t="e">
            <v>#N/A</v>
          </cell>
          <cell r="I389">
            <v>1</v>
          </cell>
          <cell r="J389">
            <v>1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</row>
        <row r="390">
          <cell r="D390">
            <v>0</v>
          </cell>
          <cell r="E390" t="str">
            <v xml:space="preserve"> </v>
          </cell>
          <cell r="F390" t="e">
            <v>#N/A</v>
          </cell>
          <cell r="G390" t="e">
            <v>#N/A</v>
          </cell>
          <cell r="H390" t="e">
            <v>#N/A</v>
          </cell>
          <cell r="I390">
            <v>1</v>
          </cell>
          <cell r="J390">
            <v>1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</row>
        <row r="391">
          <cell r="D391">
            <v>0</v>
          </cell>
          <cell r="F391" t="e">
            <v>#N/A</v>
          </cell>
          <cell r="G391" t="e">
            <v>#N/A</v>
          </cell>
          <cell r="H391" t="e">
            <v>#N/A</v>
          </cell>
          <cell r="I391">
            <v>1</v>
          </cell>
          <cell r="J391">
            <v>1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</row>
        <row r="392">
          <cell r="D392">
            <v>0</v>
          </cell>
          <cell r="F392" t="e">
            <v>#N/A</v>
          </cell>
          <cell r="G392" t="e">
            <v>#N/A</v>
          </cell>
          <cell r="H392" t="e">
            <v>#N/A</v>
          </cell>
          <cell r="I392">
            <v>1</v>
          </cell>
          <cell r="J392">
            <v>1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</row>
        <row r="393">
          <cell r="D393">
            <v>0</v>
          </cell>
          <cell r="F393" t="e">
            <v>#N/A</v>
          </cell>
          <cell r="G393" t="e">
            <v>#N/A</v>
          </cell>
          <cell r="H393" t="e">
            <v>#N/A</v>
          </cell>
          <cell r="I393">
            <v>1</v>
          </cell>
          <cell r="J393">
            <v>1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</row>
        <row r="394">
          <cell r="D394">
            <v>0</v>
          </cell>
          <cell r="F394" t="e">
            <v>#N/A</v>
          </cell>
          <cell r="G394" t="e">
            <v>#N/A</v>
          </cell>
          <cell r="H394" t="e">
            <v>#N/A</v>
          </cell>
          <cell r="I394">
            <v>1</v>
          </cell>
          <cell r="J394">
            <v>1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</row>
        <row r="395">
          <cell r="D395">
            <v>0</v>
          </cell>
          <cell r="F395" t="e">
            <v>#N/A</v>
          </cell>
          <cell r="G395" t="e">
            <v>#N/A</v>
          </cell>
          <cell r="H395" t="e">
            <v>#N/A</v>
          </cell>
          <cell r="I395">
            <v>1</v>
          </cell>
          <cell r="J395">
            <v>1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</row>
        <row r="396">
          <cell r="D396">
            <v>0</v>
          </cell>
          <cell r="F396" t="e">
            <v>#N/A</v>
          </cell>
          <cell r="G396" t="e">
            <v>#N/A</v>
          </cell>
          <cell r="H396" t="e">
            <v>#N/A</v>
          </cell>
          <cell r="I396">
            <v>1</v>
          </cell>
          <cell r="J396">
            <v>1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</row>
        <row r="397">
          <cell r="D397">
            <v>0</v>
          </cell>
          <cell r="F397" t="e">
            <v>#N/A</v>
          </cell>
          <cell r="G397" t="e">
            <v>#N/A</v>
          </cell>
          <cell r="H397" t="e">
            <v>#N/A</v>
          </cell>
          <cell r="I397">
            <v>1</v>
          </cell>
          <cell r="J397">
            <v>1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</row>
        <row r="398">
          <cell r="D398">
            <v>0</v>
          </cell>
          <cell r="F398" t="e">
            <v>#N/A</v>
          </cell>
          <cell r="G398" t="e">
            <v>#N/A</v>
          </cell>
          <cell r="H398" t="e">
            <v>#N/A</v>
          </cell>
          <cell r="I398">
            <v>1</v>
          </cell>
          <cell r="J398">
            <v>1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</row>
        <row r="399">
          <cell r="D399">
            <v>0</v>
          </cell>
          <cell r="F399" t="e">
            <v>#N/A</v>
          </cell>
          <cell r="G399" t="e">
            <v>#N/A</v>
          </cell>
          <cell r="H399" t="e">
            <v>#N/A</v>
          </cell>
          <cell r="I399">
            <v>1</v>
          </cell>
          <cell r="J399">
            <v>1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</row>
        <row r="400">
          <cell r="D400">
            <v>0</v>
          </cell>
          <cell r="F400" t="e">
            <v>#N/A</v>
          </cell>
          <cell r="G400" t="e">
            <v>#N/A</v>
          </cell>
          <cell r="H400" t="e">
            <v>#N/A</v>
          </cell>
          <cell r="I400">
            <v>1</v>
          </cell>
          <cell r="J400">
            <v>1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</row>
        <row r="401">
          <cell r="D401">
            <v>0</v>
          </cell>
          <cell r="F401" t="e">
            <v>#N/A</v>
          </cell>
          <cell r="G401" t="e">
            <v>#N/A</v>
          </cell>
          <cell r="H401" t="e">
            <v>#N/A</v>
          </cell>
          <cell r="I401">
            <v>1</v>
          </cell>
          <cell r="J401">
            <v>1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</row>
        <row r="402">
          <cell r="D402">
            <v>0</v>
          </cell>
          <cell r="F402" t="e">
            <v>#N/A</v>
          </cell>
          <cell r="G402" t="e">
            <v>#N/A</v>
          </cell>
          <cell r="H402" t="e">
            <v>#N/A</v>
          </cell>
          <cell r="I402">
            <v>1</v>
          </cell>
          <cell r="J402">
            <v>1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</row>
        <row r="403">
          <cell r="D403">
            <v>0</v>
          </cell>
          <cell r="F403" t="e">
            <v>#N/A</v>
          </cell>
          <cell r="G403" t="e">
            <v>#N/A</v>
          </cell>
          <cell r="H403" t="e">
            <v>#N/A</v>
          </cell>
          <cell r="I403">
            <v>1</v>
          </cell>
          <cell r="J403">
            <v>1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</row>
        <row r="404">
          <cell r="D404">
            <v>0</v>
          </cell>
          <cell r="F404" t="e">
            <v>#N/A</v>
          </cell>
          <cell r="G404" t="e">
            <v>#N/A</v>
          </cell>
          <cell r="H404" t="e">
            <v>#N/A</v>
          </cell>
          <cell r="I404">
            <v>1</v>
          </cell>
          <cell r="J404">
            <v>1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</row>
        <row r="405">
          <cell r="D405">
            <v>0</v>
          </cell>
          <cell r="F405" t="e">
            <v>#N/A</v>
          </cell>
          <cell r="G405" t="e">
            <v>#N/A</v>
          </cell>
          <cell r="H405" t="e">
            <v>#N/A</v>
          </cell>
          <cell r="I405">
            <v>1</v>
          </cell>
          <cell r="J405">
            <v>1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</row>
        <row r="406">
          <cell r="D406">
            <v>0</v>
          </cell>
          <cell r="F406" t="e">
            <v>#N/A</v>
          </cell>
          <cell r="G406" t="e">
            <v>#N/A</v>
          </cell>
          <cell r="H406" t="e">
            <v>#N/A</v>
          </cell>
          <cell r="I406">
            <v>1</v>
          </cell>
          <cell r="J406">
            <v>1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</row>
        <row r="407">
          <cell r="D407">
            <v>0</v>
          </cell>
          <cell r="F407" t="e">
            <v>#N/A</v>
          </cell>
          <cell r="G407" t="e">
            <v>#N/A</v>
          </cell>
          <cell r="H407" t="e">
            <v>#N/A</v>
          </cell>
          <cell r="I407">
            <v>1</v>
          </cell>
          <cell r="J407">
            <v>1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</row>
        <row r="408">
          <cell r="D408">
            <v>0</v>
          </cell>
          <cell r="F408" t="e">
            <v>#N/A</v>
          </cell>
          <cell r="G408" t="e">
            <v>#N/A</v>
          </cell>
          <cell r="H408" t="e">
            <v>#N/A</v>
          </cell>
          <cell r="I408">
            <v>1</v>
          </cell>
          <cell r="J408">
            <v>1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</row>
        <row r="409">
          <cell r="D409">
            <v>0</v>
          </cell>
          <cell r="F409" t="e">
            <v>#N/A</v>
          </cell>
          <cell r="G409" t="e">
            <v>#N/A</v>
          </cell>
          <cell r="H409" t="e">
            <v>#N/A</v>
          </cell>
          <cell r="I409">
            <v>1</v>
          </cell>
          <cell r="J409">
            <v>1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</row>
        <row r="410">
          <cell r="D410">
            <v>0</v>
          </cell>
          <cell r="F410" t="e">
            <v>#N/A</v>
          </cell>
          <cell r="G410" t="e">
            <v>#N/A</v>
          </cell>
          <cell r="H410" t="e">
            <v>#N/A</v>
          </cell>
          <cell r="I410">
            <v>1</v>
          </cell>
          <cell r="J410">
            <v>1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</row>
        <row r="412">
          <cell r="C412" t="str">
            <v>No. Parte Htal:</v>
          </cell>
          <cell r="D412" t="str">
            <v>RQ</v>
          </cell>
          <cell r="E412" t="str">
            <v>Inventario</v>
          </cell>
          <cell r="F412" t="str">
            <v>Pz / Herramental</v>
          </cell>
          <cell r="G412" t="str">
            <v>Tiempo Entrega</v>
          </cell>
          <cell r="H412" t="str">
            <v>Mín</v>
          </cell>
          <cell r="I412" t="str">
            <v>Pto. Reorden</v>
          </cell>
          <cell r="J412" t="str">
            <v>Máx</v>
          </cell>
          <cell r="K412" t="str">
            <v>Mín</v>
          </cell>
          <cell r="L412" t="str">
            <v>Pto. Reorden</v>
          </cell>
          <cell r="M412" t="str">
            <v>Máx</v>
          </cell>
          <cell r="N412" t="str">
            <v>STATUS</v>
          </cell>
        </row>
        <row r="413">
          <cell r="D413">
            <v>0</v>
          </cell>
          <cell r="F413" t="e">
            <v>#N/A</v>
          </cell>
          <cell r="G413" t="e">
            <v>#N/A</v>
          </cell>
          <cell r="H413" t="e">
            <v>#N/A</v>
          </cell>
          <cell r="I413">
            <v>1</v>
          </cell>
          <cell r="J413">
            <v>1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</row>
        <row r="414">
          <cell r="D414">
            <v>0</v>
          </cell>
          <cell r="F414" t="e">
            <v>#N/A</v>
          </cell>
          <cell r="G414" t="e">
            <v>#N/A</v>
          </cell>
          <cell r="H414" t="e">
            <v>#N/A</v>
          </cell>
          <cell r="I414">
            <v>1</v>
          </cell>
          <cell r="J414">
            <v>1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</row>
        <row r="415">
          <cell r="D415">
            <v>0</v>
          </cell>
          <cell r="F415" t="e">
            <v>#N/A</v>
          </cell>
          <cell r="G415" t="e">
            <v>#N/A</v>
          </cell>
          <cell r="H415" t="e">
            <v>#N/A</v>
          </cell>
          <cell r="I415">
            <v>1</v>
          </cell>
          <cell r="J415">
            <v>1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</row>
        <row r="416">
          <cell r="D416">
            <v>0</v>
          </cell>
          <cell r="F416" t="e">
            <v>#N/A</v>
          </cell>
          <cell r="G416" t="e">
            <v>#N/A</v>
          </cell>
          <cell r="H416" t="e">
            <v>#N/A</v>
          </cell>
          <cell r="I416">
            <v>1</v>
          </cell>
          <cell r="J416">
            <v>1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</row>
        <row r="417">
          <cell r="D417">
            <v>0</v>
          </cell>
          <cell r="F417" t="e">
            <v>#N/A</v>
          </cell>
          <cell r="G417" t="e">
            <v>#N/A</v>
          </cell>
          <cell r="H417" t="e">
            <v>#N/A</v>
          </cell>
          <cell r="I417">
            <v>1</v>
          </cell>
          <cell r="J417">
            <v>1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</row>
        <row r="418">
          <cell r="D418">
            <v>0</v>
          </cell>
          <cell r="F418" t="e">
            <v>#N/A</v>
          </cell>
          <cell r="G418" t="e">
            <v>#N/A</v>
          </cell>
          <cell r="H418" t="e">
            <v>#N/A</v>
          </cell>
          <cell r="I418">
            <v>1</v>
          </cell>
          <cell r="J418">
            <v>1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</row>
        <row r="419">
          <cell r="C419" t="str">
            <v>N/HT</v>
          </cell>
          <cell r="D419">
            <v>0</v>
          </cell>
          <cell r="F419" t="e">
            <v>#N/A</v>
          </cell>
          <cell r="G419" t="e">
            <v>#N/A</v>
          </cell>
          <cell r="H419" t="e">
            <v>#N/A</v>
          </cell>
          <cell r="I419">
            <v>1</v>
          </cell>
          <cell r="J419">
            <v>1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</row>
        <row r="420">
          <cell r="C420" t="str">
            <v>N/HT</v>
          </cell>
          <cell r="D420">
            <v>0</v>
          </cell>
          <cell r="F420" t="e">
            <v>#N/A</v>
          </cell>
          <cell r="G420" t="e">
            <v>#N/A</v>
          </cell>
          <cell r="H420" t="e">
            <v>#N/A</v>
          </cell>
          <cell r="I420">
            <v>1</v>
          </cell>
          <cell r="J420">
            <v>1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</row>
        <row r="421">
          <cell r="C421" t="str">
            <v>N/HT</v>
          </cell>
          <cell r="D421">
            <v>0</v>
          </cell>
          <cell r="F421" t="e">
            <v>#N/A</v>
          </cell>
          <cell r="G421" t="e">
            <v>#N/A</v>
          </cell>
          <cell r="H421" t="e">
            <v>#N/A</v>
          </cell>
          <cell r="I421">
            <v>1</v>
          </cell>
          <cell r="J421">
            <v>1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</row>
        <row r="422">
          <cell r="C422" t="str">
            <v>N/HT</v>
          </cell>
          <cell r="D422">
            <v>0</v>
          </cell>
          <cell r="F422" t="e">
            <v>#N/A</v>
          </cell>
          <cell r="G422" t="e">
            <v>#N/A</v>
          </cell>
          <cell r="H422" t="e">
            <v>#N/A</v>
          </cell>
          <cell r="I422">
            <v>1</v>
          </cell>
          <cell r="J422">
            <v>1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</row>
        <row r="423">
          <cell r="C423" t="str">
            <v>N/HT</v>
          </cell>
          <cell r="D423">
            <v>0</v>
          </cell>
          <cell r="F423" t="e">
            <v>#N/A</v>
          </cell>
          <cell r="G423" t="e">
            <v>#N/A</v>
          </cell>
          <cell r="H423" t="e">
            <v>#N/A</v>
          </cell>
          <cell r="I423">
            <v>1</v>
          </cell>
          <cell r="J423">
            <v>1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</row>
        <row r="424">
          <cell r="C424" t="str">
            <v>N/HT</v>
          </cell>
          <cell r="D424">
            <v>0</v>
          </cell>
          <cell r="E424" t="str">
            <v xml:space="preserve"> </v>
          </cell>
          <cell r="F424" t="e">
            <v>#N/A</v>
          </cell>
          <cell r="G424" t="e">
            <v>#N/A</v>
          </cell>
          <cell r="H424" t="e">
            <v>#N/A</v>
          </cell>
          <cell r="I424">
            <v>1</v>
          </cell>
          <cell r="J424">
            <v>1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</row>
        <row r="425">
          <cell r="C425" t="str">
            <v>N/HT</v>
          </cell>
          <cell r="D425">
            <v>0</v>
          </cell>
          <cell r="F425" t="e">
            <v>#N/A</v>
          </cell>
          <cell r="G425" t="e">
            <v>#N/A</v>
          </cell>
          <cell r="H425" t="e">
            <v>#N/A</v>
          </cell>
          <cell r="I425">
            <v>1</v>
          </cell>
          <cell r="J425">
            <v>1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</row>
        <row r="426">
          <cell r="C426" t="str">
            <v>N/HT</v>
          </cell>
          <cell r="D426">
            <v>0</v>
          </cell>
          <cell r="F426" t="e">
            <v>#N/A</v>
          </cell>
          <cell r="G426" t="e">
            <v>#N/A</v>
          </cell>
          <cell r="H426" t="e">
            <v>#N/A</v>
          </cell>
          <cell r="I426">
            <v>1</v>
          </cell>
          <cell r="J426">
            <v>1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</row>
        <row r="427">
          <cell r="C427" t="str">
            <v>N/HT</v>
          </cell>
          <cell r="D427">
            <v>0</v>
          </cell>
          <cell r="F427" t="e">
            <v>#N/A</v>
          </cell>
          <cell r="G427" t="e">
            <v>#N/A</v>
          </cell>
          <cell r="H427" t="e">
            <v>#N/A</v>
          </cell>
          <cell r="I427">
            <v>1</v>
          </cell>
          <cell r="J427">
            <v>1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</row>
        <row r="428">
          <cell r="C428" t="str">
            <v>N/HT</v>
          </cell>
          <cell r="D428">
            <v>0</v>
          </cell>
          <cell r="F428" t="e">
            <v>#N/A</v>
          </cell>
          <cell r="G428" t="e">
            <v>#N/A</v>
          </cell>
          <cell r="H428" t="e">
            <v>#N/A</v>
          </cell>
          <cell r="I428">
            <v>1</v>
          </cell>
          <cell r="J428">
            <v>1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</row>
        <row r="429">
          <cell r="C429" t="str">
            <v>N/HT</v>
          </cell>
          <cell r="D429">
            <v>0</v>
          </cell>
          <cell r="F429" t="e">
            <v>#N/A</v>
          </cell>
          <cell r="G429" t="e">
            <v>#N/A</v>
          </cell>
          <cell r="H429" t="e">
            <v>#N/A</v>
          </cell>
          <cell r="I429">
            <v>1</v>
          </cell>
          <cell r="J429">
            <v>1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</row>
        <row r="430">
          <cell r="C430" t="str">
            <v>N/HT</v>
          </cell>
          <cell r="D430">
            <v>0</v>
          </cell>
          <cell r="F430" t="e">
            <v>#N/A</v>
          </cell>
          <cell r="G430" t="e">
            <v>#N/A</v>
          </cell>
          <cell r="H430" t="e">
            <v>#N/A</v>
          </cell>
          <cell r="I430">
            <v>1</v>
          </cell>
          <cell r="J430">
            <v>1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</row>
        <row r="431">
          <cell r="C431" t="str">
            <v>N/HT</v>
          </cell>
          <cell r="D431">
            <v>0</v>
          </cell>
          <cell r="F431" t="e">
            <v>#N/A</v>
          </cell>
          <cell r="G431" t="e">
            <v>#N/A</v>
          </cell>
          <cell r="H431" t="e">
            <v>#N/A</v>
          </cell>
          <cell r="I431">
            <v>1</v>
          </cell>
          <cell r="J431">
            <v>1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</row>
        <row r="432">
          <cell r="C432" t="str">
            <v>N/HT</v>
          </cell>
          <cell r="D432">
            <v>0</v>
          </cell>
          <cell r="F432" t="e">
            <v>#N/A</v>
          </cell>
          <cell r="G432" t="e">
            <v>#N/A</v>
          </cell>
          <cell r="H432" t="e">
            <v>#N/A</v>
          </cell>
          <cell r="I432">
            <v>1</v>
          </cell>
          <cell r="J432">
            <v>1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</row>
        <row r="433">
          <cell r="C433" t="str">
            <v>N/HT</v>
          </cell>
          <cell r="D433">
            <v>0</v>
          </cell>
          <cell r="F433" t="e">
            <v>#N/A</v>
          </cell>
          <cell r="G433" t="e">
            <v>#N/A</v>
          </cell>
          <cell r="H433" t="e">
            <v>#N/A</v>
          </cell>
          <cell r="I433">
            <v>1</v>
          </cell>
          <cell r="J433">
            <v>1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</row>
        <row r="434">
          <cell r="C434" t="str">
            <v>N/HT</v>
          </cell>
          <cell r="D434">
            <v>0</v>
          </cell>
          <cell r="F434" t="e">
            <v>#N/A</v>
          </cell>
          <cell r="G434" t="e">
            <v>#N/A</v>
          </cell>
          <cell r="H434" t="e">
            <v>#N/A</v>
          </cell>
          <cell r="I434">
            <v>1</v>
          </cell>
          <cell r="J434">
            <v>1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</row>
        <row r="435">
          <cell r="C435" t="str">
            <v>N/HT</v>
          </cell>
          <cell r="D435">
            <v>0</v>
          </cell>
          <cell r="F435" t="e">
            <v>#N/A</v>
          </cell>
          <cell r="G435" t="e">
            <v>#N/A</v>
          </cell>
          <cell r="H435" t="e">
            <v>#N/A</v>
          </cell>
          <cell r="I435">
            <v>1</v>
          </cell>
          <cell r="J435">
            <v>1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</row>
        <row r="436">
          <cell r="C436" t="str">
            <v>N/HT</v>
          </cell>
          <cell r="D436">
            <v>0</v>
          </cell>
          <cell r="F436" t="e">
            <v>#N/A</v>
          </cell>
          <cell r="G436" t="e">
            <v>#N/A</v>
          </cell>
          <cell r="H436" t="e">
            <v>#N/A</v>
          </cell>
          <cell r="I436">
            <v>1</v>
          </cell>
          <cell r="J436">
            <v>1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</row>
        <row r="437">
          <cell r="C437" t="str">
            <v>N/HT</v>
          </cell>
          <cell r="D437">
            <v>0</v>
          </cell>
          <cell r="F437" t="e">
            <v>#N/A</v>
          </cell>
          <cell r="G437" t="e">
            <v>#N/A</v>
          </cell>
          <cell r="H437" t="e">
            <v>#N/A</v>
          </cell>
          <cell r="I437">
            <v>1</v>
          </cell>
          <cell r="J437">
            <v>1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</row>
        <row r="438">
          <cell r="C438" t="str">
            <v>N/HT</v>
          </cell>
          <cell r="D438">
            <v>0</v>
          </cell>
          <cell r="F438" t="e">
            <v>#N/A</v>
          </cell>
          <cell r="G438" t="e">
            <v>#N/A</v>
          </cell>
          <cell r="H438" t="e">
            <v>#N/A</v>
          </cell>
          <cell r="I438">
            <v>1</v>
          </cell>
          <cell r="J438">
            <v>1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</row>
        <row r="439">
          <cell r="C439" t="str">
            <v>N/HT</v>
          </cell>
          <cell r="D439">
            <v>0</v>
          </cell>
          <cell r="F439" t="e">
            <v>#N/A</v>
          </cell>
          <cell r="G439" t="e">
            <v>#N/A</v>
          </cell>
          <cell r="H439" t="e">
            <v>#N/A</v>
          </cell>
          <cell r="I439">
            <v>1</v>
          </cell>
          <cell r="J439">
            <v>1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</row>
        <row r="440">
          <cell r="C440" t="str">
            <v>N/HT</v>
          </cell>
          <cell r="D440">
            <v>0</v>
          </cell>
          <cell r="F440" t="e">
            <v>#N/A</v>
          </cell>
          <cell r="G440" t="e">
            <v>#N/A</v>
          </cell>
          <cell r="H440" t="e">
            <v>#N/A</v>
          </cell>
          <cell r="I440">
            <v>1</v>
          </cell>
          <cell r="J440">
            <v>1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</row>
        <row r="441">
          <cell r="C441" t="str">
            <v>N/HT</v>
          </cell>
          <cell r="D441">
            <v>0</v>
          </cell>
          <cell r="F441" t="e">
            <v>#N/A</v>
          </cell>
          <cell r="G441" t="e">
            <v>#N/A</v>
          </cell>
          <cell r="H441" t="e">
            <v>#N/A</v>
          </cell>
          <cell r="I441">
            <v>1</v>
          </cell>
          <cell r="J441">
            <v>1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</row>
        <row r="442">
          <cell r="C442" t="str">
            <v>N/HT</v>
          </cell>
          <cell r="D442">
            <v>0</v>
          </cell>
          <cell r="F442" t="e">
            <v>#N/A</v>
          </cell>
          <cell r="G442" t="e">
            <v>#N/A</v>
          </cell>
          <cell r="H442" t="e">
            <v>#N/A</v>
          </cell>
          <cell r="I442">
            <v>1</v>
          </cell>
          <cell r="J442">
            <v>1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</row>
        <row r="443">
          <cell r="C443" t="str">
            <v>N/HT</v>
          </cell>
          <cell r="D443">
            <v>0</v>
          </cell>
          <cell r="F443" t="e">
            <v>#N/A</v>
          </cell>
          <cell r="G443" t="e">
            <v>#N/A</v>
          </cell>
          <cell r="H443" t="e">
            <v>#N/A</v>
          </cell>
          <cell r="I443">
            <v>1</v>
          </cell>
          <cell r="J443">
            <v>1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</row>
        <row r="444">
          <cell r="C444" t="str">
            <v>N/HT</v>
          </cell>
          <cell r="D444">
            <v>0</v>
          </cell>
          <cell r="F444" t="e">
            <v>#N/A</v>
          </cell>
          <cell r="G444" t="e">
            <v>#N/A</v>
          </cell>
          <cell r="H444" t="e">
            <v>#N/A</v>
          </cell>
          <cell r="I444">
            <v>1</v>
          </cell>
          <cell r="J444">
            <v>1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</row>
        <row r="446">
          <cell r="C446" t="str">
            <v>No. Parte Htal:</v>
          </cell>
          <cell r="D446" t="str">
            <v>RQ</v>
          </cell>
          <cell r="E446" t="str">
            <v>Inventario</v>
          </cell>
          <cell r="F446" t="str">
            <v>Pz / Herramental</v>
          </cell>
          <cell r="G446" t="str">
            <v>Tiempo Entrega</v>
          </cell>
          <cell r="H446" t="str">
            <v>Mín</v>
          </cell>
          <cell r="I446" t="str">
            <v>Pto. Reorden</v>
          </cell>
          <cell r="J446" t="str">
            <v>Máx</v>
          </cell>
          <cell r="K446" t="str">
            <v>Mín</v>
          </cell>
          <cell r="L446" t="str">
            <v>Pto. Reorden</v>
          </cell>
          <cell r="M446" t="str">
            <v>Máx</v>
          </cell>
          <cell r="N446" t="str">
            <v>STATUS</v>
          </cell>
        </row>
        <row r="447">
          <cell r="D447">
            <v>0</v>
          </cell>
          <cell r="F447" t="e">
            <v>#N/A</v>
          </cell>
          <cell r="G447" t="e">
            <v>#N/A</v>
          </cell>
          <cell r="H447" t="e">
            <v>#N/A</v>
          </cell>
          <cell r="I447">
            <v>1</v>
          </cell>
          <cell r="J447">
            <v>1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</row>
        <row r="448">
          <cell r="D448">
            <v>0</v>
          </cell>
          <cell r="F448" t="e">
            <v>#N/A</v>
          </cell>
          <cell r="G448" t="e">
            <v>#N/A</v>
          </cell>
          <cell r="H448" t="e">
            <v>#N/A</v>
          </cell>
          <cell r="I448">
            <v>1</v>
          </cell>
          <cell r="J448">
            <v>1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</row>
        <row r="449">
          <cell r="D449">
            <v>0</v>
          </cell>
          <cell r="F449" t="e">
            <v>#N/A</v>
          </cell>
          <cell r="G449" t="e">
            <v>#N/A</v>
          </cell>
          <cell r="H449" t="e">
            <v>#N/A</v>
          </cell>
          <cell r="I449">
            <v>1</v>
          </cell>
          <cell r="J449">
            <v>1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</row>
        <row r="450">
          <cell r="D450">
            <v>0</v>
          </cell>
          <cell r="F450" t="e">
            <v>#N/A</v>
          </cell>
          <cell r="G450" t="e">
            <v>#N/A</v>
          </cell>
          <cell r="H450" t="e">
            <v>#N/A</v>
          </cell>
          <cell r="I450">
            <v>1</v>
          </cell>
          <cell r="J450">
            <v>1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</row>
        <row r="451">
          <cell r="D451">
            <v>0</v>
          </cell>
          <cell r="F451" t="e">
            <v>#N/A</v>
          </cell>
          <cell r="G451" t="e">
            <v>#N/A</v>
          </cell>
          <cell r="H451" t="e">
            <v>#N/A</v>
          </cell>
          <cell r="I451">
            <v>1</v>
          </cell>
          <cell r="J451">
            <v>1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</row>
        <row r="452">
          <cell r="D452">
            <v>0</v>
          </cell>
          <cell r="F452" t="e">
            <v>#N/A</v>
          </cell>
          <cell r="G452" t="e">
            <v>#N/A</v>
          </cell>
          <cell r="H452" t="e">
            <v>#N/A</v>
          </cell>
          <cell r="I452">
            <v>1</v>
          </cell>
          <cell r="J452">
            <v>1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</row>
        <row r="453">
          <cell r="D453">
            <v>0</v>
          </cell>
          <cell r="F453" t="e">
            <v>#N/A</v>
          </cell>
          <cell r="G453" t="e">
            <v>#N/A</v>
          </cell>
          <cell r="H453" t="e">
            <v>#N/A</v>
          </cell>
          <cell r="I453">
            <v>1</v>
          </cell>
          <cell r="J453">
            <v>1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</row>
        <row r="454">
          <cell r="D454">
            <v>0</v>
          </cell>
          <cell r="F454" t="e">
            <v>#N/A</v>
          </cell>
          <cell r="G454" t="e">
            <v>#N/A</v>
          </cell>
          <cell r="H454" t="e">
            <v>#N/A</v>
          </cell>
          <cell r="I454">
            <v>1</v>
          </cell>
          <cell r="J454">
            <v>1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</row>
        <row r="455">
          <cell r="D455">
            <v>0</v>
          </cell>
          <cell r="F455" t="e">
            <v>#N/A</v>
          </cell>
          <cell r="G455" t="e">
            <v>#N/A</v>
          </cell>
          <cell r="H455" t="e">
            <v>#N/A</v>
          </cell>
          <cell r="I455">
            <v>1</v>
          </cell>
          <cell r="J455">
            <v>1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</row>
        <row r="456">
          <cell r="D456">
            <v>0</v>
          </cell>
          <cell r="F456" t="e">
            <v>#N/A</v>
          </cell>
          <cell r="G456" t="e">
            <v>#N/A</v>
          </cell>
          <cell r="H456" t="e">
            <v>#N/A</v>
          </cell>
          <cell r="I456">
            <v>1</v>
          </cell>
          <cell r="J456">
            <v>1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</row>
        <row r="457">
          <cell r="D457">
            <v>0</v>
          </cell>
          <cell r="F457" t="e">
            <v>#N/A</v>
          </cell>
          <cell r="G457" t="e">
            <v>#N/A</v>
          </cell>
          <cell r="H457" t="e">
            <v>#N/A</v>
          </cell>
          <cell r="I457">
            <v>1</v>
          </cell>
          <cell r="J457">
            <v>1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</row>
        <row r="458">
          <cell r="C458" t="str">
            <v>N/HT</v>
          </cell>
          <cell r="D458">
            <v>0</v>
          </cell>
          <cell r="E458" t="str">
            <v xml:space="preserve"> </v>
          </cell>
          <cell r="F458" t="e">
            <v>#N/A</v>
          </cell>
          <cell r="G458" t="e">
            <v>#N/A</v>
          </cell>
          <cell r="H458" t="e">
            <v>#N/A</v>
          </cell>
          <cell r="I458">
            <v>1</v>
          </cell>
          <cell r="J458">
            <v>1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</row>
        <row r="459">
          <cell r="C459" t="str">
            <v>N/HT</v>
          </cell>
          <cell r="D459">
            <v>0</v>
          </cell>
          <cell r="F459" t="e">
            <v>#N/A</v>
          </cell>
          <cell r="G459" t="e">
            <v>#N/A</v>
          </cell>
          <cell r="H459" t="e">
            <v>#N/A</v>
          </cell>
          <cell r="I459">
            <v>1</v>
          </cell>
          <cell r="J459">
            <v>1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</row>
        <row r="460">
          <cell r="C460" t="str">
            <v>N/HT</v>
          </cell>
          <cell r="D460">
            <v>0</v>
          </cell>
          <cell r="F460" t="e">
            <v>#N/A</v>
          </cell>
          <cell r="G460" t="e">
            <v>#N/A</v>
          </cell>
          <cell r="H460" t="e">
            <v>#N/A</v>
          </cell>
          <cell r="I460">
            <v>1</v>
          </cell>
          <cell r="J460">
            <v>1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</row>
        <row r="461">
          <cell r="C461" t="str">
            <v>N/HT</v>
          </cell>
          <cell r="D461">
            <v>0</v>
          </cell>
          <cell r="F461" t="e">
            <v>#N/A</v>
          </cell>
          <cell r="G461" t="e">
            <v>#N/A</v>
          </cell>
          <cell r="H461" t="e">
            <v>#N/A</v>
          </cell>
          <cell r="I461">
            <v>1</v>
          </cell>
          <cell r="J461">
            <v>1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</row>
        <row r="462">
          <cell r="C462" t="str">
            <v>N/HT</v>
          </cell>
          <cell r="D462">
            <v>0</v>
          </cell>
          <cell r="F462" t="e">
            <v>#N/A</v>
          </cell>
          <cell r="G462" t="e">
            <v>#N/A</v>
          </cell>
          <cell r="H462" t="e">
            <v>#N/A</v>
          </cell>
          <cell r="I462">
            <v>1</v>
          </cell>
          <cell r="J462">
            <v>1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</row>
        <row r="463">
          <cell r="C463" t="str">
            <v>N/HT</v>
          </cell>
          <cell r="D463">
            <v>0</v>
          </cell>
          <cell r="F463" t="e">
            <v>#N/A</v>
          </cell>
          <cell r="G463" t="e">
            <v>#N/A</v>
          </cell>
          <cell r="H463" t="e">
            <v>#N/A</v>
          </cell>
          <cell r="I463">
            <v>1</v>
          </cell>
          <cell r="J463">
            <v>1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</row>
        <row r="464">
          <cell r="C464" t="str">
            <v>N/HT</v>
          </cell>
          <cell r="D464">
            <v>0</v>
          </cell>
          <cell r="F464" t="e">
            <v>#N/A</v>
          </cell>
          <cell r="G464" t="e">
            <v>#N/A</v>
          </cell>
          <cell r="H464" t="e">
            <v>#N/A</v>
          </cell>
          <cell r="I464">
            <v>1</v>
          </cell>
          <cell r="J464">
            <v>1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</row>
        <row r="465">
          <cell r="C465" t="str">
            <v>N/HT</v>
          </cell>
          <cell r="D465">
            <v>0</v>
          </cell>
          <cell r="F465" t="e">
            <v>#N/A</v>
          </cell>
          <cell r="G465" t="e">
            <v>#N/A</v>
          </cell>
          <cell r="H465" t="e">
            <v>#N/A</v>
          </cell>
          <cell r="I465">
            <v>1</v>
          </cell>
          <cell r="J465">
            <v>1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</row>
        <row r="466">
          <cell r="C466" t="str">
            <v>N/HT</v>
          </cell>
          <cell r="D466">
            <v>0</v>
          </cell>
          <cell r="F466" t="e">
            <v>#N/A</v>
          </cell>
          <cell r="G466" t="e">
            <v>#N/A</v>
          </cell>
          <cell r="H466" t="e">
            <v>#N/A</v>
          </cell>
          <cell r="I466">
            <v>1</v>
          </cell>
          <cell r="J466">
            <v>1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</row>
        <row r="467">
          <cell r="C467" t="str">
            <v>N/HT</v>
          </cell>
          <cell r="D467">
            <v>0</v>
          </cell>
          <cell r="F467" t="e">
            <v>#N/A</v>
          </cell>
          <cell r="G467" t="e">
            <v>#N/A</v>
          </cell>
          <cell r="H467" t="e">
            <v>#N/A</v>
          </cell>
          <cell r="I467">
            <v>1</v>
          </cell>
          <cell r="J467">
            <v>1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</row>
        <row r="468">
          <cell r="C468" t="str">
            <v>N/HT</v>
          </cell>
          <cell r="D468">
            <v>0</v>
          </cell>
          <cell r="F468" t="e">
            <v>#N/A</v>
          </cell>
          <cell r="G468" t="e">
            <v>#N/A</v>
          </cell>
          <cell r="H468" t="e">
            <v>#N/A</v>
          </cell>
          <cell r="I468">
            <v>1</v>
          </cell>
          <cell r="J468">
            <v>1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</row>
        <row r="469">
          <cell r="C469" t="str">
            <v>N/HT</v>
          </cell>
          <cell r="D469">
            <v>0</v>
          </cell>
          <cell r="F469" t="e">
            <v>#N/A</v>
          </cell>
          <cell r="G469" t="e">
            <v>#N/A</v>
          </cell>
          <cell r="H469" t="e">
            <v>#N/A</v>
          </cell>
          <cell r="I469">
            <v>1</v>
          </cell>
          <cell r="J469">
            <v>1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</row>
        <row r="470">
          <cell r="C470" t="str">
            <v>N/HT</v>
          </cell>
          <cell r="D470">
            <v>0</v>
          </cell>
          <cell r="F470" t="e">
            <v>#N/A</v>
          </cell>
          <cell r="G470" t="e">
            <v>#N/A</v>
          </cell>
          <cell r="H470" t="e">
            <v>#N/A</v>
          </cell>
          <cell r="I470">
            <v>1</v>
          </cell>
          <cell r="J470">
            <v>1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</row>
        <row r="471">
          <cell r="C471" t="str">
            <v>N/HT</v>
          </cell>
          <cell r="D471">
            <v>0</v>
          </cell>
          <cell r="F471" t="e">
            <v>#N/A</v>
          </cell>
          <cell r="G471" t="e">
            <v>#N/A</v>
          </cell>
          <cell r="H471" t="e">
            <v>#N/A</v>
          </cell>
          <cell r="I471">
            <v>1</v>
          </cell>
          <cell r="J471">
            <v>1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</row>
        <row r="472">
          <cell r="C472" t="str">
            <v>N/HT</v>
          </cell>
          <cell r="D472">
            <v>0</v>
          </cell>
          <cell r="F472" t="e">
            <v>#N/A</v>
          </cell>
          <cell r="G472" t="e">
            <v>#N/A</v>
          </cell>
          <cell r="H472" t="e">
            <v>#N/A</v>
          </cell>
          <cell r="I472">
            <v>1</v>
          </cell>
          <cell r="J472">
            <v>1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</row>
        <row r="473">
          <cell r="C473" t="str">
            <v>N/HT</v>
          </cell>
          <cell r="D473">
            <v>0</v>
          </cell>
          <cell r="F473" t="e">
            <v>#N/A</v>
          </cell>
          <cell r="G473" t="e">
            <v>#N/A</v>
          </cell>
          <cell r="H473" t="e">
            <v>#N/A</v>
          </cell>
          <cell r="I473">
            <v>1</v>
          </cell>
          <cell r="J473">
            <v>1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</row>
        <row r="474">
          <cell r="C474" t="str">
            <v>N/HT</v>
          </cell>
          <cell r="D474">
            <v>0</v>
          </cell>
          <cell r="F474" t="e">
            <v>#N/A</v>
          </cell>
          <cell r="G474" t="e">
            <v>#N/A</v>
          </cell>
          <cell r="H474" t="e">
            <v>#N/A</v>
          </cell>
          <cell r="I474">
            <v>1</v>
          </cell>
          <cell r="J474">
            <v>1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</row>
        <row r="475">
          <cell r="C475" t="str">
            <v>N/HT</v>
          </cell>
          <cell r="D475">
            <v>0</v>
          </cell>
          <cell r="F475" t="e">
            <v>#N/A</v>
          </cell>
          <cell r="G475" t="e">
            <v>#N/A</v>
          </cell>
          <cell r="H475" t="e">
            <v>#N/A</v>
          </cell>
          <cell r="I475">
            <v>1</v>
          </cell>
          <cell r="J475">
            <v>1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</row>
        <row r="476">
          <cell r="C476" t="str">
            <v>N/HT</v>
          </cell>
          <cell r="D476">
            <v>0</v>
          </cell>
          <cell r="F476" t="e">
            <v>#N/A</v>
          </cell>
          <cell r="G476" t="e">
            <v>#N/A</v>
          </cell>
          <cell r="H476" t="e">
            <v>#N/A</v>
          </cell>
          <cell r="I476">
            <v>1</v>
          </cell>
          <cell r="J476">
            <v>1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</row>
        <row r="477">
          <cell r="C477" t="str">
            <v>N/HT</v>
          </cell>
          <cell r="D477">
            <v>0</v>
          </cell>
          <cell r="F477" t="e">
            <v>#N/A</v>
          </cell>
          <cell r="G477" t="e">
            <v>#N/A</v>
          </cell>
          <cell r="H477" t="e">
            <v>#N/A</v>
          </cell>
          <cell r="I477">
            <v>1</v>
          </cell>
          <cell r="J477">
            <v>1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</row>
        <row r="478">
          <cell r="C478" t="str">
            <v>N/HT</v>
          </cell>
          <cell r="D478">
            <v>0</v>
          </cell>
          <cell r="F478" t="e">
            <v>#N/A</v>
          </cell>
          <cell r="G478" t="e">
            <v>#N/A</v>
          </cell>
          <cell r="H478" t="e">
            <v>#N/A</v>
          </cell>
          <cell r="I478">
            <v>1</v>
          </cell>
          <cell r="J478">
            <v>1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</row>
        <row r="480">
          <cell r="C480" t="str">
            <v>No. Parte Htal:</v>
          </cell>
          <cell r="D480" t="str">
            <v>RQ</v>
          </cell>
          <cell r="E480" t="str">
            <v>Inventario</v>
          </cell>
          <cell r="F480" t="str">
            <v>Pz / Herramental</v>
          </cell>
          <cell r="G480" t="str">
            <v>Tiempo Entrega</v>
          </cell>
          <cell r="H480" t="str">
            <v>Mín</v>
          </cell>
          <cell r="I480" t="str">
            <v>Pto. Reorden</v>
          </cell>
          <cell r="J480" t="str">
            <v>Máx</v>
          </cell>
          <cell r="K480" t="str">
            <v>Mín</v>
          </cell>
          <cell r="L480" t="str">
            <v>Pto. Reorden</v>
          </cell>
          <cell r="M480" t="str">
            <v>Máx</v>
          </cell>
          <cell r="N480" t="str">
            <v>STATUS</v>
          </cell>
        </row>
        <row r="481">
          <cell r="D481">
            <v>0</v>
          </cell>
          <cell r="F481" t="e">
            <v>#N/A</v>
          </cell>
          <cell r="G481" t="e">
            <v>#N/A</v>
          </cell>
          <cell r="H481" t="e">
            <v>#N/A</v>
          </cell>
          <cell r="I481">
            <v>1</v>
          </cell>
          <cell r="J481">
            <v>1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</row>
        <row r="482">
          <cell r="D482">
            <v>0</v>
          </cell>
          <cell r="F482" t="e">
            <v>#N/A</v>
          </cell>
          <cell r="G482" t="e">
            <v>#N/A</v>
          </cell>
          <cell r="H482" t="e">
            <v>#N/A</v>
          </cell>
          <cell r="I482">
            <v>1</v>
          </cell>
          <cell r="J482">
            <v>1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</row>
        <row r="483">
          <cell r="D483">
            <v>0</v>
          </cell>
          <cell r="F483" t="e">
            <v>#N/A</v>
          </cell>
          <cell r="G483" t="e">
            <v>#N/A</v>
          </cell>
          <cell r="H483" t="e">
            <v>#N/A</v>
          </cell>
          <cell r="I483">
            <v>1</v>
          </cell>
          <cell r="J483">
            <v>1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</row>
        <row r="484">
          <cell r="D484">
            <v>0</v>
          </cell>
          <cell r="F484" t="e">
            <v>#N/A</v>
          </cell>
          <cell r="G484" t="e">
            <v>#N/A</v>
          </cell>
          <cell r="H484" t="e">
            <v>#N/A</v>
          </cell>
          <cell r="I484">
            <v>1</v>
          </cell>
          <cell r="J484">
            <v>1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</row>
        <row r="485">
          <cell r="D485">
            <v>0</v>
          </cell>
          <cell r="F485" t="e">
            <v>#N/A</v>
          </cell>
          <cell r="G485" t="e">
            <v>#N/A</v>
          </cell>
          <cell r="H485" t="e">
            <v>#N/A</v>
          </cell>
          <cell r="I485">
            <v>1</v>
          </cell>
          <cell r="J485">
            <v>1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</row>
        <row r="486">
          <cell r="D486">
            <v>0</v>
          </cell>
          <cell r="F486" t="e">
            <v>#N/A</v>
          </cell>
          <cell r="G486" t="e">
            <v>#N/A</v>
          </cell>
          <cell r="H486" t="e">
            <v>#N/A</v>
          </cell>
          <cell r="I486">
            <v>1</v>
          </cell>
          <cell r="J486">
            <v>1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</row>
        <row r="487">
          <cell r="D487">
            <v>0</v>
          </cell>
          <cell r="F487" t="e">
            <v>#N/A</v>
          </cell>
          <cell r="G487" t="e">
            <v>#N/A</v>
          </cell>
          <cell r="H487" t="e">
            <v>#N/A</v>
          </cell>
          <cell r="I487">
            <v>1</v>
          </cell>
          <cell r="J487">
            <v>1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</row>
        <row r="488">
          <cell r="D488">
            <v>0</v>
          </cell>
          <cell r="F488" t="e">
            <v>#N/A</v>
          </cell>
          <cell r="G488" t="e">
            <v>#N/A</v>
          </cell>
          <cell r="H488" t="e">
            <v>#N/A</v>
          </cell>
          <cell r="I488">
            <v>1</v>
          </cell>
          <cell r="J488">
            <v>1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</row>
        <row r="489">
          <cell r="D489">
            <v>0</v>
          </cell>
          <cell r="F489" t="e">
            <v>#N/A</v>
          </cell>
          <cell r="G489" t="e">
            <v>#N/A</v>
          </cell>
          <cell r="H489" t="e">
            <v>#N/A</v>
          </cell>
          <cell r="I489">
            <v>1</v>
          </cell>
          <cell r="J489">
            <v>1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</row>
        <row r="490">
          <cell r="D490">
            <v>0</v>
          </cell>
          <cell r="F490" t="e">
            <v>#N/A</v>
          </cell>
          <cell r="G490" t="e">
            <v>#N/A</v>
          </cell>
          <cell r="H490" t="e">
            <v>#N/A</v>
          </cell>
          <cell r="I490">
            <v>1</v>
          </cell>
          <cell r="J490">
            <v>1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</row>
        <row r="491">
          <cell r="D491">
            <v>0</v>
          </cell>
          <cell r="F491" t="e">
            <v>#N/A</v>
          </cell>
          <cell r="G491" t="e">
            <v>#N/A</v>
          </cell>
          <cell r="H491" t="e">
            <v>#N/A</v>
          </cell>
          <cell r="I491">
            <v>1</v>
          </cell>
          <cell r="J491">
            <v>1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</row>
        <row r="492">
          <cell r="D492">
            <v>0</v>
          </cell>
          <cell r="F492" t="e">
            <v>#N/A</v>
          </cell>
          <cell r="G492" t="e">
            <v>#N/A</v>
          </cell>
          <cell r="H492" t="e">
            <v>#N/A</v>
          </cell>
          <cell r="I492">
            <v>1</v>
          </cell>
          <cell r="J492">
            <v>1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</row>
        <row r="493">
          <cell r="D493">
            <v>0</v>
          </cell>
          <cell r="F493" t="e">
            <v>#N/A</v>
          </cell>
          <cell r="G493" t="e">
            <v>#N/A</v>
          </cell>
          <cell r="H493" t="e">
            <v>#N/A</v>
          </cell>
          <cell r="I493">
            <v>1</v>
          </cell>
          <cell r="J493">
            <v>1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</row>
        <row r="494">
          <cell r="D494">
            <v>0</v>
          </cell>
          <cell r="F494" t="e">
            <v>#N/A</v>
          </cell>
          <cell r="G494" t="e">
            <v>#N/A</v>
          </cell>
          <cell r="H494" t="e">
            <v>#N/A</v>
          </cell>
          <cell r="I494">
            <v>1</v>
          </cell>
          <cell r="J494">
            <v>1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</row>
        <row r="495">
          <cell r="D495">
            <v>0</v>
          </cell>
          <cell r="F495" t="e">
            <v>#N/A</v>
          </cell>
          <cell r="G495" t="e">
            <v>#N/A</v>
          </cell>
          <cell r="H495" t="e">
            <v>#N/A</v>
          </cell>
          <cell r="I495">
            <v>1</v>
          </cell>
          <cell r="J495">
            <v>1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</row>
        <row r="496">
          <cell r="D496">
            <v>0</v>
          </cell>
          <cell r="F496" t="e">
            <v>#N/A</v>
          </cell>
          <cell r="G496" t="e">
            <v>#N/A</v>
          </cell>
          <cell r="H496" t="e">
            <v>#N/A</v>
          </cell>
          <cell r="I496">
            <v>1</v>
          </cell>
          <cell r="J496">
            <v>1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</row>
        <row r="497">
          <cell r="D497">
            <v>0</v>
          </cell>
          <cell r="F497" t="e">
            <v>#N/A</v>
          </cell>
          <cell r="G497" t="e">
            <v>#N/A</v>
          </cell>
          <cell r="H497" t="e">
            <v>#N/A</v>
          </cell>
          <cell r="I497">
            <v>1</v>
          </cell>
          <cell r="J497">
            <v>1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</row>
        <row r="498">
          <cell r="D498">
            <v>0</v>
          </cell>
          <cell r="F498" t="e">
            <v>#N/A</v>
          </cell>
          <cell r="G498" t="e">
            <v>#N/A</v>
          </cell>
          <cell r="H498" t="e">
            <v>#N/A</v>
          </cell>
          <cell r="I498">
            <v>1</v>
          </cell>
          <cell r="J498">
            <v>1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</row>
        <row r="499">
          <cell r="D499">
            <v>0</v>
          </cell>
          <cell r="F499" t="e">
            <v>#N/A</v>
          </cell>
          <cell r="G499" t="e">
            <v>#N/A</v>
          </cell>
          <cell r="H499" t="e">
            <v>#N/A</v>
          </cell>
          <cell r="I499">
            <v>1</v>
          </cell>
          <cell r="J499">
            <v>1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</row>
        <row r="500">
          <cell r="D500">
            <v>0</v>
          </cell>
          <cell r="F500" t="e">
            <v>#N/A</v>
          </cell>
          <cell r="G500" t="e">
            <v>#N/A</v>
          </cell>
          <cell r="H500" t="e">
            <v>#N/A</v>
          </cell>
          <cell r="I500">
            <v>1</v>
          </cell>
          <cell r="J500">
            <v>1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</row>
        <row r="501">
          <cell r="D501">
            <v>0</v>
          </cell>
          <cell r="E501" t="str">
            <v xml:space="preserve"> </v>
          </cell>
          <cell r="F501" t="e">
            <v>#N/A</v>
          </cell>
          <cell r="G501" t="e">
            <v>#N/A</v>
          </cell>
          <cell r="H501" t="e">
            <v>#N/A</v>
          </cell>
          <cell r="I501">
            <v>1</v>
          </cell>
          <cell r="J501">
            <v>1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</row>
        <row r="502">
          <cell r="D502">
            <v>0</v>
          </cell>
          <cell r="F502" t="e">
            <v>#N/A</v>
          </cell>
          <cell r="G502" t="e">
            <v>#N/A</v>
          </cell>
          <cell r="H502" t="e">
            <v>#N/A</v>
          </cell>
          <cell r="I502">
            <v>1</v>
          </cell>
          <cell r="J502">
            <v>1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</row>
        <row r="503">
          <cell r="D503">
            <v>0</v>
          </cell>
          <cell r="F503" t="e">
            <v>#N/A</v>
          </cell>
          <cell r="G503" t="e">
            <v>#N/A</v>
          </cell>
          <cell r="H503" t="e">
            <v>#N/A</v>
          </cell>
          <cell r="I503">
            <v>1</v>
          </cell>
          <cell r="J503">
            <v>1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</row>
        <row r="504">
          <cell r="D504">
            <v>0</v>
          </cell>
          <cell r="F504" t="e">
            <v>#N/A</v>
          </cell>
          <cell r="G504" t="e">
            <v>#N/A</v>
          </cell>
          <cell r="H504" t="e">
            <v>#N/A</v>
          </cell>
          <cell r="I504">
            <v>1</v>
          </cell>
          <cell r="J504">
            <v>1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</row>
        <row r="505">
          <cell r="D505">
            <v>0</v>
          </cell>
          <cell r="F505" t="e">
            <v>#N/A</v>
          </cell>
          <cell r="G505" t="e">
            <v>#N/A</v>
          </cell>
          <cell r="H505" t="e">
            <v>#N/A</v>
          </cell>
          <cell r="I505">
            <v>1</v>
          </cell>
          <cell r="J505">
            <v>1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</row>
        <row r="506">
          <cell r="D506">
            <v>0</v>
          </cell>
          <cell r="F506" t="e">
            <v>#N/A</v>
          </cell>
          <cell r="G506" t="e">
            <v>#N/A</v>
          </cell>
          <cell r="H506" t="e">
            <v>#N/A</v>
          </cell>
          <cell r="I506">
            <v>1</v>
          </cell>
          <cell r="J506">
            <v>1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</row>
        <row r="507">
          <cell r="D507">
            <v>0</v>
          </cell>
          <cell r="F507" t="e">
            <v>#N/A</v>
          </cell>
          <cell r="G507" t="e">
            <v>#N/A</v>
          </cell>
          <cell r="H507" t="e">
            <v>#N/A</v>
          </cell>
          <cell r="I507">
            <v>1</v>
          </cell>
          <cell r="J507">
            <v>1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</row>
        <row r="508">
          <cell r="D508">
            <v>0</v>
          </cell>
          <cell r="F508" t="e">
            <v>#N/A</v>
          </cell>
          <cell r="G508" t="e">
            <v>#N/A</v>
          </cell>
          <cell r="H508" t="e">
            <v>#N/A</v>
          </cell>
          <cell r="I508">
            <v>1</v>
          </cell>
          <cell r="J508">
            <v>1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</row>
        <row r="509">
          <cell r="D509">
            <v>0</v>
          </cell>
          <cell r="F509" t="e">
            <v>#N/A</v>
          </cell>
          <cell r="G509" t="e">
            <v>#N/A</v>
          </cell>
          <cell r="H509" t="e">
            <v>#N/A</v>
          </cell>
          <cell r="I509">
            <v>1</v>
          </cell>
          <cell r="J509">
            <v>1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</row>
        <row r="510">
          <cell r="C510" t="str">
            <v>N/HT</v>
          </cell>
          <cell r="D510">
            <v>0</v>
          </cell>
          <cell r="F510" t="e">
            <v>#N/A</v>
          </cell>
          <cell r="G510" t="e">
            <v>#N/A</v>
          </cell>
          <cell r="H510" t="e">
            <v>#N/A</v>
          </cell>
          <cell r="I510">
            <v>1</v>
          </cell>
          <cell r="J510">
            <v>1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</row>
        <row r="511">
          <cell r="C511" t="str">
            <v>N/HT</v>
          </cell>
          <cell r="D511">
            <v>0</v>
          </cell>
          <cell r="F511" t="e">
            <v>#N/A</v>
          </cell>
          <cell r="G511" t="e">
            <v>#N/A</v>
          </cell>
          <cell r="H511" t="e">
            <v>#N/A</v>
          </cell>
          <cell r="I511">
            <v>1</v>
          </cell>
          <cell r="J511">
            <v>1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</row>
        <row r="512">
          <cell r="C512" t="str">
            <v>N/HT</v>
          </cell>
          <cell r="D512">
            <v>0</v>
          </cell>
          <cell r="F512" t="e">
            <v>#N/A</v>
          </cell>
          <cell r="G512" t="e">
            <v>#N/A</v>
          </cell>
          <cell r="H512" t="e">
            <v>#N/A</v>
          </cell>
          <cell r="I512">
            <v>1</v>
          </cell>
          <cell r="J512">
            <v>1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</row>
        <row r="514">
          <cell r="C514" t="str">
            <v>No. Parte Htal:</v>
          </cell>
          <cell r="D514" t="str">
            <v>RQ</v>
          </cell>
          <cell r="E514" t="str">
            <v>Inventario</v>
          </cell>
          <cell r="F514" t="str">
            <v>Pz / Herramental</v>
          </cell>
          <cell r="G514" t="str">
            <v>Tiempo Entrega</v>
          </cell>
          <cell r="H514" t="str">
            <v>Mín</v>
          </cell>
          <cell r="I514" t="str">
            <v>Pto. Reorden</v>
          </cell>
          <cell r="J514" t="str">
            <v>Máx</v>
          </cell>
          <cell r="K514" t="str">
            <v>Mín</v>
          </cell>
          <cell r="L514" t="str">
            <v>Pto. Reorden</v>
          </cell>
          <cell r="M514" t="str">
            <v>Máx</v>
          </cell>
          <cell r="N514" t="str">
            <v>STATUS</v>
          </cell>
        </row>
        <row r="515">
          <cell r="D515">
            <v>0</v>
          </cell>
          <cell r="F515" t="e">
            <v>#N/A</v>
          </cell>
          <cell r="G515" t="e">
            <v>#N/A</v>
          </cell>
          <cell r="H515" t="e">
            <v>#N/A</v>
          </cell>
          <cell r="I515">
            <v>1</v>
          </cell>
          <cell r="J515">
            <v>1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</row>
        <row r="516">
          <cell r="D516">
            <v>0</v>
          </cell>
          <cell r="F516" t="e">
            <v>#N/A</v>
          </cell>
          <cell r="G516" t="e">
            <v>#N/A</v>
          </cell>
          <cell r="H516" t="e">
            <v>#N/A</v>
          </cell>
          <cell r="I516">
            <v>1</v>
          </cell>
          <cell r="J516">
            <v>1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</row>
        <row r="517">
          <cell r="D517">
            <v>0</v>
          </cell>
          <cell r="F517" t="e">
            <v>#N/A</v>
          </cell>
          <cell r="G517" t="e">
            <v>#N/A</v>
          </cell>
          <cell r="H517" t="e">
            <v>#N/A</v>
          </cell>
          <cell r="I517">
            <v>1</v>
          </cell>
          <cell r="J517">
            <v>1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</row>
        <row r="518">
          <cell r="D518">
            <v>0</v>
          </cell>
          <cell r="F518" t="e">
            <v>#N/A</v>
          </cell>
          <cell r="G518" t="e">
            <v>#N/A</v>
          </cell>
          <cell r="H518" t="e">
            <v>#N/A</v>
          </cell>
          <cell r="I518">
            <v>1</v>
          </cell>
          <cell r="J518">
            <v>1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</row>
        <row r="519">
          <cell r="D519">
            <v>0</v>
          </cell>
          <cell r="F519" t="e">
            <v>#N/A</v>
          </cell>
          <cell r="G519" t="e">
            <v>#N/A</v>
          </cell>
          <cell r="H519" t="e">
            <v>#N/A</v>
          </cell>
          <cell r="I519">
            <v>1</v>
          </cell>
          <cell r="J519">
            <v>1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</row>
        <row r="520">
          <cell r="D520">
            <v>0</v>
          </cell>
          <cell r="F520" t="e">
            <v>#N/A</v>
          </cell>
          <cell r="G520" t="e">
            <v>#N/A</v>
          </cell>
          <cell r="H520" t="e">
            <v>#N/A</v>
          </cell>
          <cell r="I520">
            <v>1</v>
          </cell>
          <cell r="J520">
            <v>1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</row>
        <row r="521">
          <cell r="D521">
            <v>0</v>
          </cell>
          <cell r="F521" t="e">
            <v>#N/A</v>
          </cell>
          <cell r="G521" t="e">
            <v>#N/A</v>
          </cell>
          <cell r="H521" t="e">
            <v>#N/A</v>
          </cell>
          <cell r="I521">
            <v>1</v>
          </cell>
          <cell r="J521">
            <v>1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</row>
        <row r="522">
          <cell r="D522">
            <v>0</v>
          </cell>
          <cell r="F522" t="e">
            <v>#N/A</v>
          </cell>
          <cell r="G522" t="e">
            <v>#N/A</v>
          </cell>
          <cell r="H522" t="e">
            <v>#N/A</v>
          </cell>
          <cell r="I522">
            <v>1</v>
          </cell>
          <cell r="J522">
            <v>1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</row>
        <row r="523">
          <cell r="D523">
            <v>0</v>
          </cell>
          <cell r="F523" t="e">
            <v>#N/A</v>
          </cell>
          <cell r="G523" t="e">
            <v>#N/A</v>
          </cell>
          <cell r="H523" t="e">
            <v>#N/A</v>
          </cell>
          <cell r="I523">
            <v>1</v>
          </cell>
          <cell r="J523">
            <v>1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</row>
        <row r="524">
          <cell r="D524">
            <v>0</v>
          </cell>
          <cell r="F524" t="e">
            <v>#N/A</v>
          </cell>
          <cell r="G524" t="e">
            <v>#N/A</v>
          </cell>
          <cell r="H524" t="e">
            <v>#N/A</v>
          </cell>
          <cell r="I524">
            <v>1</v>
          </cell>
          <cell r="J524">
            <v>1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</row>
        <row r="525">
          <cell r="D525">
            <v>0</v>
          </cell>
          <cell r="F525" t="e">
            <v>#N/A</v>
          </cell>
          <cell r="G525" t="e">
            <v>#N/A</v>
          </cell>
          <cell r="H525" t="e">
            <v>#N/A</v>
          </cell>
          <cell r="I525">
            <v>1</v>
          </cell>
          <cell r="J525">
            <v>1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</row>
        <row r="526">
          <cell r="D526">
            <v>0</v>
          </cell>
          <cell r="F526" t="e">
            <v>#N/A</v>
          </cell>
          <cell r="G526" t="e">
            <v>#N/A</v>
          </cell>
          <cell r="H526" t="e">
            <v>#N/A</v>
          </cell>
          <cell r="I526">
            <v>1</v>
          </cell>
          <cell r="J526">
            <v>1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</row>
        <row r="527">
          <cell r="D527">
            <v>0</v>
          </cell>
          <cell r="E527" t="str">
            <v xml:space="preserve"> </v>
          </cell>
          <cell r="F527" t="e">
            <v>#N/A</v>
          </cell>
          <cell r="G527" t="e">
            <v>#N/A</v>
          </cell>
          <cell r="H527" t="e">
            <v>#N/A</v>
          </cell>
          <cell r="I527">
            <v>1</v>
          </cell>
          <cell r="J527">
            <v>1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</row>
        <row r="528">
          <cell r="D528">
            <v>0</v>
          </cell>
          <cell r="F528" t="e">
            <v>#N/A</v>
          </cell>
          <cell r="G528" t="e">
            <v>#N/A</v>
          </cell>
          <cell r="H528" t="e">
            <v>#N/A</v>
          </cell>
          <cell r="I528">
            <v>1</v>
          </cell>
          <cell r="J528">
            <v>1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</row>
        <row r="529">
          <cell r="D529">
            <v>0</v>
          </cell>
          <cell r="F529" t="e">
            <v>#N/A</v>
          </cell>
          <cell r="G529" t="e">
            <v>#N/A</v>
          </cell>
          <cell r="H529" t="e">
            <v>#N/A</v>
          </cell>
          <cell r="I529">
            <v>1</v>
          </cell>
          <cell r="J529">
            <v>1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</row>
        <row r="530">
          <cell r="D530">
            <v>0</v>
          </cell>
          <cell r="F530" t="e">
            <v>#N/A</v>
          </cell>
          <cell r="G530" t="e">
            <v>#N/A</v>
          </cell>
          <cell r="H530" t="e">
            <v>#N/A</v>
          </cell>
          <cell r="I530">
            <v>1</v>
          </cell>
          <cell r="J530">
            <v>1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</row>
        <row r="531">
          <cell r="D531">
            <v>0</v>
          </cell>
          <cell r="F531" t="e">
            <v>#N/A</v>
          </cell>
          <cell r="G531" t="e">
            <v>#N/A</v>
          </cell>
          <cell r="H531" t="e">
            <v>#N/A</v>
          </cell>
          <cell r="I531">
            <v>1</v>
          </cell>
          <cell r="J531">
            <v>1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</row>
        <row r="532">
          <cell r="D532">
            <v>0</v>
          </cell>
          <cell r="F532" t="e">
            <v>#N/A</v>
          </cell>
          <cell r="G532" t="e">
            <v>#N/A</v>
          </cell>
          <cell r="H532" t="e">
            <v>#N/A</v>
          </cell>
          <cell r="I532">
            <v>1</v>
          </cell>
          <cell r="J532">
            <v>1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</row>
        <row r="533">
          <cell r="D533">
            <v>0</v>
          </cell>
          <cell r="F533" t="e">
            <v>#N/A</v>
          </cell>
          <cell r="G533" t="e">
            <v>#N/A</v>
          </cell>
          <cell r="H533" t="e">
            <v>#N/A</v>
          </cell>
          <cell r="I533">
            <v>1</v>
          </cell>
          <cell r="J533">
            <v>1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</row>
        <row r="534">
          <cell r="D534">
            <v>0</v>
          </cell>
          <cell r="F534" t="e">
            <v>#N/A</v>
          </cell>
          <cell r="G534" t="e">
            <v>#N/A</v>
          </cell>
          <cell r="H534" t="e">
            <v>#N/A</v>
          </cell>
          <cell r="I534">
            <v>1</v>
          </cell>
          <cell r="J534">
            <v>1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</row>
        <row r="535">
          <cell r="D535">
            <v>0</v>
          </cell>
          <cell r="F535" t="e">
            <v>#N/A</v>
          </cell>
          <cell r="G535" t="e">
            <v>#N/A</v>
          </cell>
          <cell r="H535" t="e">
            <v>#N/A</v>
          </cell>
          <cell r="I535">
            <v>1</v>
          </cell>
          <cell r="J535">
            <v>1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</row>
        <row r="536">
          <cell r="D536">
            <v>0</v>
          </cell>
          <cell r="F536" t="e">
            <v>#N/A</v>
          </cell>
          <cell r="G536" t="e">
            <v>#N/A</v>
          </cell>
          <cell r="H536" t="e">
            <v>#N/A</v>
          </cell>
          <cell r="I536">
            <v>1</v>
          </cell>
          <cell r="J536">
            <v>1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</row>
        <row r="537">
          <cell r="D537">
            <v>0</v>
          </cell>
          <cell r="F537" t="e">
            <v>#N/A</v>
          </cell>
          <cell r="G537" t="e">
            <v>#N/A</v>
          </cell>
          <cell r="H537" t="e">
            <v>#N/A</v>
          </cell>
          <cell r="I537">
            <v>1</v>
          </cell>
          <cell r="J537">
            <v>1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</row>
        <row r="538">
          <cell r="D538">
            <v>0</v>
          </cell>
          <cell r="F538" t="e">
            <v>#N/A</v>
          </cell>
          <cell r="G538" t="e">
            <v>#N/A</v>
          </cell>
          <cell r="H538" t="e">
            <v>#N/A</v>
          </cell>
          <cell r="I538">
            <v>1</v>
          </cell>
          <cell r="J538">
            <v>1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</row>
        <row r="539">
          <cell r="D539">
            <v>0</v>
          </cell>
          <cell r="F539" t="e">
            <v>#N/A</v>
          </cell>
          <cell r="G539" t="e">
            <v>#N/A</v>
          </cell>
          <cell r="H539" t="e">
            <v>#N/A</v>
          </cell>
          <cell r="I539">
            <v>1</v>
          </cell>
          <cell r="J539">
            <v>1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</row>
        <row r="540">
          <cell r="D540">
            <v>0</v>
          </cell>
          <cell r="F540" t="e">
            <v>#N/A</v>
          </cell>
          <cell r="G540" t="e">
            <v>#N/A</v>
          </cell>
          <cell r="H540" t="e">
            <v>#N/A</v>
          </cell>
          <cell r="I540">
            <v>1</v>
          </cell>
          <cell r="J540">
            <v>1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</row>
        <row r="541">
          <cell r="D541">
            <v>0</v>
          </cell>
          <cell r="F541" t="e">
            <v>#N/A</v>
          </cell>
          <cell r="G541" t="e">
            <v>#N/A</v>
          </cell>
          <cell r="H541" t="e">
            <v>#N/A</v>
          </cell>
          <cell r="I541">
            <v>1</v>
          </cell>
          <cell r="J541">
            <v>1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</row>
        <row r="542">
          <cell r="D542">
            <v>0</v>
          </cell>
          <cell r="F542" t="e">
            <v>#N/A</v>
          </cell>
          <cell r="G542" t="e">
            <v>#N/A</v>
          </cell>
          <cell r="H542" t="e">
            <v>#N/A</v>
          </cell>
          <cell r="I542">
            <v>1</v>
          </cell>
          <cell r="J542">
            <v>1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</row>
        <row r="543">
          <cell r="D543">
            <v>0</v>
          </cell>
          <cell r="F543" t="e">
            <v>#N/A</v>
          </cell>
          <cell r="G543" t="e">
            <v>#N/A</v>
          </cell>
          <cell r="H543" t="e">
            <v>#N/A</v>
          </cell>
          <cell r="I543">
            <v>1</v>
          </cell>
          <cell r="J543">
            <v>1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</row>
        <row r="544">
          <cell r="D544">
            <v>0</v>
          </cell>
          <cell r="F544" t="e">
            <v>#N/A</v>
          </cell>
          <cell r="G544" t="e">
            <v>#N/A</v>
          </cell>
          <cell r="H544" t="e">
            <v>#N/A</v>
          </cell>
          <cell r="I544">
            <v>1</v>
          </cell>
          <cell r="J544">
            <v>1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</row>
        <row r="545">
          <cell r="D545">
            <v>0</v>
          </cell>
          <cell r="F545" t="e">
            <v>#N/A</v>
          </cell>
          <cell r="G545" t="e">
            <v>#N/A</v>
          </cell>
          <cell r="H545" t="e">
            <v>#N/A</v>
          </cell>
          <cell r="I545">
            <v>1</v>
          </cell>
          <cell r="J545">
            <v>1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</row>
        <row r="546">
          <cell r="D546">
            <v>0</v>
          </cell>
          <cell r="F546" t="e">
            <v>#N/A</v>
          </cell>
          <cell r="G546" t="e">
            <v>#N/A</v>
          </cell>
          <cell r="H546" t="e">
            <v>#N/A</v>
          </cell>
          <cell r="I546">
            <v>1</v>
          </cell>
          <cell r="J546">
            <v>1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</row>
      </sheetData>
      <sheetData sheetId="4">
        <row r="1">
          <cell r="D1" t="str">
            <v>Formado OP 20</v>
          </cell>
        </row>
        <row r="5">
          <cell r="C5" t="str">
            <v>No. Parte Htal:</v>
          </cell>
          <cell r="D5" t="str">
            <v>RQ</v>
          </cell>
          <cell r="E5" t="str">
            <v>Inventario</v>
          </cell>
          <cell r="F5" t="str">
            <v>Pz / Herramental</v>
          </cell>
          <cell r="G5" t="str">
            <v>Tiempo Entrega</v>
          </cell>
          <cell r="H5" t="str">
            <v>Mín</v>
          </cell>
          <cell r="I5" t="str">
            <v>Pto. Reorden</v>
          </cell>
          <cell r="J5" t="str">
            <v>Máx</v>
          </cell>
          <cell r="K5" t="str">
            <v>Mín</v>
          </cell>
          <cell r="L5" t="str">
            <v>Pto. Reorden</v>
          </cell>
          <cell r="M5" t="str">
            <v>Máx</v>
          </cell>
          <cell r="N5" t="str">
            <v>STATUS</v>
          </cell>
        </row>
        <row r="6">
          <cell r="C6" t="str">
            <v>HTJA020003</v>
          </cell>
          <cell r="D6">
            <v>32759.000000000004</v>
          </cell>
          <cell r="E6">
            <v>3</v>
          </cell>
          <cell r="F6">
            <v>25000</v>
          </cell>
          <cell r="G6">
            <v>7</v>
          </cell>
          <cell r="H6">
            <v>1</v>
          </cell>
          <cell r="I6">
            <v>1</v>
          </cell>
          <cell r="J6">
            <v>1</v>
          </cell>
          <cell r="K6">
            <v>1</v>
          </cell>
          <cell r="L6">
            <v>2</v>
          </cell>
          <cell r="M6">
            <v>3</v>
          </cell>
          <cell r="N6" t="str">
            <v>OK</v>
          </cell>
        </row>
        <row r="7">
          <cell r="C7" t="str">
            <v>HTJA020002</v>
          </cell>
          <cell r="D7">
            <v>32759.000000000004</v>
          </cell>
          <cell r="E7">
            <v>5</v>
          </cell>
          <cell r="F7">
            <v>25000</v>
          </cell>
          <cell r="G7">
            <v>7</v>
          </cell>
          <cell r="H7">
            <v>1</v>
          </cell>
          <cell r="I7">
            <v>1</v>
          </cell>
          <cell r="J7">
            <v>1</v>
          </cell>
          <cell r="K7">
            <v>1</v>
          </cell>
          <cell r="L7">
            <v>2</v>
          </cell>
          <cell r="M7">
            <v>3</v>
          </cell>
          <cell r="N7" t="str">
            <v>SOBREINVENTARIO</v>
          </cell>
        </row>
        <row r="8">
          <cell r="C8" t="str">
            <v>HTJA020001</v>
          </cell>
          <cell r="D8">
            <v>32759.000000000004</v>
          </cell>
          <cell r="E8">
            <v>5</v>
          </cell>
          <cell r="F8">
            <v>30000</v>
          </cell>
          <cell r="G8">
            <v>21</v>
          </cell>
          <cell r="H8">
            <v>1</v>
          </cell>
          <cell r="I8">
            <v>1</v>
          </cell>
          <cell r="J8">
            <v>1</v>
          </cell>
          <cell r="K8">
            <v>1</v>
          </cell>
          <cell r="L8">
            <v>2</v>
          </cell>
          <cell r="M8">
            <v>3</v>
          </cell>
          <cell r="N8" t="str">
            <v>SOBREINVENTARIO</v>
          </cell>
        </row>
        <row r="9">
          <cell r="C9" t="str">
            <v>HTJA020049</v>
          </cell>
          <cell r="D9">
            <v>32759.000000000004</v>
          </cell>
          <cell r="E9">
            <v>1</v>
          </cell>
          <cell r="F9">
            <v>100000</v>
          </cell>
          <cell r="G9">
            <v>15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2</v>
          </cell>
          <cell r="M9">
            <v>3</v>
          </cell>
          <cell r="N9" t="str">
            <v>PEDIR</v>
          </cell>
        </row>
        <row r="10">
          <cell r="C10" t="str">
            <v>N/HT</v>
          </cell>
          <cell r="D10">
            <v>0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1</v>
          </cell>
          <cell r="J10">
            <v>1</v>
          </cell>
          <cell r="K10" t="e">
            <v>#N/A</v>
          </cell>
          <cell r="L10" t="e">
            <v>#N/A</v>
          </cell>
          <cell r="M10" t="e">
            <v>#N/A</v>
          </cell>
          <cell r="N10" t="e">
            <v>#N/A</v>
          </cell>
        </row>
        <row r="11">
          <cell r="C11" t="str">
            <v>N/HT</v>
          </cell>
          <cell r="D11">
            <v>0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1</v>
          </cell>
          <cell r="J11">
            <v>1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</row>
        <row r="12">
          <cell r="C12" t="str">
            <v>N/HT</v>
          </cell>
          <cell r="D12">
            <v>0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1</v>
          </cell>
          <cell r="J12">
            <v>1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</row>
        <row r="13">
          <cell r="C13" t="str">
            <v>N/HT</v>
          </cell>
          <cell r="D13">
            <v>0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1</v>
          </cell>
          <cell r="J13">
            <v>1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</row>
        <row r="14">
          <cell r="C14" t="str">
            <v>N/HT</v>
          </cell>
          <cell r="D14">
            <v>0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1</v>
          </cell>
          <cell r="J14">
            <v>1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</row>
        <row r="15">
          <cell r="C15" t="str">
            <v>N/HT</v>
          </cell>
          <cell r="D15">
            <v>0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1</v>
          </cell>
          <cell r="J15">
            <v>1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</row>
        <row r="16">
          <cell r="C16" t="str">
            <v>N/HT</v>
          </cell>
          <cell r="D16">
            <v>0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1</v>
          </cell>
          <cell r="J16">
            <v>1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</row>
        <row r="17">
          <cell r="C17" t="str">
            <v>N/HT</v>
          </cell>
          <cell r="D17">
            <v>0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1</v>
          </cell>
          <cell r="J17">
            <v>1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</row>
        <row r="18">
          <cell r="C18" t="str">
            <v>N/HT</v>
          </cell>
          <cell r="D18">
            <v>0</v>
          </cell>
          <cell r="F18" t="e">
            <v>#N/A</v>
          </cell>
          <cell r="G18" t="e">
            <v>#N/A</v>
          </cell>
          <cell r="H18" t="e">
            <v>#N/A</v>
          </cell>
          <cell r="I18">
            <v>1</v>
          </cell>
          <cell r="J18">
            <v>1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</row>
        <row r="19">
          <cell r="C19" t="str">
            <v>N/HT</v>
          </cell>
          <cell r="D19">
            <v>0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1</v>
          </cell>
          <cell r="J19">
            <v>1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</row>
        <row r="20">
          <cell r="C20" t="str">
            <v>N/HT</v>
          </cell>
          <cell r="D20">
            <v>0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1</v>
          </cell>
          <cell r="J20">
            <v>1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</row>
        <row r="21">
          <cell r="C21" t="str">
            <v>N/HT</v>
          </cell>
          <cell r="D21">
            <v>0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1</v>
          </cell>
          <cell r="J21">
            <v>1</v>
          </cell>
          <cell r="K21" t="e">
            <v>#N/A</v>
          </cell>
          <cell r="L21" t="e">
            <v>#N/A</v>
          </cell>
          <cell r="M21" t="e">
            <v>#N/A</v>
          </cell>
          <cell r="N21" t="e">
            <v>#N/A</v>
          </cell>
        </row>
        <row r="22">
          <cell r="C22" t="str">
            <v>N/HT</v>
          </cell>
          <cell r="D22">
            <v>0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1</v>
          </cell>
          <cell r="J22">
            <v>1</v>
          </cell>
          <cell r="K22" t="e">
            <v>#N/A</v>
          </cell>
          <cell r="L22" t="e">
            <v>#N/A</v>
          </cell>
          <cell r="M22" t="e">
            <v>#N/A</v>
          </cell>
          <cell r="N22" t="e">
            <v>#N/A</v>
          </cell>
        </row>
        <row r="23">
          <cell r="C23" t="str">
            <v>N/HT</v>
          </cell>
          <cell r="D23">
            <v>0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1</v>
          </cell>
          <cell r="J23">
            <v>1</v>
          </cell>
          <cell r="K23" t="e">
            <v>#N/A</v>
          </cell>
          <cell r="L23" t="e">
            <v>#N/A</v>
          </cell>
          <cell r="M23" t="e">
            <v>#N/A</v>
          </cell>
          <cell r="N23" t="e">
            <v>#N/A</v>
          </cell>
        </row>
        <row r="24">
          <cell r="C24" t="str">
            <v>N/HT</v>
          </cell>
          <cell r="D24">
            <v>0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1</v>
          </cell>
          <cell r="J24">
            <v>1</v>
          </cell>
          <cell r="K24" t="e">
            <v>#N/A</v>
          </cell>
          <cell r="L24" t="e">
            <v>#N/A</v>
          </cell>
          <cell r="M24" t="e">
            <v>#N/A</v>
          </cell>
          <cell r="N24" t="e">
            <v>#N/A</v>
          </cell>
        </row>
        <row r="25">
          <cell r="C25" t="str">
            <v>N/HT</v>
          </cell>
          <cell r="D25">
            <v>0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1</v>
          </cell>
          <cell r="J25">
            <v>1</v>
          </cell>
          <cell r="K25" t="e">
            <v>#N/A</v>
          </cell>
          <cell r="L25" t="e">
            <v>#N/A</v>
          </cell>
          <cell r="M25" t="e">
            <v>#N/A</v>
          </cell>
          <cell r="N25" t="e">
            <v>#N/A</v>
          </cell>
        </row>
        <row r="26">
          <cell r="C26" t="str">
            <v>N/HT</v>
          </cell>
          <cell r="D26">
            <v>0</v>
          </cell>
          <cell r="F26" t="e">
            <v>#N/A</v>
          </cell>
          <cell r="G26" t="e">
            <v>#N/A</v>
          </cell>
          <cell r="H26" t="e">
            <v>#N/A</v>
          </cell>
          <cell r="I26">
            <v>1</v>
          </cell>
          <cell r="J26">
            <v>1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</row>
        <row r="27">
          <cell r="C27" t="str">
            <v>N/HT</v>
          </cell>
          <cell r="D27">
            <v>0</v>
          </cell>
          <cell r="F27" t="e">
            <v>#N/A</v>
          </cell>
          <cell r="G27" t="e">
            <v>#N/A</v>
          </cell>
          <cell r="H27" t="e">
            <v>#N/A</v>
          </cell>
          <cell r="I27">
            <v>1</v>
          </cell>
          <cell r="J27">
            <v>1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</row>
        <row r="28">
          <cell r="C28" t="str">
            <v>N/HT</v>
          </cell>
          <cell r="D28">
            <v>0</v>
          </cell>
          <cell r="F28" t="e">
            <v>#N/A</v>
          </cell>
          <cell r="G28" t="e">
            <v>#N/A</v>
          </cell>
          <cell r="H28" t="e">
            <v>#N/A</v>
          </cell>
          <cell r="I28">
            <v>1</v>
          </cell>
          <cell r="J28">
            <v>1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</row>
        <row r="29">
          <cell r="C29" t="str">
            <v>N/HT</v>
          </cell>
          <cell r="D29">
            <v>0</v>
          </cell>
          <cell r="F29" t="e">
            <v>#N/A</v>
          </cell>
          <cell r="G29" t="e">
            <v>#N/A</v>
          </cell>
          <cell r="H29" t="e">
            <v>#N/A</v>
          </cell>
          <cell r="I29">
            <v>1</v>
          </cell>
          <cell r="J29">
            <v>1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</row>
        <row r="30">
          <cell r="C30" t="str">
            <v>N/HT</v>
          </cell>
          <cell r="D30">
            <v>0</v>
          </cell>
          <cell r="F30" t="e">
            <v>#N/A</v>
          </cell>
          <cell r="G30" t="e">
            <v>#N/A</v>
          </cell>
          <cell r="H30" t="e">
            <v>#N/A</v>
          </cell>
          <cell r="I30">
            <v>1</v>
          </cell>
          <cell r="J30">
            <v>1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</row>
        <row r="31">
          <cell r="C31" t="str">
            <v>N/HT</v>
          </cell>
          <cell r="D31">
            <v>0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1</v>
          </cell>
          <cell r="J31">
            <v>1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</row>
        <row r="32">
          <cell r="C32" t="str">
            <v>N/HT</v>
          </cell>
          <cell r="D32">
            <v>0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1</v>
          </cell>
          <cell r="J32">
            <v>1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</row>
        <row r="33">
          <cell r="C33" t="str">
            <v>N/HT</v>
          </cell>
          <cell r="D33">
            <v>0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1</v>
          </cell>
          <cell r="J33">
            <v>1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</row>
        <row r="34">
          <cell r="C34" t="str">
            <v>N/HT</v>
          </cell>
          <cell r="D34">
            <v>0</v>
          </cell>
          <cell r="F34" t="e">
            <v>#N/A</v>
          </cell>
          <cell r="G34" t="e">
            <v>#N/A</v>
          </cell>
          <cell r="H34" t="e">
            <v>#N/A</v>
          </cell>
          <cell r="I34">
            <v>1</v>
          </cell>
          <cell r="J34">
            <v>1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</row>
        <row r="35">
          <cell r="C35" t="str">
            <v>N/HT</v>
          </cell>
          <cell r="D35">
            <v>0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1</v>
          </cell>
          <cell r="J35">
            <v>1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</row>
        <row r="36">
          <cell r="C36" t="str">
            <v>N/HT</v>
          </cell>
          <cell r="D36">
            <v>0</v>
          </cell>
          <cell r="F36" t="e">
            <v>#N/A</v>
          </cell>
          <cell r="G36" t="e">
            <v>#N/A</v>
          </cell>
          <cell r="H36" t="e">
            <v>#N/A</v>
          </cell>
          <cell r="I36">
            <v>1</v>
          </cell>
          <cell r="J36">
            <v>1</v>
          </cell>
          <cell r="K36" t="e">
            <v>#N/A</v>
          </cell>
          <cell r="L36" t="e">
            <v>#N/A</v>
          </cell>
          <cell r="M36" t="e">
            <v>#N/A</v>
          </cell>
          <cell r="N36" t="e">
            <v>#N/A</v>
          </cell>
        </row>
        <row r="37">
          <cell r="C37" t="str">
            <v>N/HT</v>
          </cell>
          <cell r="D37">
            <v>0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1</v>
          </cell>
          <cell r="J37">
            <v>1</v>
          </cell>
          <cell r="K37" t="e">
            <v>#N/A</v>
          </cell>
          <cell r="L37" t="e">
            <v>#N/A</v>
          </cell>
          <cell r="M37" t="e">
            <v>#N/A</v>
          </cell>
          <cell r="N37" t="e">
            <v>#N/A</v>
          </cell>
        </row>
        <row r="39">
          <cell r="C39" t="str">
            <v>No. Parte Htal:</v>
          </cell>
          <cell r="D39" t="str">
            <v>RQ</v>
          </cell>
          <cell r="E39" t="str">
            <v>Inventario</v>
          </cell>
          <cell r="F39" t="str">
            <v>Pz / Herramental</v>
          </cell>
          <cell r="G39" t="str">
            <v>Tiempo Entrega</v>
          </cell>
          <cell r="H39" t="str">
            <v>Mín</v>
          </cell>
          <cell r="I39" t="str">
            <v>Pto. Reorden</v>
          </cell>
          <cell r="J39" t="str">
            <v>Máx</v>
          </cell>
          <cell r="K39" t="str">
            <v>Mín</v>
          </cell>
          <cell r="L39" t="str">
            <v>Pto. Reorden</v>
          </cell>
          <cell r="M39" t="str">
            <v>Máx</v>
          </cell>
          <cell r="N39" t="str">
            <v>STATUS</v>
          </cell>
        </row>
        <row r="40">
          <cell r="C40" t="str">
            <v>HTJA020006</v>
          </cell>
          <cell r="D40">
            <v>38420.799999999996</v>
          </cell>
          <cell r="E40">
            <v>3</v>
          </cell>
          <cell r="F40">
            <v>25000</v>
          </cell>
          <cell r="G40">
            <v>7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2</v>
          </cell>
          <cell r="M40">
            <v>3</v>
          </cell>
          <cell r="N40" t="str">
            <v>OK</v>
          </cell>
        </row>
        <row r="41">
          <cell r="C41" t="str">
            <v>HTJA020005</v>
          </cell>
          <cell r="D41">
            <v>38420.799999999996</v>
          </cell>
          <cell r="E41">
            <v>3</v>
          </cell>
          <cell r="F41">
            <v>25000</v>
          </cell>
          <cell r="G41">
            <v>7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2</v>
          </cell>
          <cell r="M41">
            <v>3</v>
          </cell>
          <cell r="N41" t="str">
            <v>OK</v>
          </cell>
        </row>
        <row r="42">
          <cell r="C42" t="str">
            <v>HTJA020004</v>
          </cell>
          <cell r="D42">
            <v>38420.799999999996</v>
          </cell>
          <cell r="E42">
            <v>2</v>
          </cell>
          <cell r="F42">
            <v>30000</v>
          </cell>
          <cell r="G42">
            <v>21</v>
          </cell>
          <cell r="H42">
            <v>2</v>
          </cell>
          <cell r="I42">
            <v>1</v>
          </cell>
          <cell r="J42">
            <v>1</v>
          </cell>
          <cell r="K42">
            <v>2</v>
          </cell>
          <cell r="L42">
            <v>3</v>
          </cell>
          <cell r="M42">
            <v>4</v>
          </cell>
          <cell r="N42" t="str">
            <v>PEDIR</v>
          </cell>
        </row>
        <row r="43">
          <cell r="C43" t="str">
            <v>HTJA020050</v>
          </cell>
          <cell r="D43">
            <v>38420.799999999996</v>
          </cell>
          <cell r="E43">
            <v>0</v>
          </cell>
          <cell r="F43">
            <v>25000</v>
          </cell>
          <cell r="G43">
            <v>15</v>
          </cell>
          <cell r="H43">
            <v>2</v>
          </cell>
          <cell r="I43">
            <v>1</v>
          </cell>
          <cell r="J43">
            <v>1</v>
          </cell>
          <cell r="K43">
            <v>2</v>
          </cell>
          <cell r="L43">
            <v>3</v>
          </cell>
          <cell r="M43">
            <v>4</v>
          </cell>
          <cell r="N43" t="str">
            <v>SOBREINVENTARIO</v>
          </cell>
        </row>
        <row r="44">
          <cell r="C44" t="str">
            <v>N/HT</v>
          </cell>
          <cell r="D44">
            <v>0</v>
          </cell>
          <cell r="F44" t="e">
            <v>#N/A</v>
          </cell>
          <cell r="G44" t="e">
            <v>#N/A</v>
          </cell>
          <cell r="H44" t="e">
            <v>#N/A</v>
          </cell>
          <cell r="I44">
            <v>1</v>
          </cell>
          <cell r="J44">
            <v>1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</row>
        <row r="45">
          <cell r="C45" t="str">
            <v>N/HT</v>
          </cell>
          <cell r="D45">
            <v>0</v>
          </cell>
          <cell r="F45" t="e">
            <v>#N/A</v>
          </cell>
          <cell r="G45" t="e">
            <v>#N/A</v>
          </cell>
          <cell r="H45" t="e">
            <v>#N/A</v>
          </cell>
          <cell r="I45">
            <v>1</v>
          </cell>
          <cell r="J45">
            <v>1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</row>
        <row r="46">
          <cell r="C46" t="str">
            <v>N/HT</v>
          </cell>
          <cell r="D46">
            <v>0</v>
          </cell>
          <cell r="F46" t="e">
            <v>#N/A</v>
          </cell>
          <cell r="G46" t="e">
            <v>#N/A</v>
          </cell>
          <cell r="H46" t="e">
            <v>#N/A</v>
          </cell>
          <cell r="I46">
            <v>1</v>
          </cell>
          <cell r="J46">
            <v>1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</row>
        <row r="47">
          <cell r="C47" t="str">
            <v>N/HT</v>
          </cell>
          <cell r="D47">
            <v>0</v>
          </cell>
          <cell r="F47" t="e">
            <v>#N/A</v>
          </cell>
          <cell r="G47" t="e">
            <v>#N/A</v>
          </cell>
          <cell r="H47" t="e">
            <v>#N/A</v>
          </cell>
          <cell r="I47">
            <v>1</v>
          </cell>
          <cell r="J47">
            <v>1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</row>
        <row r="48">
          <cell r="C48" t="str">
            <v>N/HT</v>
          </cell>
          <cell r="D48">
            <v>0</v>
          </cell>
          <cell r="F48" t="e">
            <v>#N/A</v>
          </cell>
          <cell r="G48" t="e">
            <v>#N/A</v>
          </cell>
          <cell r="H48" t="e">
            <v>#N/A</v>
          </cell>
          <cell r="I48">
            <v>1</v>
          </cell>
          <cell r="J48">
            <v>1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</row>
        <row r="49">
          <cell r="C49" t="str">
            <v>N/HT</v>
          </cell>
          <cell r="D49">
            <v>0</v>
          </cell>
          <cell r="F49" t="e">
            <v>#N/A</v>
          </cell>
          <cell r="G49" t="e">
            <v>#N/A</v>
          </cell>
          <cell r="H49" t="e">
            <v>#N/A</v>
          </cell>
          <cell r="I49">
            <v>1</v>
          </cell>
          <cell r="J49">
            <v>1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</row>
        <row r="50">
          <cell r="C50" t="str">
            <v>N/HT</v>
          </cell>
          <cell r="D50">
            <v>0</v>
          </cell>
          <cell r="F50" t="e">
            <v>#N/A</v>
          </cell>
          <cell r="G50" t="e">
            <v>#N/A</v>
          </cell>
          <cell r="H50" t="e">
            <v>#N/A</v>
          </cell>
          <cell r="I50">
            <v>1</v>
          </cell>
          <cell r="J50">
            <v>1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</row>
        <row r="51">
          <cell r="C51" t="str">
            <v>N/HT</v>
          </cell>
          <cell r="D51">
            <v>0</v>
          </cell>
          <cell r="F51" t="e">
            <v>#N/A</v>
          </cell>
          <cell r="G51" t="e">
            <v>#N/A</v>
          </cell>
          <cell r="H51" t="e">
            <v>#N/A</v>
          </cell>
          <cell r="I51">
            <v>1</v>
          </cell>
          <cell r="J51">
            <v>1</v>
          </cell>
          <cell r="K51" t="e">
            <v>#N/A</v>
          </cell>
          <cell r="L51" t="e">
            <v>#N/A</v>
          </cell>
          <cell r="M51" t="e">
            <v>#N/A</v>
          </cell>
          <cell r="N51" t="e">
            <v>#N/A</v>
          </cell>
        </row>
        <row r="52">
          <cell r="C52" t="str">
            <v>N/HT</v>
          </cell>
          <cell r="D52">
            <v>0</v>
          </cell>
          <cell r="F52" t="e">
            <v>#N/A</v>
          </cell>
          <cell r="G52" t="e">
            <v>#N/A</v>
          </cell>
          <cell r="H52" t="e">
            <v>#N/A</v>
          </cell>
          <cell r="I52">
            <v>1</v>
          </cell>
          <cell r="J52">
            <v>1</v>
          </cell>
          <cell r="K52" t="e">
            <v>#N/A</v>
          </cell>
          <cell r="L52" t="e">
            <v>#N/A</v>
          </cell>
          <cell r="M52" t="e">
            <v>#N/A</v>
          </cell>
          <cell r="N52" t="e">
            <v>#N/A</v>
          </cell>
        </row>
        <row r="53">
          <cell r="C53" t="str">
            <v>N/HT</v>
          </cell>
          <cell r="D53">
            <v>0</v>
          </cell>
          <cell r="F53" t="e">
            <v>#N/A</v>
          </cell>
          <cell r="G53" t="e">
            <v>#N/A</v>
          </cell>
          <cell r="H53" t="e">
            <v>#N/A</v>
          </cell>
          <cell r="I53">
            <v>1</v>
          </cell>
          <cell r="J53">
            <v>1</v>
          </cell>
          <cell r="K53" t="e">
            <v>#N/A</v>
          </cell>
          <cell r="L53" t="e">
            <v>#N/A</v>
          </cell>
          <cell r="M53" t="e">
            <v>#N/A</v>
          </cell>
          <cell r="N53" t="e">
            <v>#N/A</v>
          </cell>
        </row>
        <row r="54">
          <cell r="C54" t="str">
            <v>N/HT</v>
          </cell>
          <cell r="D54">
            <v>0</v>
          </cell>
          <cell r="F54" t="e">
            <v>#N/A</v>
          </cell>
          <cell r="G54" t="e">
            <v>#N/A</v>
          </cell>
          <cell r="H54" t="e">
            <v>#N/A</v>
          </cell>
          <cell r="I54">
            <v>1</v>
          </cell>
          <cell r="J54">
            <v>1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</row>
        <row r="55">
          <cell r="C55" t="str">
            <v>N/HT</v>
          </cell>
          <cell r="D55">
            <v>0</v>
          </cell>
          <cell r="F55" t="e">
            <v>#N/A</v>
          </cell>
          <cell r="G55" t="e">
            <v>#N/A</v>
          </cell>
          <cell r="H55" t="e">
            <v>#N/A</v>
          </cell>
          <cell r="I55">
            <v>1</v>
          </cell>
          <cell r="J55">
            <v>1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</row>
        <row r="56">
          <cell r="C56" t="str">
            <v>N/HT</v>
          </cell>
          <cell r="D56">
            <v>0</v>
          </cell>
          <cell r="F56" t="e">
            <v>#N/A</v>
          </cell>
          <cell r="G56" t="e">
            <v>#N/A</v>
          </cell>
          <cell r="H56" t="e">
            <v>#N/A</v>
          </cell>
          <cell r="I56">
            <v>1</v>
          </cell>
          <cell r="J56">
            <v>1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</row>
        <row r="57">
          <cell r="C57" t="str">
            <v>N/HT</v>
          </cell>
          <cell r="D57">
            <v>0</v>
          </cell>
          <cell r="F57" t="e">
            <v>#N/A</v>
          </cell>
          <cell r="G57" t="e">
            <v>#N/A</v>
          </cell>
          <cell r="H57" t="e">
            <v>#N/A</v>
          </cell>
          <cell r="I57">
            <v>1</v>
          </cell>
          <cell r="J57">
            <v>1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</row>
        <row r="58">
          <cell r="C58" t="str">
            <v>N/HT</v>
          </cell>
          <cell r="D58">
            <v>0</v>
          </cell>
          <cell r="F58" t="e">
            <v>#N/A</v>
          </cell>
          <cell r="G58" t="e">
            <v>#N/A</v>
          </cell>
          <cell r="H58" t="e">
            <v>#N/A</v>
          </cell>
          <cell r="I58">
            <v>1</v>
          </cell>
          <cell r="J58">
            <v>1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</row>
        <row r="59">
          <cell r="C59" t="str">
            <v>N/HT</v>
          </cell>
          <cell r="D59">
            <v>0</v>
          </cell>
          <cell r="F59" t="e">
            <v>#N/A</v>
          </cell>
          <cell r="G59" t="e">
            <v>#N/A</v>
          </cell>
          <cell r="H59" t="e">
            <v>#N/A</v>
          </cell>
          <cell r="I59">
            <v>1</v>
          </cell>
          <cell r="J59">
            <v>1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</row>
        <row r="60">
          <cell r="C60" t="str">
            <v>N/HT</v>
          </cell>
          <cell r="D60">
            <v>0</v>
          </cell>
          <cell r="F60" t="e">
            <v>#N/A</v>
          </cell>
          <cell r="G60" t="e">
            <v>#N/A</v>
          </cell>
          <cell r="H60" t="e">
            <v>#N/A</v>
          </cell>
          <cell r="I60">
            <v>1</v>
          </cell>
          <cell r="J60">
            <v>1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</row>
        <row r="61">
          <cell r="C61" t="str">
            <v>N/HT</v>
          </cell>
          <cell r="D61">
            <v>0</v>
          </cell>
          <cell r="F61" t="e">
            <v>#N/A</v>
          </cell>
          <cell r="G61" t="e">
            <v>#N/A</v>
          </cell>
          <cell r="H61" t="e">
            <v>#N/A</v>
          </cell>
          <cell r="I61">
            <v>1</v>
          </cell>
          <cell r="J61">
            <v>1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</row>
        <row r="62">
          <cell r="C62" t="str">
            <v>N/HT</v>
          </cell>
          <cell r="D62">
            <v>0</v>
          </cell>
          <cell r="F62" t="e">
            <v>#N/A</v>
          </cell>
          <cell r="G62" t="e">
            <v>#N/A</v>
          </cell>
          <cell r="H62" t="e">
            <v>#N/A</v>
          </cell>
          <cell r="I62">
            <v>1</v>
          </cell>
          <cell r="J62">
            <v>1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</row>
        <row r="63">
          <cell r="C63" t="str">
            <v>N/HT</v>
          </cell>
          <cell r="D63">
            <v>0</v>
          </cell>
          <cell r="F63" t="e">
            <v>#N/A</v>
          </cell>
          <cell r="G63" t="e">
            <v>#N/A</v>
          </cell>
          <cell r="H63" t="e">
            <v>#N/A</v>
          </cell>
          <cell r="I63">
            <v>1</v>
          </cell>
          <cell r="J63">
            <v>1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</row>
        <row r="64">
          <cell r="C64" t="str">
            <v>N/HT</v>
          </cell>
          <cell r="D64">
            <v>0</v>
          </cell>
          <cell r="F64" t="e">
            <v>#N/A</v>
          </cell>
          <cell r="G64" t="e">
            <v>#N/A</v>
          </cell>
          <cell r="H64" t="e">
            <v>#N/A</v>
          </cell>
          <cell r="I64">
            <v>1</v>
          </cell>
          <cell r="J64">
            <v>1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</row>
        <row r="65">
          <cell r="C65" t="str">
            <v>N/HT</v>
          </cell>
          <cell r="D65">
            <v>0</v>
          </cell>
          <cell r="F65" t="e">
            <v>#N/A</v>
          </cell>
          <cell r="G65" t="e">
            <v>#N/A</v>
          </cell>
          <cell r="H65" t="e">
            <v>#N/A</v>
          </cell>
          <cell r="I65">
            <v>1</v>
          </cell>
          <cell r="J65">
            <v>1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</row>
        <row r="66">
          <cell r="C66" t="str">
            <v>N/HT</v>
          </cell>
          <cell r="D66">
            <v>0</v>
          </cell>
          <cell r="F66" t="e">
            <v>#N/A</v>
          </cell>
          <cell r="G66" t="e">
            <v>#N/A</v>
          </cell>
          <cell r="H66" t="e">
            <v>#N/A</v>
          </cell>
          <cell r="I66">
            <v>1</v>
          </cell>
          <cell r="J66">
            <v>1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</row>
        <row r="67">
          <cell r="C67" t="str">
            <v>N/HT</v>
          </cell>
          <cell r="D67">
            <v>0</v>
          </cell>
          <cell r="F67" t="e">
            <v>#N/A</v>
          </cell>
          <cell r="G67" t="e">
            <v>#N/A</v>
          </cell>
          <cell r="H67" t="e">
            <v>#N/A</v>
          </cell>
          <cell r="I67">
            <v>1</v>
          </cell>
          <cell r="J67">
            <v>1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</row>
        <row r="68">
          <cell r="C68" t="str">
            <v>N/HT</v>
          </cell>
          <cell r="D68">
            <v>0</v>
          </cell>
          <cell r="F68" t="e">
            <v>#N/A</v>
          </cell>
          <cell r="G68" t="e">
            <v>#N/A</v>
          </cell>
          <cell r="H68" t="e">
            <v>#N/A</v>
          </cell>
          <cell r="I68">
            <v>1</v>
          </cell>
          <cell r="J68">
            <v>1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</row>
        <row r="69">
          <cell r="C69" t="str">
            <v>N/HT</v>
          </cell>
          <cell r="D69">
            <v>0</v>
          </cell>
          <cell r="F69" t="e">
            <v>#N/A</v>
          </cell>
          <cell r="G69" t="e">
            <v>#N/A</v>
          </cell>
          <cell r="H69" t="e">
            <v>#N/A</v>
          </cell>
          <cell r="I69">
            <v>1</v>
          </cell>
          <cell r="J69">
            <v>1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</row>
        <row r="70">
          <cell r="C70" t="str">
            <v>N/HT</v>
          </cell>
          <cell r="D70">
            <v>0</v>
          </cell>
          <cell r="F70" t="e">
            <v>#N/A</v>
          </cell>
          <cell r="G70" t="e">
            <v>#N/A</v>
          </cell>
          <cell r="H70" t="e">
            <v>#N/A</v>
          </cell>
          <cell r="I70">
            <v>1</v>
          </cell>
          <cell r="J70">
            <v>1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</row>
        <row r="71">
          <cell r="C71" t="str">
            <v>N/HT</v>
          </cell>
          <cell r="D71">
            <v>0</v>
          </cell>
          <cell r="F71" t="e">
            <v>#N/A</v>
          </cell>
          <cell r="G71" t="e">
            <v>#N/A</v>
          </cell>
          <cell r="H71" t="e">
            <v>#N/A</v>
          </cell>
          <cell r="I71">
            <v>1</v>
          </cell>
          <cell r="J71">
            <v>1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</row>
        <row r="73">
          <cell r="C73" t="str">
            <v>No. Parte Htal:</v>
          </cell>
          <cell r="D73" t="str">
            <v>RQ</v>
          </cell>
          <cell r="E73" t="str">
            <v>Inventario</v>
          </cell>
          <cell r="F73" t="str">
            <v>Pz / Herramental</v>
          </cell>
          <cell r="G73" t="str">
            <v>Tiempo Entrega</v>
          </cell>
          <cell r="H73" t="str">
            <v>Mín</v>
          </cell>
          <cell r="I73" t="str">
            <v>Pto. Reorden</v>
          </cell>
          <cell r="J73" t="str">
            <v>Máx</v>
          </cell>
          <cell r="K73" t="str">
            <v>Mín</v>
          </cell>
          <cell r="L73" t="str">
            <v>Pto. Reorden</v>
          </cell>
          <cell r="M73" t="str">
            <v>Máx</v>
          </cell>
          <cell r="N73" t="str">
            <v>STATUS</v>
          </cell>
        </row>
        <row r="74">
          <cell r="D74">
            <v>0</v>
          </cell>
          <cell r="F74" t="e">
            <v>#N/A</v>
          </cell>
          <cell r="G74" t="e">
            <v>#N/A</v>
          </cell>
          <cell r="H74" t="e">
            <v>#N/A</v>
          </cell>
          <cell r="I74">
            <v>1</v>
          </cell>
          <cell r="J74">
            <v>1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</row>
        <row r="75">
          <cell r="D75">
            <v>0</v>
          </cell>
          <cell r="F75" t="e">
            <v>#N/A</v>
          </cell>
          <cell r="G75" t="e">
            <v>#N/A</v>
          </cell>
          <cell r="H75" t="e">
            <v>#N/A</v>
          </cell>
          <cell r="I75">
            <v>1</v>
          </cell>
          <cell r="J75">
            <v>1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</row>
        <row r="76">
          <cell r="D76">
            <v>0</v>
          </cell>
          <cell r="F76" t="e">
            <v>#N/A</v>
          </cell>
          <cell r="G76" t="e">
            <v>#N/A</v>
          </cell>
          <cell r="H76" t="e">
            <v>#N/A</v>
          </cell>
          <cell r="I76">
            <v>1</v>
          </cell>
          <cell r="J76">
            <v>1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</row>
        <row r="77">
          <cell r="C77" t="str">
            <v>N/HT</v>
          </cell>
          <cell r="D77">
            <v>0</v>
          </cell>
          <cell r="F77" t="e">
            <v>#N/A</v>
          </cell>
          <cell r="G77" t="e">
            <v>#N/A</v>
          </cell>
          <cell r="H77" t="e">
            <v>#N/A</v>
          </cell>
          <cell r="I77">
            <v>1</v>
          </cell>
          <cell r="J77">
            <v>1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</row>
        <row r="78">
          <cell r="C78" t="str">
            <v>N/HT</v>
          </cell>
          <cell r="D78">
            <v>0</v>
          </cell>
          <cell r="F78" t="e">
            <v>#N/A</v>
          </cell>
          <cell r="G78" t="e">
            <v>#N/A</v>
          </cell>
          <cell r="H78" t="e">
            <v>#N/A</v>
          </cell>
          <cell r="I78">
            <v>1</v>
          </cell>
          <cell r="J78">
            <v>1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</row>
        <row r="79">
          <cell r="C79" t="str">
            <v>N/HT</v>
          </cell>
          <cell r="D79">
            <v>0</v>
          </cell>
          <cell r="F79" t="e">
            <v>#N/A</v>
          </cell>
          <cell r="G79" t="e">
            <v>#N/A</v>
          </cell>
          <cell r="H79" t="e">
            <v>#N/A</v>
          </cell>
          <cell r="I79">
            <v>1</v>
          </cell>
          <cell r="J79">
            <v>1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</row>
        <row r="80">
          <cell r="C80" t="str">
            <v>N/HT</v>
          </cell>
          <cell r="D80">
            <v>0</v>
          </cell>
          <cell r="F80" t="e">
            <v>#N/A</v>
          </cell>
          <cell r="G80" t="e">
            <v>#N/A</v>
          </cell>
          <cell r="H80" t="e">
            <v>#N/A</v>
          </cell>
          <cell r="I80">
            <v>1</v>
          </cell>
          <cell r="J80">
            <v>1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</row>
        <row r="81">
          <cell r="C81" t="str">
            <v>N/HT</v>
          </cell>
          <cell r="D81">
            <v>0</v>
          </cell>
          <cell r="F81" t="e">
            <v>#N/A</v>
          </cell>
          <cell r="G81" t="e">
            <v>#N/A</v>
          </cell>
          <cell r="H81" t="e">
            <v>#N/A</v>
          </cell>
          <cell r="I81">
            <v>1</v>
          </cell>
          <cell r="J81">
            <v>1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</row>
        <row r="82">
          <cell r="C82" t="str">
            <v>N/HT</v>
          </cell>
          <cell r="D82">
            <v>0</v>
          </cell>
          <cell r="F82" t="e">
            <v>#N/A</v>
          </cell>
          <cell r="G82" t="e">
            <v>#N/A</v>
          </cell>
          <cell r="H82" t="e">
            <v>#N/A</v>
          </cell>
          <cell r="I82">
            <v>1</v>
          </cell>
          <cell r="J82">
            <v>1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</row>
        <row r="83">
          <cell r="C83" t="str">
            <v>N/HT</v>
          </cell>
          <cell r="D83">
            <v>0</v>
          </cell>
          <cell r="F83" t="e">
            <v>#N/A</v>
          </cell>
          <cell r="G83" t="e">
            <v>#N/A</v>
          </cell>
          <cell r="H83" t="e">
            <v>#N/A</v>
          </cell>
          <cell r="I83">
            <v>1</v>
          </cell>
          <cell r="J83">
            <v>1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</row>
        <row r="84">
          <cell r="C84" t="str">
            <v>N/HT</v>
          </cell>
          <cell r="D84">
            <v>0</v>
          </cell>
          <cell r="F84" t="e">
            <v>#N/A</v>
          </cell>
          <cell r="G84" t="e">
            <v>#N/A</v>
          </cell>
          <cell r="H84" t="e">
            <v>#N/A</v>
          </cell>
          <cell r="I84">
            <v>1</v>
          </cell>
          <cell r="J84">
            <v>1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</row>
        <row r="85">
          <cell r="C85" t="str">
            <v>N/HT</v>
          </cell>
          <cell r="D85">
            <v>0</v>
          </cell>
          <cell r="F85" t="e">
            <v>#N/A</v>
          </cell>
          <cell r="G85" t="e">
            <v>#N/A</v>
          </cell>
          <cell r="H85" t="e">
            <v>#N/A</v>
          </cell>
          <cell r="I85">
            <v>1</v>
          </cell>
          <cell r="J85">
            <v>1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</row>
        <row r="86">
          <cell r="C86" t="str">
            <v>N/HT</v>
          </cell>
          <cell r="D86">
            <v>0</v>
          </cell>
          <cell r="F86" t="e">
            <v>#N/A</v>
          </cell>
          <cell r="G86" t="e">
            <v>#N/A</v>
          </cell>
          <cell r="H86" t="e">
            <v>#N/A</v>
          </cell>
          <cell r="I86">
            <v>1</v>
          </cell>
          <cell r="J86">
            <v>1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</row>
        <row r="87">
          <cell r="C87" t="str">
            <v>N/HT</v>
          </cell>
          <cell r="D87">
            <v>0</v>
          </cell>
          <cell r="F87" t="e">
            <v>#N/A</v>
          </cell>
          <cell r="G87" t="e">
            <v>#N/A</v>
          </cell>
          <cell r="H87" t="e">
            <v>#N/A</v>
          </cell>
          <cell r="I87">
            <v>1</v>
          </cell>
          <cell r="J87">
            <v>1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</row>
        <row r="88">
          <cell r="C88" t="str">
            <v>N/HT</v>
          </cell>
          <cell r="D88">
            <v>0</v>
          </cell>
          <cell r="F88" t="e">
            <v>#N/A</v>
          </cell>
          <cell r="G88" t="e">
            <v>#N/A</v>
          </cell>
          <cell r="H88" t="e">
            <v>#N/A</v>
          </cell>
          <cell r="I88">
            <v>1</v>
          </cell>
          <cell r="J88">
            <v>1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</row>
        <row r="89">
          <cell r="C89" t="str">
            <v>N/HT</v>
          </cell>
          <cell r="D89">
            <v>0</v>
          </cell>
          <cell r="F89" t="e">
            <v>#N/A</v>
          </cell>
          <cell r="G89" t="e">
            <v>#N/A</v>
          </cell>
          <cell r="H89" t="e">
            <v>#N/A</v>
          </cell>
          <cell r="I89">
            <v>1</v>
          </cell>
          <cell r="J89">
            <v>1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</row>
        <row r="90">
          <cell r="C90" t="str">
            <v>N/HT</v>
          </cell>
          <cell r="D90">
            <v>0</v>
          </cell>
          <cell r="F90" t="e">
            <v>#N/A</v>
          </cell>
          <cell r="G90" t="e">
            <v>#N/A</v>
          </cell>
          <cell r="H90" t="e">
            <v>#N/A</v>
          </cell>
          <cell r="I90">
            <v>1</v>
          </cell>
          <cell r="J90">
            <v>1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</row>
        <row r="91">
          <cell r="C91" t="str">
            <v>N/HT</v>
          </cell>
          <cell r="D91">
            <v>0</v>
          </cell>
          <cell r="F91" t="e">
            <v>#N/A</v>
          </cell>
          <cell r="G91" t="e">
            <v>#N/A</v>
          </cell>
          <cell r="H91" t="e">
            <v>#N/A</v>
          </cell>
          <cell r="I91">
            <v>1</v>
          </cell>
          <cell r="J91">
            <v>1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</row>
        <row r="92">
          <cell r="C92" t="str">
            <v>N/HT</v>
          </cell>
          <cell r="D92">
            <v>0</v>
          </cell>
          <cell r="F92" t="e">
            <v>#N/A</v>
          </cell>
          <cell r="G92" t="e">
            <v>#N/A</v>
          </cell>
          <cell r="H92" t="e">
            <v>#N/A</v>
          </cell>
          <cell r="I92">
            <v>1</v>
          </cell>
          <cell r="J92">
            <v>1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</row>
        <row r="93">
          <cell r="C93" t="str">
            <v>N/HT</v>
          </cell>
          <cell r="D93">
            <v>0</v>
          </cell>
          <cell r="F93" t="e">
            <v>#N/A</v>
          </cell>
          <cell r="G93" t="e">
            <v>#N/A</v>
          </cell>
          <cell r="H93" t="e">
            <v>#N/A</v>
          </cell>
          <cell r="I93">
            <v>1</v>
          </cell>
          <cell r="J93">
            <v>1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</row>
        <row r="94">
          <cell r="C94" t="str">
            <v>N/HT</v>
          </cell>
          <cell r="D94">
            <v>0</v>
          </cell>
          <cell r="F94" t="e">
            <v>#N/A</v>
          </cell>
          <cell r="G94" t="e">
            <v>#N/A</v>
          </cell>
          <cell r="H94" t="e">
            <v>#N/A</v>
          </cell>
          <cell r="I94">
            <v>1</v>
          </cell>
          <cell r="J94">
            <v>1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</row>
        <row r="95">
          <cell r="C95" t="str">
            <v>N/HT</v>
          </cell>
          <cell r="D95">
            <v>0</v>
          </cell>
          <cell r="F95" t="e">
            <v>#N/A</v>
          </cell>
          <cell r="G95" t="e">
            <v>#N/A</v>
          </cell>
          <cell r="H95" t="e">
            <v>#N/A</v>
          </cell>
          <cell r="I95">
            <v>1</v>
          </cell>
          <cell r="J95">
            <v>1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</row>
        <row r="96">
          <cell r="C96" t="str">
            <v>N/HT</v>
          </cell>
          <cell r="D96">
            <v>0</v>
          </cell>
          <cell r="F96" t="e">
            <v>#N/A</v>
          </cell>
          <cell r="G96" t="e">
            <v>#N/A</v>
          </cell>
          <cell r="H96" t="e">
            <v>#N/A</v>
          </cell>
          <cell r="I96">
            <v>1</v>
          </cell>
          <cell r="J96">
            <v>1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</row>
        <row r="97">
          <cell r="C97" t="str">
            <v>N/HT</v>
          </cell>
          <cell r="D97">
            <v>0</v>
          </cell>
          <cell r="F97" t="e">
            <v>#N/A</v>
          </cell>
          <cell r="G97" t="e">
            <v>#N/A</v>
          </cell>
          <cell r="H97" t="e">
            <v>#N/A</v>
          </cell>
          <cell r="I97">
            <v>1</v>
          </cell>
          <cell r="J97">
            <v>1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</row>
        <row r="98">
          <cell r="C98" t="str">
            <v>N/HT</v>
          </cell>
          <cell r="D98">
            <v>0</v>
          </cell>
          <cell r="F98" t="e">
            <v>#N/A</v>
          </cell>
          <cell r="G98" t="e">
            <v>#N/A</v>
          </cell>
          <cell r="H98" t="e">
            <v>#N/A</v>
          </cell>
          <cell r="I98">
            <v>1</v>
          </cell>
          <cell r="J98">
            <v>1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</row>
        <row r="99">
          <cell r="C99" t="str">
            <v>N/HT</v>
          </cell>
          <cell r="D99">
            <v>0</v>
          </cell>
          <cell r="F99" t="e">
            <v>#N/A</v>
          </cell>
          <cell r="G99" t="e">
            <v>#N/A</v>
          </cell>
          <cell r="H99" t="e">
            <v>#N/A</v>
          </cell>
          <cell r="I99">
            <v>1</v>
          </cell>
          <cell r="J99">
            <v>1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</row>
        <row r="100">
          <cell r="C100" t="str">
            <v>N/HT</v>
          </cell>
          <cell r="D100">
            <v>0</v>
          </cell>
          <cell r="F100" t="e">
            <v>#N/A</v>
          </cell>
          <cell r="G100" t="e">
            <v>#N/A</v>
          </cell>
          <cell r="H100" t="e">
            <v>#N/A</v>
          </cell>
          <cell r="I100">
            <v>1</v>
          </cell>
          <cell r="J100">
            <v>1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</row>
        <row r="101">
          <cell r="C101" t="str">
            <v>N/HT</v>
          </cell>
          <cell r="D101">
            <v>0</v>
          </cell>
          <cell r="F101" t="e">
            <v>#N/A</v>
          </cell>
          <cell r="G101" t="e">
            <v>#N/A</v>
          </cell>
          <cell r="H101" t="e">
            <v>#N/A</v>
          </cell>
          <cell r="I101">
            <v>1</v>
          </cell>
          <cell r="J101">
            <v>1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</row>
        <row r="102">
          <cell r="C102" t="str">
            <v>N/HT</v>
          </cell>
          <cell r="D102">
            <v>0</v>
          </cell>
          <cell r="F102" t="e">
            <v>#N/A</v>
          </cell>
          <cell r="G102" t="e">
            <v>#N/A</v>
          </cell>
          <cell r="H102" t="e">
            <v>#N/A</v>
          </cell>
          <cell r="I102">
            <v>1</v>
          </cell>
          <cell r="J102">
            <v>1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</row>
        <row r="103">
          <cell r="C103" t="str">
            <v>N/HT</v>
          </cell>
          <cell r="D103">
            <v>0</v>
          </cell>
          <cell r="F103" t="e">
            <v>#N/A</v>
          </cell>
          <cell r="G103" t="e">
            <v>#N/A</v>
          </cell>
          <cell r="H103" t="e">
            <v>#N/A</v>
          </cell>
          <cell r="I103">
            <v>1</v>
          </cell>
          <cell r="J103">
            <v>1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</row>
        <row r="104">
          <cell r="C104" t="str">
            <v>N/HT</v>
          </cell>
          <cell r="D104">
            <v>0</v>
          </cell>
          <cell r="F104" t="e">
            <v>#N/A</v>
          </cell>
          <cell r="G104" t="e">
            <v>#N/A</v>
          </cell>
          <cell r="H104" t="e">
            <v>#N/A</v>
          </cell>
          <cell r="I104">
            <v>1</v>
          </cell>
          <cell r="J104">
            <v>1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</row>
        <row r="105">
          <cell r="C105" t="str">
            <v>N/HT</v>
          </cell>
          <cell r="D105">
            <v>0</v>
          </cell>
          <cell r="F105" t="e">
            <v>#N/A</v>
          </cell>
          <cell r="G105" t="e">
            <v>#N/A</v>
          </cell>
          <cell r="H105" t="e">
            <v>#N/A</v>
          </cell>
          <cell r="I105">
            <v>1</v>
          </cell>
          <cell r="J105">
            <v>1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</row>
        <row r="107">
          <cell r="C107" t="str">
            <v>No. Parte Htal:</v>
          </cell>
          <cell r="D107" t="str">
            <v>RQ</v>
          </cell>
          <cell r="E107" t="str">
            <v>Inventario</v>
          </cell>
          <cell r="F107" t="str">
            <v>Pz / Herramental</v>
          </cell>
          <cell r="G107" t="str">
            <v>Tiempo Entrega</v>
          </cell>
          <cell r="H107" t="str">
            <v>Mín</v>
          </cell>
          <cell r="I107" t="str">
            <v>Pto. Reorden</v>
          </cell>
          <cell r="J107" t="str">
            <v>Máx</v>
          </cell>
          <cell r="K107" t="str">
            <v>Mín</v>
          </cell>
          <cell r="L107" t="str">
            <v>Pto. Reorden</v>
          </cell>
          <cell r="M107" t="str">
            <v>Máx</v>
          </cell>
          <cell r="N107" t="str">
            <v>STATUS</v>
          </cell>
        </row>
        <row r="108">
          <cell r="C108" t="str">
            <v>HTJA020027</v>
          </cell>
          <cell r="D108">
            <v>23450.400000000001</v>
          </cell>
          <cell r="E108">
            <v>2</v>
          </cell>
          <cell r="F108">
            <v>25000</v>
          </cell>
          <cell r="G108">
            <v>7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2</v>
          </cell>
          <cell r="M108">
            <v>3</v>
          </cell>
          <cell r="N108" t="str">
            <v>PEDIR</v>
          </cell>
        </row>
        <row r="109">
          <cell r="C109" t="str">
            <v>HTJA020026</v>
          </cell>
          <cell r="D109">
            <v>23450.400000000001</v>
          </cell>
          <cell r="E109">
            <v>2</v>
          </cell>
          <cell r="F109">
            <v>25000</v>
          </cell>
          <cell r="G109">
            <v>7</v>
          </cell>
          <cell r="H109">
            <v>1</v>
          </cell>
          <cell r="I109">
            <v>1</v>
          </cell>
          <cell r="J109">
            <v>1</v>
          </cell>
          <cell r="K109">
            <v>1</v>
          </cell>
          <cell r="L109">
            <v>2</v>
          </cell>
          <cell r="M109">
            <v>3</v>
          </cell>
          <cell r="N109" t="str">
            <v>PEDIR</v>
          </cell>
        </row>
        <row r="110">
          <cell r="C110" t="str">
            <v>HTJA020025</v>
          </cell>
          <cell r="D110">
            <v>23450.400000000001</v>
          </cell>
          <cell r="E110">
            <v>3</v>
          </cell>
          <cell r="F110">
            <v>30000</v>
          </cell>
          <cell r="G110">
            <v>21</v>
          </cell>
          <cell r="H110">
            <v>1</v>
          </cell>
          <cell r="I110">
            <v>1</v>
          </cell>
          <cell r="J110">
            <v>1</v>
          </cell>
          <cell r="K110">
            <v>1</v>
          </cell>
          <cell r="L110">
            <v>2</v>
          </cell>
          <cell r="M110">
            <v>3</v>
          </cell>
          <cell r="N110" t="str">
            <v>OK</v>
          </cell>
        </row>
        <row r="111">
          <cell r="C111" t="str">
            <v>N/HT</v>
          </cell>
          <cell r="D111">
            <v>0</v>
          </cell>
          <cell r="E111">
            <v>0</v>
          </cell>
          <cell r="F111" t="e">
            <v>#N/A</v>
          </cell>
          <cell r="G111" t="e">
            <v>#N/A</v>
          </cell>
          <cell r="H111" t="e">
            <v>#N/A</v>
          </cell>
          <cell r="I111">
            <v>1</v>
          </cell>
          <cell r="J111">
            <v>1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</row>
        <row r="112">
          <cell r="C112" t="str">
            <v>N/HT</v>
          </cell>
          <cell r="D112">
            <v>0</v>
          </cell>
          <cell r="F112" t="e">
            <v>#N/A</v>
          </cell>
          <cell r="G112" t="e">
            <v>#N/A</v>
          </cell>
          <cell r="H112" t="e">
            <v>#N/A</v>
          </cell>
          <cell r="I112">
            <v>1</v>
          </cell>
          <cell r="J112">
            <v>1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</row>
        <row r="113">
          <cell r="C113" t="str">
            <v>N/HT</v>
          </cell>
          <cell r="D113">
            <v>0</v>
          </cell>
          <cell r="F113" t="e">
            <v>#N/A</v>
          </cell>
          <cell r="G113" t="e">
            <v>#N/A</v>
          </cell>
          <cell r="H113" t="e">
            <v>#N/A</v>
          </cell>
          <cell r="I113">
            <v>1</v>
          </cell>
          <cell r="J113">
            <v>1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</row>
        <row r="114">
          <cell r="C114" t="str">
            <v>N/HT</v>
          </cell>
          <cell r="D114">
            <v>0</v>
          </cell>
          <cell r="F114" t="e">
            <v>#N/A</v>
          </cell>
          <cell r="G114" t="e">
            <v>#N/A</v>
          </cell>
          <cell r="H114" t="e">
            <v>#N/A</v>
          </cell>
          <cell r="I114">
            <v>1</v>
          </cell>
          <cell r="J114">
            <v>1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</row>
        <row r="115">
          <cell r="C115" t="str">
            <v>N/HT</v>
          </cell>
          <cell r="D115">
            <v>0</v>
          </cell>
          <cell r="F115" t="e">
            <v>#N/A</v>
          </cell>
          <cell r="G115" t="e">
            <v>#N/A</v>
          </cell>
          <cell r="H115" t="e">
            <v>#N/A</v>
          </cell>
          <cell r="I115">
            <v>1</v>
          </cell>
          <cell r="J115">
            <v>1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</row>
        <row r="116">
          <cell r="C116" t="str">
            <v>N/HT</v>
          </cell>
          <cell r="D116">
            <v>0</v>
          </cell>
          <cell r="F116" t="e">
            <v>#N/A</v>
          </cell>
          <cell r="G116" t="e">
            <v>#N/A</v>
          </cell>
          <cell r="H116" t="e">
            <v>#N/A</v>
          </cell>
          <cell r="I116">
            <v>1</v>
          </cell>
          <cell r="J116">
            <v>1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</row>
        <row r="117">
          <cell r="C117" t="str">
            <v>N/HT</v>
          </cell>
          <cell r="D117">
            <v>0</v>
          </cell>
          <cell r="F117" t="e">
            <v>#N/A</v>
          </cell>
          <cell r="G117" t="e">
            <v>#N/A</v>
          </cell>
          <cell r="H117" t="e">
            <v>#N/A</v>
          </cell>
          <cell r="I117">
            <v>1</v>
          </cell>
          <cell r="J117">
            <v>1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</row>
        <row r="118">
          <cell r="C118" t="str">
            <v>N/HT</v>
          </cell>
          <cell r="D118">
            <v>0</v>
          </cell>
          <cell r="F118" t="e">
            <v>#N/A</v>
          </cell>
          <cell r="G118" t="e">
            <v>#N/A</v>
          </cell>
          <cell r="H118" t="e">
            <v>#N/A</v>
          </cell>
          <cell r="I118">
            <v>1</v>
          </cell>
          <cell r="J118">
            <v>1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</row>
        <row r="119">
          <cell r="C119" t="str">
            <v>N/HT</v>
          </cell>
          <cell r="D119">
            <v>0</v>
          </cell>
          <cell r="F119" t="e">
            <v>#N/A</v>
          </cell>
          <cell r="G119" t="e">
            <v>#N/A</v>
          </cell>
          <cell r="H119" t="e">
            <v>#N/A</v>
          </cell>
          <cell r="I119">
            <v>1</v>
          </cell>
          <cell r="J119">
            <v>1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</row>
        <row r="120">
          <cell r="C120" t="str">
            <v>N/HT</v>
          </cell>
          <cell r="D120">
            <v>0</v>
          </cell>
          <cell r="F120" t="e">
            <v>#N/A</v>
          </cell>
          <cell r="G120" t="e">
            <v>#N/A</v>
          </cell>
          <cell r="H120" t="e">
            <v>#N/A</v>
          </cell>
          <cell r="I120">
            <v>1</v>
          </cell>
          <cell r="J120">
            <v>1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</row>
        <row r="121">
          <cell r="C121" t="str">
            <v>N/HT</v>
          </cell>
          <cell r="D121">
            <v>0</v>
          </cell>
          <cell r="F121" t="e">
            <v>#N/A</v>
          </cell>
          <cell r="G121" t="e">
            <v>#N/A</v>
          </cell>
          <cell r="H121" t="e">
            <v>#N/A</v>
          </cell>
          <cell r="I121">
            <v>1</v>
          </cell>
          <cell r="J121">
            <v>1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</row>
        <row r="122">
          <cell r="C122" t="str">
            <v>N/HT</v>
          </cell>
          <cell r="D122">
            <v>0</v>
          </cell>
          <cell r="F122" t="e">
            <v>#N/A</v>
          </cell>
          <cell r="G122" t="e">
            <v>#N/A</v>
          </cell>
          <cell r="H122" t="e">
            <v>#N/A</v>
          </cell>
          <cell r="I122">
            <v>1</v>
          </cell>
          <cell r="J122">
            <v>1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</row>
        <row r="123">
          <cell r="C123" t="str">
            <v>N/HT</v>
          </cell>
          <cell r="D123">
            <v>0</v>
          </cell>
          <cell r="F123" t="e">
            <v>#N/A</v>
          </cell>
          <cell r="G123" t="e">
            <v>#N/A</v>
          </cell>
          <cell r="H123" t="e">
            <v>#N/A</v>
          </cell>
          <cell r="I123">
            <v>1</v>
          </cell>
          <cell r="J123">
            <v>1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</row>
        <row r="124">
          <cell r="C124" t="str">
            <v>N/HT</v>
          </cell>
          <cell r="D124">
            <v>0</v>
          </cell>
          <cell r="F124" t="e">
            <v>#N/A</v>
          </cell>
          <cell r="G124" t="e">
            <v>#N/A</v>
          </cell>
          <cell r="H124" t="e">
            <v>#N/A</v>
          </cell>
          <cell r="I124">
            <v>1</v>
          </cell>
          <cell r="J124">
            <v>1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</row>
        <row r="125">
          <cell r="C125" t="str">
            <v>N/HT</v>
          </cell>
          <cell r="D125">
            <v>0</v>
          </cell>
          <cell r="F125" t="e">
            <v>#N/A</v>
          </cell>
          <cell r="G125" t="e">
            <v>#N/A</v>
          </cell>
          <cell r="H125" t="e">
            <v>#N/A</v>
          </cell>
          <cell r="I125">
            <v>1</v>
          </cell>
          <cell r="J125">
            <v>1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</row>
        <row r="126">
          <cell r="C126" t="str">
            <v>N/HT</v>
          </cell>
          <cell r="D126">
            <v>0</v>
          </cell>
          <cell r="F126" t="e">
            <v>#N/A</v>
          </cell>
          <cell r="G126" t="e">
            <v>#N/A</v>
          </cell>
          <cell r="H126" t="e">
            <v>#N/A</v>
          </cell>
          <cell r="I126">
            <v>1</v>
          </cell>
          <cell r="J126">
            <v>1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</row>
        <row r="127">
          <cell r="C127" t="str">
            <v>N/HT</v>
          </cell>
          <cell r="D127">
            <v>0</v>
          </cell>
          <cell r="F127" t="e">
            <v>#N/A</v>
          </cell>
          <cell r="G127" t="e">
            <v>#N/A</v>
          </cell>
          <cell r="H127" t="e">
            <v>#N/A</v>
          </cell>
          <cell r="I127">
            <v>1</v>
          </cell>
          <cell r="J127">
            <v>1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</row>
        <row r="128">
          <cell r="C128" t="str">
            <v>N/HT</v>
          </cell>
          <cell r="D128">
            <v>0</v>
          </cell>
          <cell r="F128" t="e">
            <v>#N/A</v>
          </cell>
          <cell r="G128" t="e">
            <v>#N/A</v>
          </cell>
          <cell r="H128" t="e">
            <v>#N/A</v>
          </cell>
          <cell r="I128">
            <v>1</v>
          </cell>
          <cell r="J128">
            <v>1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</row>
        <row r="129">
          <cell r="C129" t="str">
            <v>N/HT</v>
          </cell>
          <cell r="D129">
            <v>0</v>
          </cell>
          <cell r="F129" t="e">
            <v>#N/A</v>
          </cell>
          <cell r="G129" t="e">
            <v>#N/A</v>
          </cell>
          <cell r="H129" t="e">
            <v>#N/A</v>
          </cell>
          <cell r="I129">
            <v>1</v>
          </cell>
          <cell r="J129">
            <v>1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</row>
        <row r="130">
          <cell r="C130" t="str">
            <v>N/HT</v>
          </cell>
          <cell r="D130">
            <v>0</v>
          </cell>
          <cell r="F130" t="e">
            <v>#N/A</v>
          </cell>
          <cell r="G130" t="e">
            <v>#N/A</v>
          </cell>
          <cell r="H130" t="e">
            <v>#N/A</v>
          </cell>
          <cell r="I130">
            <v>1</v>
          </cell>
          <cell r="J130">
            <v>1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</row>
        <row r="131">
          <cell r="C131" t="str">
            <v>N/HT</v>
          </cell>
          <cell r="D131">
            <v>0</v>
          </cell>
          <cell r="F131" t="e">
            <v>#N/A</v>
          </cell>
          <cell r="G131" t="e">
            <v>#N/A</v>
          </cell>
          <cell r="H131" t="e">
            <v>#N/A</v>
          </cell>
          <cell r="I131">
            <v>1</v>
          </cell>
          <cell r="J131">
            <v>1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</row>
        <row r="132">
          <cell r="C132" t="str">
            <v>N/HT</v>
          </cell>
          <cell r="D132">
            <v>0</v>
          </cell>
          <cell r="F132" t="e">
            <v>#N/A</v>
          </cell>
          <cell r="G132" t="e">
            <v>#N/A</v>
          </cell>
          <cell r="H132" t="e">
            <v>#N/A</v>
          </cell>
          <cell r="I132">
            <v>1</v>
          </cell>
          <cell r="J132">
            <v>1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</row>
        <row r="133">
          <cell r="C133" t="str">
            <v>N/HT</v>
          </cell>
          <cell r="D133">
            <v>0</v>
          </cell>
          <cell r="F133" t="e">
            <v>#N/A</v>
          </cell>
          <cell r="G133" t="e">
            <v>#N/A</v>
          </cell>
          <cell r="H133" t="e">
            <v>#N/A</v>
          </cell>
          <cell r="I133">
            <v>1</v>
          </cell>
          <cell r="J133">
            <v>1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</row>
        <row r="134">
          <cell r="C134" t="str">
            <v>N/HT</v>
          </cell>
          <cell r="D134">
            <v>0</v>
          </cell>
          <cell r="F134" t="e">
            <v>#N/A</v>
          </cell>
          <cell r="G134" t="e">
            <v>#N/A</v>
          </cell>
          <cell r="H134" t="e">
            <v>#N/A</v>
          </cell>
          <cell r="I134">
            <v>1</v>
          </cell>
          <cell r="J134">
            <v>1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</row>
        <row r="135">
          <cell r="C135" t="str">
            <v>N/HT</v>
          </cell>
          <cell r="D135">
            <v>0</v>
          </cell>
          <cell r="F135" t="e">
            <v>#N/A</v>
          </cell>
          <cell r="G135" t="e">
            <v>#N/A</v>
          </cell>
          <cell r="H135" t="e">
            <v>#N/A</v>
          </cell>
          <cell r="I135">
            <v>1</v>
          </cell>
          <cell r="J135">
            <v>1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</row>
        <row r="136">
          <cell r="C136" t="str">
            <v>N/HT</v>
          </cell>
          <cell r="D136">
            <v>0</v>
          </cell>
          <cell r="F136" t="e">
            <v>#N/A</v>
          </cell>
          <cell r="G136" t="e">
            <v>#N/A</v>
          </cell>
          <cell r="H136" t="e">
            <v>#N/A</v>
          </cell>
          <cell r="I136">
            <v>1</v>
          </cell>
          <cell r="J136">
            <v>1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</row>
        <row r="137">
          <cell r="C137" t="str">
            <v>N/HT</v>
          </cell>
          <cell r="D137">
            <v>0</v>
          </cell>
          <cell r="F137" t="e">
            <v>#N/A</v>
          </cell>
          <cell r="G137" t="e">
            <v>#N/A</v>
          </cell>
          <cell r="H137" t="e">
            <v>#N/A</v>
          </cell>
          <cell r="I137">
            <v>1</v>
          </cell>
          <cell r="J137">
            <v>1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</row>
        <row r="138">
          <cell r="C138" t="str">
            <v>N/HT</v>
          </cell>
          <cell r="D138">
            <v>0</v>
          </cell>
          <cell r="F138" t="e">
            <v>#N/A</v>
          </cell>
          <cell r="G138" t="e">
            <v>#N/A</v>
          </cell>
          <cell r="H138" t="e">
            <v>#N/A</v>
          </cell>
          <cell r="I138">
            <v>1</v>
          </cell>
          <cell r="J138">
            <v>1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</row>
        <row r="140">
          <cell r="C140" t="str">
            <v>No. Parte Htal:</v>
          </cell>
          <cell r="D140" t="str">
            <v>RQ</v>
          </cell>
          <cell r="E140" t="str">
            <v>Inventario</v>
          </cell>
          <cell r="F140" t="str">
            <v>Pz / Herramental</v>
          </cell>
          <cell r="G140" t="str">
            <v>Tiempo Entrega</v>
          </cell>
          <cell r="H140" t="str">
            <v>Mín</v>
          </cell>
          <cell r="I140" t="str">
            <v>Pto. Reorden</v>
          </cell>
          <cell r="J140" t="str">
            <v>Máx</v>
          </cell>
          <cell r="K140" t="str">
            <v>Mín</v>
          </cell>
          <cell r="L140" t="str">
            <v>Pto. Reorden</v>
          </cell>
          <cell r="M140" t="str">
            <v>Máx</v>
          </cell>
          <cell r="N140" t="str">
            <v>STATUS</v>
          </cell>
        </row>
        <row r="141">
          <cell r="D141">
            <v>0</v>
          </cell>
          <cell r="F141" t="e">
            <v>#N/A</v>
          </cell>
          <cell r="G141" t="e">
            <v>#N/A</v>
          </cell>
          <cell r="H141" t="e">
            <v>#N/A</v>
          </cell>
          <cell r="I141">
            <v>1</v>
          </cell>
          <cell r="J141">
            <v>1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</row>
        <row r="142">
          <cell r="D142">
            <v>0</v>
          </cell>
          <cell r="F142" t="e">
            <v>#N/A</v>
          </cell>
          <cell r="G142" t="e">
            <v>#N/A</v>
          </cell>
          <cell r="H142" t="e">
            <v>#N/A</v>
          </cell>
          <cell r="I142">
            <v>1</v>
          </cell>
          <cell r="J142">
            <v>1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</row>
        <row r="143">
          <cell r="D143">
            <v>0</v>
          </cell>
          <cell r="F143" t="e">
            <v>#N/A</v>
          </cell>
          <cell r="G143" t="e">
            <v>#N/A</v>
          </cell>
          <cell r="H143" t="e">
            <v>#N/A</v>
          </cell>
          <cell r="I143">
            <v>1</v>
          </cell>
          <cell r="J143">
            <v>1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</row>
        <row r="144">
          <cell r="C144" t="str">
            <v>N/HT</v>
          </cell>
          <cell r="D144">
            <v>0</v>
          </cell>
          <cell r="F144" t="e">
            <v>#N/A</v>
          </cell>
          <cell r="G144" t="e">
            <v>#N/A</v>
          </cell>
          <cell r="H144" t="e">
            <v>#N/A</v>
          </cell>
          <cell r="I144">
            <v>1</v>
          </cell>
          <cell r="J144">
            <v>1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</row>
        <row r="145">
          <cell r="C145" t="str">
            <v>N/HT</v>
          </cell>
          <cell r="D145">
            <v>0</v>
          </cell>
          <cell r="F145" t="e">
            <v>#N/A</v>
          </cell>
          <cell r="G145" t="e">
            <v>#N/A</v>
          </cell>
          <cell r="H145" t="e">
            <v>#N/A</v>
          </cell>
          <cell r="I145">
            <v>1</v>
          </cell>
          <cell r="J145">
            <v>1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</row>
        <row r="146">
          <cell r="C146" t="str">
            <v>N/HT</v>
          </cell>
          <cell r="D146">
            <v>0</v>
          </cell>
          <cell r="F146" t="e">
            <v>#N/A</v>
          </cell>
          <cell r="G146" t="e">
            <v>#N/A</v>
          </cell>
          <cell r="H146" t="e">
            <v>#N/A</v>
          </cell>
          <cell r="I146">
            <v>1</v>
          </cell>
          <cell r="J146">
            <v>1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</row>
        <row r="147">
          <cell r="C147" t="str">
            <v>N/HT</v>
          </cell>
          <cell r="D147">
            <v>0</v>
          </cell>
          <cell r="F147" t="e">
            <v>#N/A</v>
          </cell>
          <cell r="G147" t="e">
            <v>#N/A</v>
          </cell>
          <cell r="H147" t="e">
            <v>#N/A</v>
          </cell>
          <cell r="I147">
            <v>1</v>
          </cell>
          <cell r="J147">
            <v>1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</row>
        <row r="148">
          <cell r="C148" t="str">
            <v>N/HT</v>
          </cell>
          <cell r="D148">
            <v>0</v>
          </cell>
          <cell r="F148" t="e">
            <v>#N/A</v>
          </cell>
          <cell r="G148" t="e">
            <v>#N/A</v>
          </cell>
          <cell r="H148" t="e">
            <v>#N/A</v>
          </cell>
          <cell r="I148">
            <v>1</v>
          </cell>
          <cell r="J148">
            <v>1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</row>
        <row r="149">
          <cell r="C149" t="str">
            <v>N/HT</v>
          </cell>
          <cell r="D149">
            <v>0</v>
          </cell>
          <cell r="F149" t="e">
            <v>#N/A</v>
          </cell>
          <cell r="G149" t="e">
            <v>#N/A</v>
          </cell>
          <cell r="H149" t="e">
            <v>#N/A</v>
          </cell>
          <cell r="I149">
            <v>1</v>
          </cell>
          <cell r="J149">
            <v>1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</row>
        <row r="150">
          <cell r="C150" t="str">
            <v>N/HT</v>
          </cell>
          <cell r="D150">
            <v>0</v>
          </cell>
          <cell r="F150" t="e">
            <v>#N/A</v>
          </cell>
          <cell r="G150" t="e">
            <v>#N/A</v>
          </cell>
          <cell r="H150" t="e">
            <v>#N/A</v>
          </cell>
          <cell r="I150">
            <v>1</v>
          </cell>
          <cell r="J150">
            <v>1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</row>
        <row r="151">
          <cell r="C151" t="str">
            <v>N/HT</v>
          </cell>
          <cell r="D151">
            <v>0</v>
          </cell>
          <cell r="F151" t="e">
            <v>#N/A</v>
          </cell>
          <cell r="G151" t="e">
            <v>#N/A</v>
          </cell>
          <cell r="H151" t="e">
            <v>#N/A</v>
          </cell>
          <cell r="I151">
            <v>1</v>
          </cell>
          <cell r="J151">
            <v>1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</row>
        <row r="152">
          <cell r="C152" t="str">
            <v>N/HT</v>
          </cell>
          <cell r="D152">
            <v>0</v>
          </cell>
          <cell r="F152" t="e">
            <v>#N/A</v>
          </cell>
          <cell r="G152" t="e">
            <v>#N/A</v>
          </cell>
          <cell r="H152" t="e">
            <v>#N/A</v>
          </cell>
          <cell r="I152">
            <v>1</v>
          </cell>
          <cell r="J152">
            <v>1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</row>
        <row r="153">
          <cell r="C153" t="str">
            <v>N/HT</v>
          </cell>
          <cell r="D153">
            <v>0</v>
          </cell>
          <cell r="F153" t="e">
            <v>#N/A</v>
          </cell>
          <cell r="G153" t="e">
            <v>#N/A</v>
          </cell>
          <cell r="H153" t="e">
            <v>#N/A</v>
          </cell>
          <cell r="I153">
            <v>1</v>
          </cell>
          <cell r="J153">
            <v>1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</row>
        <row r="154">
          <cell r="C154" t="str">
            <v>N/HT</v>
          </cell>
          <cell r="D154">
            <v>0</v>
          </cell>
          <cell r="F154" t="e">
            <v>#N/A</v>
          </cell>
          <cell r="G154" t="e">
            <v>#N/A</v>
          </cell>
          <cell r="H154" t="e">
            <v>#N/A</v>
          </cell>
          <cell r="I154">
            <v>1</v>
          </cell>
          <cell r="J154">
            <v>1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</row>
        <row r="155">
          <cell r="C155" t="str">
            <v>N/HT</v>
          </cell>
          <cell r="D155">
            <v>0</v>
          </cell>
          <cell r="F155" t="e">
            <v>#N/A</v>
          </cell>
          <cell r="G155" t="e">
            <v>#N/A</v>
          </cell>
          <cell r="H155" t="e">
            <v>#N/A</v>
          </cell>
          <cell r="I155">
            <v>1</v>
          </cell>
          <cell r="J155">
            <v>1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</row>
        <row r="156">
          <cell r="C156" t="str">
            <v>N/HT</v>
          </cell>
          <cell r="D156">
            <v>0</v>
          </cell>
          <cell r="F156" t="e">
            <v>#N/A</v>
          </cell>
          <cell r="G156" t="e">
            <v>#N/A</v>
          </cell>
          <cell r="H156" t="e">
            <v>#N/A</v>
          </cell>
          <cell r="I156">
            <v>1</v>
          </cell>
          <cell r="J156">
            <v>1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</row>
        <row r="157">
          <cell r="C157" t="str">
            <v>N/HT</v>
          </cell>
          <cell r="D157">
            <v>0</v>
          </cell>
          <cell r="F157" t="e">
            <v>#N/A</v>
          </cell>
          <cell r="G157" t="e">
            <v>#N/A</v>
          </cell>
          <cell r="H157" t="e">
            <v>#N/A</v>
          </cell>
          <cell r="I157">
            <v>1</v>
          </cell>
          <cell r="J157">
            <v>1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</row>
        <row r="158">
          <cell r="C158" t="str">
            <v>N/HT</v>
          </cell>
          <cell r="D158">
            <v>0</v>
          </cell>
          <cell r="F158" t="e">
            <v>#N/A</v>
          </cell>
          <cell r="G158" t="e">
            <v>#N/A</v>
          </cell>
          <cell r="H158" t="e">
            <v>#N/A</v>
          </cell>
          <cell r="I158">
            <v>1</v>
          </cell>
          <cell r="J158">
            <v>1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</row>
        <row r="159">
          <cell r="C159" t="str">
            <v>N/HT</v>
          </cell>
          <cell r="D159">
            <v>0</v>
          </cell>
          <cell r="F159" t="e">
            <v>#N/A</v>
          </cell>
          <cell r="G159" t="e">
            <v>#N/A</v>
          </cell>
          <cell r="H159" t="e">
            <v>#N/A</v>
          </cell>
          <cell r="I159">
            <v>1</v>
          </cell>
          <cell r="J159">
            <v>1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</row>
        <row r="160">
          <cell r="C160" t="str">
            <v>N/HT</v>
          </cell>
          <cell r="D160">
            <v>0</v>
          </cell>
          <cell r="F160" t="e">
            <v>#N/A</v>
          </cell>
          <cell r="G160" t="e">
            <v>#N/A</v>
          </cell>
          <cell r="H160" t="e">
            <v>#N/A</v>
          </cell>
          <cell r="I160">
            <v>1</v>
          </cell>
          <cell r="J160">
            <v>1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</row>
        <row r="161">
          <cell r="C161" t="str">
            <v>N/HT</v>
          </cell>
          <cell r="D161">
            <v>0</v>
          </cell>
          <cell r="F161" t="e">
            <v>#N/A</v>
          </cell>
          <cell r="G161" t="e">
            <v>#N/A</v>
          </cell>
          <cell r="H161" t="e">
            <v>#N/A</v>
          </cell>
          <cell r="I161">
            <v>1</v>
          </cell>
          <cell r="J161">
            <v>1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</row>
        <row r="162">
          <cell r="C162" t="str">
            <v>N/HT</v>
          </cell>
          <cell r="D162">
            <v>0</v>
          </cell>
          <cell r="F162" t="e">
            <v>#N/A</v>
          </cell>
          <cell r="G162" t="e">
            <v>#N/A</v>
          </cell>
          <cell r="H162" t="e">
            <v>#N/A</v>
          </cell>
          <cell r="I162">
            <v>1</v>
          </cell>
          <cell r="J162">
            <v>1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</row>
        <row r="163">
          <cell r="C163" t="str">
            <v>N/HT</v>
          </cell>
          <cell r="D163">
            <v>0</v>
          </cell>
          <cell r="F163" t="e">
            <v>#N/A</v>
          </cell>
          <cell r="G163" t="e">
            <v>#N/A</v>
          </cell>
          <cell r="H163" t="e">
            <v>#N/A</v>
          </cell>
          <cell r="I163">
            <v>1</v>
          </cell>
          <cell r="J163">
            <v>1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</row>
        <row r="164">
          <cell r="C164" t="str">
            <v>N/HT</v>
          </cell>
          <cell r="D164">
            <v>0</v>
          </cell>
          <cell r="F164" t="e">
            <v>#N/A</v>
          </cell>
          <cell r="G164" t="e">
            <v>#N/A</v>
          </cell>
          <cell r="H164" t="e">
            <v>#N/A</v>
          </cell>
          <cell r="I164">
            <v>1</v>
          </cell>
          <cell r="J164">
            <v>1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</row>
        <row r="165">
          <cell r="C165" t="str">
            <v>N/HT</v>
          </cell>
          <cell r="D165">
            <v>0</v>
          </cell>
          <cell r="F165" t="e">
            <v>#N/A</v>
          </cell>
          <cell r="G165" t="e">
            <v>#N/A</v>
          </cell>
          <cell r="H165" t="e">
            <v>#N/A</v>
          </cell>
          <cell r="I165">
            <v>1</v>
          </cell>
          <cell r="J165">
            <v>1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</row>
        <row r="166">
          <cell r="C166" t="str">
            <v>N/HT</v>
          </cell>
          <cell r="D166">
            <v>0</v>
          </cell>
          <cell r="F166" t="e">
            <v>#N/A</v>
          </cell>
          <cell r="G166" t="e">
            <v>#N/A</v>
          </cell>
          <cell r="H166" t="e">
            <v>#N/A</v>
          </cell>
          <cell r="I166">
            <v>1</v>
          </cell>
          <cell r="J166">
            <v>1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</row>
        <row r="167">
          <cell r="C167" t="str">
            <v>N/HT</v>
          </cell>
          <cell r="D167">
            <v>0</v>
          </cell>
          <cell r="F167" t="e">
            <v>#N/A</v>
          </cell>
          <cell r="G167" t="e">
            <v>#N/A</v>
          </cell>
          <cell r="H167" t="e">
            <v>#N/A</v>
          </cell>
          <cell r="I167">
            <v>1</v>
          </cell>
          <cell r="J167">
            <v>1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</row>
        <row r="168">
          <cell r="C168" t="str">
            <v>N/HT</v>
          </cell>
          <cell r="D168">
            <v>0</v>
          </cell>
          <cell r="F168" t="e">
            <v>#N/A</v>
          </cell>
          <cell r="G168" t="e">
            <v>#N/A</v>
          </cell>
          <cell r="H168" t="e">
            <v>#N/A</v>
          </cell>
          <cell r="I168">
            <v>1</v>
          </cell>
          <cell r="J168">
            <v>1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</row>
        <row r="169">
          <cell r="C169" t="str">
            <v>N/HT</v>
          </cell>
          <cell r="D169">
            <v>0</v>
          </cell>
          <cell r="F169" t="e">
            <v>#N/A</v>
          </cell>
          <cell r="G169" t="e">
            <v>#N/A</v>
          </cell>
          <cell r="H169" t="e">
            <v>#N/A</v>
          </cell>
          <cell r="I169">
            <v>1</v>
          </cell>
          <cell r="J169">
            <v>1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</row>
        <row r="170">
          <cell r="C170" t="str">
            <v>N/HT</v>
          </cell>
          <cell r="D170">
            <v>0</v>
          </cell>
          <cell r="F170" t="e">
            <v>#N/A</v>
          </cell>
          <cell r="G170" t="e">
            <v>#N/A</v>
          </cell>
          <cell r="H170" t="e">
            <v>#N/A</v>
          </cell>
          <cell r="I170">
            <v>1</v>
          </cell>
          <cell r="J170">
            <v>1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</row>
        <row r="171">
          <cell r="C171" t="str">
            <v>N/HT</v>
          </cell>
          <cell r="D171">
            <v>0</v>
          </cell>
          <cell r="F171" t="e">
            <v>#N/A</v>
          </cell>
          <cell r="G171" t="e">
            <v>#N/A</v>
          </cell>
          <cell r="H171" t="e">
            <v>#N/A</v>
          </cell>
          <cell r="I171">
            <v>1</v>
          </cell>
          <cell r="J171">
            <v>1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</row>
        <row r="172">
          <cell r="C172" t="str">
            <v>N/HT</v>
          </cell>
          <cell r="D172">
            <v>0</v>
          </cell>
          <cell r="F172" t="e">
            <v>#N/A</v>
          </cell>
          <cell r="G172" t="e">
            <v>#N/A</v>
          </cell>
          <cell r="H172" t="e">
            <v>#N/A</v>
          </cell>
          <cell r="I172">
            <v>1</v>
          </cell>
          <cell r="J172">
            <v>1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</row>
        <row r="174">
          <cell r="C174" t="str">
            <v>No. Parte Htal:</v>
          </cell>
          <cell r="D174" t="str">
            <v>RQ</v>
          </cell>
          <cell r="E174" t="str">
            <v>Inventario</v>
          </cell>
          <cell r="F174" t="str">
            <v>Pz / Herramental</v>
          </cell>
          <cell r="G174" t="str">
            <v>Tiempo Entrega</v>
          </cell>
          <cell r="H174" t="str">
            <v>Mín</v>
          </cell>
          <cell r="I174" t="str">
            <v>Pto. Reorden</v>
          </cell>
          <cell r="J174" t="str">
            <v>Máx</v>
          </cell>
          <cell r="K174" t="str">
            <v>Mín</v>
          </cell>
          <cell r="L174" t="str">
            <v>Pto. Reorden</v>
          </cell>
          <cell r="M174" t="str">
            <v>Máx</v>
          </cell>
          <cell r="N174" t="str">
            <v>STATUS</v>
          </cell>
        </row>
        <row r="175">
          <cell r="D175">
            <v>0</v>
          </cell>
          <cell r="F175" t="e">
            <v>#N/A</v>
          </cell>
          <cell r="G175" t="e">
            <v>#N/A</v>
          </cell>
          <cell r="H175" t="e">
            <v>#N/A</v>
          </cell>
          <cell r="I175">
            <v>1</v>
          </cell>
          <cell r="J175">
            <v>1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</row>
        <row r="176">
          <cell r="D176">
            <v>0</v>
          </cell>
          <cell r="F176" t="e">
            <v>#N/A</v>
          </cell>
          <cell r="G176" t="e">
            <v>#N/A</v>
          </cell>
          <cell r="H176" t="e">
            <v>#N/A</v>
          </cell>
          <cell r="I176">
            <v>1</v>
          </cell>
          <cell r="J176">
            <v>1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</row>
        <row r="177">
          <cell r="D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>
            <v>1</v>
          </cell>
          <cell r="J177">
            <v>1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</row>
        <row r="178">
          <cell r="C178" t="str">
            <v>N/HT</v>
          </cell>
          <cell r="D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>
            <v>1</v>
          </cell>
          <cell r="J178">
            <v>1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</row>
        <row r="179">
          <cell r="C179" t="str">
            <v>N/HT</v>
          </cell>
          <cell r="D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>
            <v>1</v>
          </cell>
          <cell r="J179">
            <v>1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</row>
        <row r="180">
          <cell r="C180" t="str">
            <v>N/HT</v>
          </cell>
          <cell r="D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>
            <v>1</v>
          </cell>
          <cell r="J180">
            <v>1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</row>
        <row r="181">
          <cell r="C181" t="str">
            <v>N/HT</v>
          </cell>
          <cell r="D181">
            <v>0</v>
          </cell>
          <cell r="F181" t="e">
            <v>#N/A</v>
          </cell>
          <cell r="G181" t="e">
            <v>#N/A</v>
          </cell>
          <cell r="H181" t="e">
            <v>#N/A</v>
          </cell>
          <cell r="I181">
            <v>1</v>
          </cell>
          <cell r="J181">
            <v>1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</row>
        <row r="182">
          <cell r="C182" t="str">
            <v>N/HT</v>
          </cell>
          <cell r="D182">
            <v>0</v>
          </cell>
          <cell r="F182" t="e">
            <v>#N/A</v>
          </cell>
          <cell r="G182" t="e">
            <v>#N/A</v>
          </cell>
          <cell r="H182" t="e">
            <v>#N/A</v>
          </cell>
          <cell r="I182">
            <v>1</v>
          </cell>
          <cell r="J182">
            <v>1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</row>
        <row r="183">
          <cell r="C183" t="str">
            <v>N/HT</v>
          </cell>
          <cell r="D183">
            <v>0</v>
          </cell>
          <cell r="F183" t="e">
            <v>#N/A</v>
          </cell>
          <cell r="G183" t="e">
            <v>#N/A</v>
          </cell>
          <cell r="H183" t="e">
            <v>#N/A</v>
          </cell>
          <cell r="I183">
            <v>1</v>
          </cell>
          <cell r="J183">
            <v>1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</row>
        <row r="184">
          <cell r="C184" t="str">
            <v>N/HT</v>
          </cell>
          <cell r="D184">
            <v>0</v>
          </cell>
          <cell r="F184" t="e">
            <v>#N/A</v>
          </cell>
          <cell r="G184" t="e">
            <v>#N/A</v>
          </cell>
          <cell r="H184" t="e">
            <v>#N/A</v>
          </cell>
          <cell r="I184">
            <v>1</v>
          </cell>
          <cell r="J184">
            <v>1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</row>
        <row r="185">
          <cell r="C185" t="str">
            <v>N/HT</v>
          </cell>
          <cell r="D185">
            <v>0</v>
          </cell>
          <cell r="F185" t="e">
            <v>#N/A</v>
          </cell>
          <cell r="G185" t="e">
            <v>#N/A</v>
          </cell>
          <cell r="H185" t="e">
            <v>#N/A</v>
          </cell>
          <cell r="I185">
            <v>1</v>
          </cell>
          <cell r="J185">
            <v>1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</row>
        <row r="186">
          <cell r="C186" t="str">
            <v>N/HT</v>
          </cell>
          <cell r="D186">
            <v>0</v>
          </cell>
          <cell r="F186" t="e">
            <v>#N/A</v>
          </cell>
          <cell r="G186" t="e">
            <v>#N/A</v>
          </cell>
          <cell r="H186" t="e">
            <v>#N/A</v>
          </cell>
          <cell r="I186">
            <v>1</v>
          </cell>
          <cell r="J186">
            <v>1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</row>
        <row r="187">
          <cell r="C187" t="str">
            <v>N/HT</v>
          </cell>
          <cell r="D187">
            <v>0</v>
          </cell>
          <cell r="F187" t="e">
            <v>#N/A</v>
          </cell>
          <cell r="G187" t="e">
            <v>#N/A</v>
          </cell>
          <cell r="H187" t="e">
            <v>#N/A</v>
          </cell>
          <cell r="I187">
            <v>1</v>
          </cell>
          <cell r="J187">
            <v>1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</row>
        <row r="188">
          <cell r="C188" t="str">
            <v>N/HT</v>
          </cell>
          <cell r="D188">
            <v>0</v>
          </cell>
          <cell r="F188" t="e">
            <v>#N/A</v>
          </cell>
          <cell r="G188" t="e">
            <v>#N/A</v>
          </cell>
          <cell r="H188" t="e">
            <v>#N/A</v>
          </cell>
          <cell r="I188">
            <v>1</v>
          </cell>
          <cell r="J188">
            <v>1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</row>
        <row r="189">
          <cell r="C189" t="str">
            <v>N/HT</v>
          </cell>
          <cell r="D189">
            <v>0</v>
          </cell>
          <cell r="F189" t="e">
            <v>#N/A</v>
          </cell>
          <cell r="G189" t="e">
            <v>#N/A</v>
          </cell>
          <cell r="H189" t="e">
            <v>#N/A</v>
          </cell>
          <cell r="I189">
            <v>1</v>
          </cell>
          <cell r="J189">
            <v>1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</row>
        <row r="190">
          <cell r="C190" t="str">
            <v>N/HT</v>
          </cell>
          <cell r="D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>
            <v>1</v>
          </cell>
          <cell r="J190">
            <v>1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</row>
        <row r="191">
          <cell r="C191" t="str">
            <v>N/HT</v>
          </cell>
          <cell r="D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>
            <v>1</v>
          </cell>
          <cell r="J191">
            <v>1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</row>
        <row r="192">
          <cell r="C192" t="str">
            <v>N/HT</v>
          </cell>
          <cell r="D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>
            <v>1</v>
          </cell>
          <cell r="J192">
            <v>1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</row>
        <row r="193">
          <cell r="C193" t="str">
            <v>N/HT</v>
          </cell>
          <cell r="D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>
            <v>1</v>
          </cell>
          <cell r="J193">
            <v>1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</row>
        <row r="194">
          <cell r="C194" t="str">
            <v>N/HT</v>
          </cell>
          <cell r="D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>
            <v>1</v>
          </cell>
          <cell r="J194">
            <v>1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</row>
        <row r="195">
          <cell r="C195" t="str">
            <v>N/HT</v>
          </cell>
          <cell r="D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>
            <v>1</v>
          </cell>
          <cell r="J195">
            <v>1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</row>
        <row r="196">
          <cell r="C196" t="str">
            <v>N/HT</v>
          </cell>
          <cell r="D196">
            <v>0</v>
          </cell>
          <cell r="F196" t="e">
            <v>#N/A</v>
          </cell>
          <cell r="G196" t="e">
            <v>#N/A</v>
          </cell>
          <cell r="H196" t="e">
            <v>#N/A</v>
          </cell>
          <cell r="I196">
            <v>1</v>
          </cell>
          <cell r="J196">
            <v>1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</row>
        <row r="197">
          <cell r="C197" t="str">
            <v>N/HT</v>
          </cell>
          <cell r="D197">
            <v>0</v>
          </cell>
          <cell r="F197" t="e">
            <v>#N/A</v>
          </cell>
          <cell r="G197" t="e">
            <v>#N/A</v>
          </cell>
          <cell r="H197" t="e">
            <v>#N/A</v>
          </cell>
          <cell r="I197">
            <v>1</v>
          </cell>
          <cell r="J197">
            <v>1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</row>
        <row r="198">
          <cell r="C198" t="str">
            <v>N/HT</v>
          </cell>
          <cell r="D198">
            <v>0</v>
          </cell>
          <cell r="F198" t="e">
            <v>#N/A</v>
          </cell>
          <cell r="G198" t="e">
            <v>#N/A</v>
          </cell>
          <cell r="H198" t="e">
            <v>#N/A</v>
          </cell>
          <cell r="I198">
            <v>1</v>
          </cell>
          <cell r="J198">
            <v>1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</row>
        <row r="199">
          <cell r="C199" t="str">
            <v>N/HT</v>
          </cell>
          <cell r="D199">
            <v>0</v>
          </cell>
          <cell r="F199" t="e">
            <v>#N/A</v>
          </cell>
          <cell r="G199" t="e">
            <v>#N/A</v>
          </cell>
          <cell r="H199" t="e">
            <v>#N/A</v>
          </cell>
          <cell r="I199">
            <v>1</v>
          </cell>
          <cell r="J199">
            <v>1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</row>
        <row r="200">
          <cell r="C200" t="str">
            <v>N/HT</v>
          </cell>
          <cell r="D200">
            <v>0</v>
          </cell>
          <cell r="F200" t="e">
            <v>#N/A</v>
          </cell>
          <cell r="G200" t="e">
            <v>#N/A</v>
          </cell>
          <cell r="H200" t="e">
            <v>#N/A</v>
          </cell>
          <cell r="I200">
            <v>1</v>
          </cell>
          <cell r="J200">
            <v>1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</row>
        <row r="201">
          <cell r="C201" t="str">
            <v>N/HT</v>
          </cell>
          <cell r="D201">
            <v>0</v>
          </cell>
          <cell r="F201" t="e">
            <v>#N/A</v>
          </cell>
          <cell r="G201" t="e">
            <v>#N/A</v>
          </cell>
          <cell r="H201" t="e">
            <v>#N/A</v>
          </cell>
          <cell r="I201">
            <v>1</v>
          </cell>
          <cell r="J201">
            <v>1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</row>
        <row r="202">
          <cell r="C202" t="str">
            <v>N/HT</v>
          </cell>
          <cell r="D202">
            <v>0</v>
          </cell>
          <cell r="F202" t="e">
            <v>#N/A</v>
          </cell>
          <cell r="G202" t="e">
            <v>#N/A</v>
          </cell>
          <cell r="H202" t="e">
            <v>#N/A</v>
          </cell>
          <cell r="I202">
            <v>1</v>
          </cell>
          <cell r="J202">
            <v>1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</row>
        <row r="203">
          <cell r="C203" t="str">
            <v>N/HT</v>
          </cell>
          <cell r="D203">
            <v>0</v>
          </cell>
          <cell r="F203" t="e">
            <v>#N/A</v>
          </cell>
          <cell r="G203" t="e">
            <v>#N/A</v>
          </cell>
          <cell r="H203" t="e">
            <v>#N/A</v>
          </cell>
          <cell r="I203">
            <v>1</v>
          </cell>
          <cell r="J203">
            <v>1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</row>
        <row r="204">
          <cell r="C204" t="str">
            <v>N/HT</v>
          </cell>
          <cell r="D204">
            <v>0</v>
          </cell>
          <cell r="F204" t="e">
            <v>#N/A</v>
          </cell>
          <cell r="G204" t="e">
            <v>#N/A</v>
          </cell>
          <cell r="H204" t="e">
            <v>#N/A</v>
          </cell>
          <cell r="I204">
            <v>1</v>
          </cell>
          <cell r="J204">
            <v>1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</row>
        <row r="205">
          <cell r="C205" t="str">
            <v>N/HT</v>
          </cell>
          <cell r="D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>
            <v>1</v>
          </cell>
          <cell r="J205">
            <v>1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</row>
        <row r="206">
          <cell r="C206" t="str">
            <v>N/HT</v>
          </cell>
          <cell r="D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>
            <v>1</v>
          </cell>
          <cell r="J206">
            <v>1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</row>
        <row r="208">
          <cell r="C208" t="str">
            <v>No. Parte Htal:</v>
          </cell>
          <cell r="D208" t="str">
            <v>RQ</v>
          </cell>
          <cell r="E208" t="str">
            <v>Inventario</v>
          </cell>
          <cell r="F208" t="str">
            <v>Pz / Herramental</v>
          </cell>
          <cell r="G208" t="str">
            <v>Tiempo Entrega</v>
          </cell>
          <cell r="H208" t="str">
            <v>Mín</v>
          </cell>
          <cell r="I208" t="str">
            <v>Pto. Reorden</v>
          </cell>
          <cell r="J208" t="str">
            <v>Máx</v>
          </cell>
          <cell r="K208" t="str">
            <v>Mín</v>
          </cell>
          <cell r="L208" t="str">
            <v>Pto. Reorden</v>
          </cell>
          <cell r="M208" t="str">
            <v>Máx</v>
          </cell>
          <cell r="N208" t="str">
            <v>STATUS</v>
          </cell>
        </row>
        <row r="209">
          <cell r="C209" t="str">
            <v>HTJA020024</v>
          </cell>
          <cell r="D209">
            <v>107463.40000000001</v>
          </cell>
          <cell r="E209">
            <v>100</v>
          </cell>
          <cell r="F209">
            <v>50000</v>
          </cell>
          <cell r="G209">
            <v>15</v>
          </cell>
          <cell r="H209">
            <v>2</v>
          </cell>
          <cell r="I209">
            <v>1</v>
          </cell>
          <cell r="J209">
            <v>1</v>
          </cell>
          <cell r="K209">
            <v>2</v>
          </cell>
          <cell r="L209">
            <v>3</v>
          </cell>
          <cell r="M209">
            <v>4</v>
          </cell>
          <cell r="N209" t="str">
            <v>SOBREINVENTARIO</v>
          </cell>
        </row>
        <row r="210">
          <cell r="C210" t="str">
            <v>HTJA020046</v>
          </cell>
          <cell r="D210">
            <v>107463.40000000001</v>
          </cell>
          <cell r="E210">
            <v>1</v>
          </cell>
          <cell r="F210">
            <v>2000000</v>
          </cell>
          <cell r="G210">
            <v>20</v>
          </cell>
          <cell r="H210">
            <v>1</v>
          </cell>
          <cell r="I210">
            <v>1</v>
          </cell>
          <cell r="J210">
            <v>1</v>
          </cell>
          <cell r="K210">
            <v>1</v>
          </cell>
          <cell r="L210">
            <v>2</v>
          </cell>
          <cell r="M210">
            <v>3</v>
          </cell>
          <cell r="N210" t="str">
            <v>PEDIR</v>
          </cell>
        </row>
        <row r="211">
          <cell r="C211" t="str">
            <v>HTJA020008</v>
          </cell>
          <cell r="D211">
            <v>107463.40000000001</v>
          </cell>
          <cell r="E211">
            <v>2</v>
          </cell>
          <cell r="F211">
            <v>100000</v>
          </cell>
          <cell r="G211">
            <v>16</v>
          </cell>
          <cell r="H211">
            <v>1</v>
          </cell>
          <cell r="I211">
            <v>1</v>
          </cell>
          <cell r="J211">
            <v>1</v>
          </cell>
          <cell r="K211">
            <v>1</v>
          </cell>
          <cell r="L211">
            <v>2</v>
          </cell>
          <cell r="M211">
            <v>3</v>
          </cell>
          <cell r="N211" t="str">
            <v>PEDIR</v>
          </cell>
        </row>
        <row r="212">
          <cell r="C212" t="str">
            <v>HTJA020047</v>
          </cell>
          <cell r="D212">
            <v>107463.40000000001</v>
          </cell>
          <cell r="E212">
            <v>0</v>
          </cell>
          <cell r="F212">
            <v>500000</v>
          </cell>
          <cell r="G212">
            <v>20</v>
          </cell>
          <cell r="H212">
            <v>1</v>
          </cell>
          <cell r="I212">
            <v>1</v>
          </cell>
          <cell r="J212">
            <v>1</v>
          </cell>
          <cell r="K212">
            <v>1</v>
          </cell>
          <cell r="L212">
            <v>2</v>
          </cell>
          <cell r="M212">
            <v>3</v>
          </cell>
          <cell r="N212" t="str">
            <v>URGENTE</v>
          </cell>
        </row>
        <row r="213">
          <cell r="C213" t="str">
            <v>HTJA020048</v>
          </cell>
          <cell r="D213">
            <v>107463.40000000001</v>
          </cell>
          <cell r="E213">
            <v>0</v>
          </cell>
          <cell r="F213">
            <v>500000</v>
          </cell>
          <cell r="G213">
            <v>20</v>
          </cell>
          <cell r="H213">
            <v>1</v>
          </cell>
          <cell r="I213">
            <v>1</v>
          </cell>
          <cell r="J213">
            <v>1</v>
          </cell>
          <cell r="K213">
            <v>1</v>
          </cell>
          <cell r="L213">
            <v>2</v>
          </cell>
          <cell r="M213">
            <v>3</v>
          </cell>
          <cell r="N213" t="str">
            <v>URGENTE</v>
          </cell>
        </row>
        <row r="214">
          <cell r="C214" t="str">
            <v>HTJA020054</v>
          </cell>
          <cell r="D214">
            <v>107463.40000000001</v>
          </cell>
          <cell r="E214">
            <v>1</v>
          </cell>
          <cell r="F214">
            <v>500000</v>
          </cell>
          <cell r="G214">
            <v>15</v>
          </cell>
          <cell r="H214">
            <v>1</v>
          </cell>
          <cell r="I214">
            <v>1</v>
          </cell>
          <cell r="J214">
            <v>1</v>
          </cell>
          <cell r="K214">
            <v>1</v>
          </cell>
          <cell r="L214">
            <v>2</v>
          </cell>
          <cell r="M214">
            <v>3</v>
          </cell>
          <cell r="N214" t="str">
            <v>PEDIR</v>
          </cell>
        </row>
        <row r="215">
          <cell r="C215" t="str">
            <v>HTJA020010</v>
          </cell>
          <cell r="D215">
            <v>107463.40000000001</v>
          </cell>
          <cell r="E215">
            <v>12</v>
          </cell>
          <cell r="F215">
            <v>500000</v>
          </cell>
          <cell r="G215">
            <v>15</v>
          </cell>
          <cell r="H215">
            <v>1</v>
          </cell>
          <cell r="I215">
            <v>1</v>
          </cell>
          <cell r="J215">
            <v>1</v>
          </cell>
          <cell r="K215">
            <v>1</v>
          </cell>
          <cell r="L215">
            <v>2</v>
          </cell>
          <cell r="M215">
            <v>3</v>
          </cell>
          <cell r="N215" t="str">
            <v>SOBREINVENTARIO</v>
          </cell>
        </row>
        <row r="216">
          <cell r="C216" t="str">
            <v>HTJA020011</v>
          </cell>
          <cell r="D216">
            <v>107463.40000000001</v>
          </cell>
          <cell r="E216">
            <v>4</v>
          </cell>
          <cell r="F216">
            <v>500000</v>
          </cell>
          <cell r="G216">
            <v>15</v>
          </cell>
          <cell r="H216">
            <v>1</v>
          </cell>
          <cell r="I216">
            <v>1</v>
          </cell>
          <cell r="J216">
            <v>1</v>
          </cell>
          <cell r="K216">
            <v>1</v>
          </cell>
          <cell r="L216">
            <v>2</v>
          </cell>
          <cell r="M216">
            <v>3</v>
          </cell>
          <cell r="N216" t="str">
            <v>SOBREINVENTARIO</v>
          </cell>
        </row>
        <row r="217">
          <cell r="C217" t="str">
            <v>HTJA020009</v>
          </cell>
          <cell r="D217">
            <v>107463.40000000001</v>
          </cell>
          <cell r="E217">
            <v>1</v>
          </cell>
          <cell r="F217">
            <v>500000</v>
          </cell>
          <cell r="G217">
            <v>15</v>
          </cell>
          <cell r="H217">
            <v>1</v>
          </cell>
          <cell r="I217">
            <v>1</v>
          </cell>
          <cell r="J217">
            <v>1</v>
          </cell>
          <cell r="K217">
            <v>1</v>
          </cell>
          <cell r="L217">
            <v>2</v>
          </cell>
          <cell r="M217">
            <v>3</v>
          </cell>
          <cell r="N217" t="str">
            <v>PEDIR</v>
          </cell>
        </row>
        <row r="218">
          <cell r="C218" t="str">
            <v>HTJA020055</v>
          </cell>
          <cell r="D218">
            <v>107463.40000000001</v>
          </cell>
          <cell r="E218">
            <v>1</v>
          </cell>
          <cell r="F218">
            <v>500000</v>
          </cell>
          <cell r="G218">
            <v>15</v>
          </cell>
          <cell r="H218">
            <v>1</v>
          </cell>
          <cell r="I218">
            <v>1</v>
          </cell>
          <cell r="J218">
            <v>1</v>
          </cell>
          <cell r="K218">
            <v>1</v>
          </cell>
          <cell r="L218">
            <v>2</v>
          </cell>
          <cell r="M218">
            <v>3</v>
          </cell>
          <cell r="N218" t="str">
            <v>PEDIR</v>
          </cell>
        </row>
        <row r="219">
          <cell r="C219" t="str">
            <v>HTJA020012</v>
          </cell>
          <cell r="D219">
            <v>107463.40000000001</v>
          </cell>
          <cell r="E219">
            <v>1</v>
          </cell>
          <cell r="F219">
            <v>100000</v>
          </cell>
          <cell r="G219">
            <v>8</v>
          </cell>
          <cell r="H219">
            <v>1</v>
          </cell>
          <cell r="I219">
            <v>1</v>
          </cell>
          <cell r="J219">
            <v>1</v>
          </cell>
          <cell r="K219">
            <v>1</v>
          </cell>
          <cell r="L219">
            <v>2</v>
          </cell>
          <cell r="M219">
            <v>3</v>
          </cell>
          <cell r="N219" t="str">
            <v>PEDIR</v>
          </cell>
        </row>
        <row r="220">
          <cell r="C220" t="str">
            <v>HTJA020007</v>
          </cell>
          <cell r="D220">
            <v>107463.40000000001</v>
          </cell>
          <cell r="E220">
            <v>4</v>
          </cell>
          <cell r="F220">
            <v>100000</v>
          </cell>
          <cell r="G220">
            <v>15</v>
          </cell>
          <cell r="H220">
            <v>1</v>
          </cell>
          <cell r="I220">
            <v>1</v>
          </cell>
          <cell r="J220">
            <v>1</v>
          </cell>
          <cell r="K220">
            <v>1</v>
          </cell>
          <cell r="L220">
            <v>2</v>
          </cell>
          <cell r="M220">
            <v>3</v>
          </cell>
          <cell r="N220" t="str">
            <v>SOBREINVENTARIO</v>
          </cell>
        </row>
        <row r="221">
          <cell r="D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>
            <v>1</v>
          </cell>
          <cell r="J221">
            <v>1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</row>
        <row r="222">
          <cell r="D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>
            <v>1</v>
          </cell>
          <cell r="J222">
            <v>1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</row>
        <row r="223">
          <cell r="D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>
            <v>1</v>
          </cell>
          <cell r="J223">
            <v>1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</row>
        <row r="224">
          <cell r="C224" t="str">
            <v>N/HT</v>
          </cell>
          <cell r="D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>
            <v>1</v>
          </cell>
          <cell r="J224">
            <v>1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</row>
        <row r="225">
          <cell r="C225" t="str">
            <v>N/HT</v>
          </cell>
          <cell r="D225">
            <v>0</v>
          </cell>
          <cell r="F225" t="e">
            <v>#N/A</v>
          </cell>
          <cell r="G225" t="e">
            <v>#N/A</v>
          </cell>
          <cell r="H225" t="e">
            <v>#N/A</v>
          </cell>
          <cell r="I225">
            <v>1</v>
          </cell>
          <cell r="J225">
            <v>1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</row>
        <row r="226">
          <cell r="C226" t="str">
            <v>N/HT</v>
          </cell>
          <cell r="D226">
            <v>0</v>
          </cell>
          <cell r="F226" t="e">
            <v>#N/A</v>
          </cell>
          <cell r="G226" t="e">
            <v>#N/A</v>
          </cell>
          <cell r="H226" t="e">
            <v>#N/A</v>
          </cell>
          <cell r="I226">
            <v>1</v>
          </cell>
          <cell r="J226">
            <v>1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</row>
        <row r="227">
          <cell r="C227" t="str">
            <v>N/HT</v>
          </cell>
          <cell r="D227">
            <v>0</v>
          </cell>
          <cell r="F227" t="e">
            <v>#N/A</v>
          </cell>
          <cell r="G227" t="e">
            <v>#N/A</v>
          </cell>
          <cell r="H227" t="e">
            <v>#N/A</v>
          </cell>
          <cell r="I227">
            <v>1</v>
          </cell>
          <cell r="J227">
            <v>1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</row>
        <row r="228">
          <cell r="C228" t="str">
            <v>N/HT</v>
          </cell>
          <cell r="D228">
            <v>0</v>
          </cell>
          <cell r="F228" t="e">
            <v>#N/A</v>
          </cell>
          <cell r="G228" t="e">
            <v>#N/A</v>
          </cell>
          <cell r="H228" t="e">
            <v>#N/A</v>
          </cell>
          <cell r="I228">
            <v>1</v>
          </cell>
          <cell r="J228">
            <v>1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</row>
        <row r="229">
          <cell r="C229" t="str">
            <v>N/HT</v>
          </cell>
          <cell r="D229">
            <v>0</v>
          </cell>
          <cell r="F229" t="e">
            <v>#N/A</v>
          </cell>
          <cell r="G229" t="e">
            <v>#N/A</v>
          </cell>
          <cell r="H229" t="e">
            <v>#N/A</v>
          </cell>
          <cell r="I229">
            <v>1</v>
          </cell>
          <cell r="J229">
            <v>1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</row>
        <row r="230">
          <cell r="C230" t="str">
            <v>N/HT</v>
          </cell>
          <cell r="D230">
            <v>0</v>
          </cell>
          <cell r="F230" t="e">
            <v>#N/A</v>
          </cell>
          <cell r="G230" t="e">
            <v>#N/A</v>
          </cell>
          <cell r="H230" t="e">
            <v>#N/A</v>
          </cell>
          <cell r="I230">
            <v>1</v>
          </cell>
          <cell r="J230">
            <v>1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</row>
        <row r="231">
          <cell r="C231" t="str">
            <v>N/HT</v>
          </cell>
          <cell r="D231">
            <v>0</v>
          </cell>
          <cell r="F231" t="e">
            <v>#N/A</v>
          </cell>
          <cell r="G231" t="e">
            <v>#N/A</v>
          </cell>
          <cell r="H231" t="e">
            <v>#N/A</v>
          </cell>
          <cell r="I231">
            <v>1</v>
          </cell>
          <cell r="J231">
            <v>1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</row>
        <row r="232">
          <cell r="C232" t="str">
            <v>N/HT</v>
          </cell>
          <cell r="D232">
            <v>0</v>
          </cell>
          <cell r="F232" t="e">
            <v>#N/A</v>
          </cell>
          <cell r="G232" t="e">
            <v>#N/A</v>
          </cell>
          <cell r="H232" t="e">
            <v>#N/A</v>
          </cell>
          <cell r="I232">
            <v>1</v>
          </cell>
          <cell r="J232">
            <v>1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</row>
        <row r="233">
          <cell r="C233" t="str">
            <v>N/HT</v>
          </cell>
          <cell r="D233">
            <v>0</v>
          </cell>
          <cell r="F233" t="e">
            <v>#N/A</v>
          </cell>
          <cell r="G233" t="e">
            <v>#N/A</v>
          </cell>
          <cell r="H233" t="e">
            <v>#N/A</v>
          </cell>
          <cell r="I233">
            <v>1</v>
          </cell>
          <cell r="J233">
            <v>1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</row>
        <row r="234">
          <cell r="C234" t="str">
            <v>N/HT</v>
          </cell>
          <cell r="D234">
            <v>0</v>
          </cell>
          <cell r="F234" t="e">
            <v>#N/A</v>
          </cell>
          <cell r="G234" t="e">
            <v>#N/A</v>
          </cell>
          <cell r="H234" t="e">
            <v>#N/A</v>
          </cell>
          <cell r="I234">
            <v>1</v>
          </cell>
          <cell r="J234">
            <v>1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</row>
        <row r="235">
          <cell r="C235" t="str">
            <v>N/HT</v>
          </cell>
          <cell r="D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>
            <v>1</v>
          </cell>
          <cell r="J235">
            <v>1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</row>
        <row r="236">
          <cell r="C236" t="str">
            <v>N/HT</v>
          </cell>
          <cell r="D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>
            <v>1</v>
          </cell>
          <cell r="J236">
            <v>1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</row>
        <row r="237">
          <cell r="C237" t="str">
            <v>N/HT</v>
          </cell>
          <cell r="D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>
            <v>1</v>
          </cell>
          <cell r="J237">
            <v>1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</row>
        <row r="238">
          <cell r="C238" t="str">
            <v>N/HT</v>
          </cell>
          <cell r="D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>
            <v>1</v>
          </cell>
          <cell r="J238">
            <v>1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</row>
        <row r="239">
          <cell r="C239" t="str">
            <v>N/HT</v>
          </cell>
          <cell r="D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>
            <v>1</v>
          </cell>
          <cell r="J239">
            <v>1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</row>
        <row r="240">
          <cell r="C240" t="str">
            <v>N/HT</v>
          </cell>
          <cell r="D240">
            <v>0</v>
          </cell>
          <cell r="F240" t="e">
            <v>#N/A</v>
          </cell>
          <cell r="G240" t="e">
            <v>#N/A</v>
          </cell>
          <cell r="H240" t="e">
            <v>#N/A</v>
          </cell>
          <cell r="I240">
            <v>1</v>
          </cell>
          <cell r="J240">
            <v>1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</row>
        <row r="242">
          <cell r="C242" t="str">
            <v>No. Parte Htal:</v>
          </cell>
          <cell r="D242" t="str">
            <v>RQ</v>
          </cell>
          <cell r="E242" t="str">
            <v>Inventario</v>
          </cell>
          <cell r="F242" t="str">
            <v>Pz / Herramental</v>
          </cell>
          <cell r="G242" t="str">
            <v>Tiempo Entrega</v>
          </cell>
          <cell r="H242" t="str">
            <v>Mín</v>
          </cell>
          <cell r="I242" t="str">
            <v>Pto. Reorden</v>
          </cell>
          <cell r="J242" t="str">
            <v>Máx</v>
          </cell>
          <cell r="K242" t="str">
            <v>Mín</v>
          </cell>
          <cell r="L242" t="str">
            <v>Pto. Reorden</v>
          </cell>
          <cell r="M242" t="str">
            <v>Máx</v>
          </cell>
          <cell r="N242" t="str">
            <v>STATUS</v>
          </cell>
        </row>
        <row r="243">
          <cell r="D243">
            <v>0</v>
          </cell>
          <cell r="F243" t="e">
            <v>#N/A</v>
          </cell>
          <cell r="G243" t="e">
            <v>#N/A</v>
          </cell>
          <cell r="H243" t="e">
            <v>#N/A</v>
          </cell>
          <cell r="I243">
            <v>1</v>
          </cell>
          <cell r="J243">
            <v>1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</row>
        <row r="244">
          <cell r="D244">
            <v>0</v>
          </cell>
          <cell r="F244" t="e">
            <v>#N/A</v>
          </cell>
          <cell r="G244" t="e">
            <v>#N/A</v>
          </cell>
          <cell r="H244" t="e">
            <v>#N/A</v>
          </cell>
          <cell r="I244">
            <v>1</v>
          </cell>
          <cell r="J244">
            <v>1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</row>
        <row r="245">
          <cell r="D245">
            <v>0</v>
          </cell>
          <cell r="F245" t="e">
            <v>#N/A</v>
          </cell>
          <cell r="G245" t="e">
            <v>#N/A</v>
          </cell>
          <cell r="H245" t="e">
            <v>#N/A</v>
          </cell>
          <cell r="I245">
            <v>1</v>
          </cell>
          <cell r="J245">
            <v>1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</row>
        <row r="246">
          <cell r="D246">
            <v>0</v>
          </cell>
          <cell r="F246" t="e">
            <v>#N/A</v>
          </cell>
          <cell r="G246" t="e">
            <v>#N/A</v>
          </cell>
          <cell r="H246" t="e">
            <v>#N/A</v>
          </cell>
          <cell r="I246">
            <v>1</v>
          </cell>
          <cell r="J246">
            <v>1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</row>
        <row r="247">
          <cell r="C247" t="str">
            <v>N/HT</v>
          </cell>
          <cell r="D247">
            <v>0</v>
          </cell>
          <cell r="F247" t="e">
            <v>#N/A</v>
          </cell>
          <cell r="G247" t="e">
            <v>#N/A</v>
          </cell>
          <cell r="H247" t="e">
            <v>#N/A</v>
          </cell>
          <cell r="I247">
            <v>1</v>
          </cell>
          <cell r="J247">
            <v>1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</row>
        <row r="248">
          <cell r="C248" t="str">
            <v>N/HT</v>
          </cell>
          <cell r="D248">
            <v>0</v>
          </cell>
          <cell r="F248" t="e">
            <v>#N/A</v>
          </cell>
          <cell r="G248" t="e">
            <v>#N/A</v>
          </cell>
          <cell r="H248" t="e">
            <v>#N/A</v>
          </cell>
          <cell r="I248">
            <v>1</v>
          </cell>
          <cell r="J248">
            <v>1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</row>
        <row r="249">
          <cell r="C249" t="str">
            <v>N/HT</v>
          </cell>
          <cell r="D249">
            <v>0</v>
          </cell>
          <cell r="F249" t="e">
            <v>#N/A</v>
          </cell>
          <cell r="G249" t="e">
            <v>#N/A</v>
          </cell>
          <cell r="H249" t="e">
            <v>#N/A</v>
          </cell>
          <cell r="I249">
            <v>1</v>
          </cell>
          <cell r="J249">
            <v>1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</row>
        <row r="250">
          <cell r="C250" t="str">
            <v>N/HT</v>
          </cell>
          <cell r="D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>
            <v>1</v>
          </cell>
          <cell r="J250">
            <v>1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</row>
        <row r="251">
          <cell r="C251" t="str">
            <v>N/HT</v>
          </cell>
          <cell r="D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>
            <v>1</v>
          </cell>
          <cell r="J251">
            <v>1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</row>
        <row r="252">
          <cell r="C252" t="str">
            <v>N/HT</v>
          </cell>
          <cell r="D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>
            <v>1</v>
          </cell>
          <cell r="J252">
            <v>1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</row>
        <row r="253">
          <cell r="C253" t="str">
            <v>N/HT</v>
          </cell>
          <cell r="D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>
            <v>1</v>
          </cell>
          <cell r="J253">
            <v>1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</row>
        <row r="254">
          <cell r="C254" t="str">
            <v>N/HT</v>
          </cell>
          <cell r="D254">
            <v>0</v>
          </cell>
          <cell r="F254" t="e">
            <v>#N/A</v>
          </cell>
          <cell r="G254" t="e">
            <v>#N/A</v>
          </cell>
          <cell r="H254" t="e">
            <v>#N/A</v>
          </cell>
          <cell r="I254">
            <v>1</v>
          </cell>
          <cell r="J254">
            <v>1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</row>
        <row r="255">
          <cell r="C255" t="str">
            <v>N/HT</v>
          </cell>
          <cell r="D255">
            <v>0</v>
          </cell>
          <cell r="F255" t="e">
            <v>#N/A</v>
          </cell>
          <cell r="G255" t="e">
            <v>#N/A</v>
          </cell>
          <cell r="H255" t="e">
            <v>#N/A</v>
          </cell>
          <cell r="I255">
            <v>1</v>
          </cell>
          <cell r="J255">
            <v>1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</row>
        <row r="256">
          <cell r="C256" t="str">
            <v>N/HT</v>
          </cell>
          <cell r="D256">
            <v>0</v>
          </cell>
          <cell r="F256" t="e">
            <v>#N/A</v>
          </cell>
          <cell r="G256" t="e">
            <v>#N/A</v>
          </cell>
          <cell r="H256" t="e">
            <v>#N/A</v>
          </cell>
          <cell r="I256">
            <v>1</v>
          </cell>
          <cell r="J256">
            <v>1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</row>
        <row r="257">
          <cell r="C257" t="str">
            <v>N/HT</v>
          </cell>
          <cell r="D257">
            <v>0</v>
          </cell>
          <cell r="F257" t="e">
            <v>#N/A</v>
          </cell>
          <cell r="G257" t="e">
            <v>#N/A</v>
          </cell>
          <cell r="H257" t="e">
            <v>#N/A</v>
          </cell>
          <cell r="I257">
            <v>1</v>
          </cell>
          <cell r="J257">
            <v>1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</row>
        <row r="258">
          <cell r="C258" t="str">
            <v>N/HT</v>
          </cell>
          <cell r="D258">
            <v>0</v>
          </cell>
          <cell r="F258" t="e">
            <v>#N/A</v>
          </cell>
          <cell r="G258" t="e">
            <v>#N/A</v>
          </cell>
          <cell r="H258" t="e">
            <v>#N/A</v>
          </cell>
          <cell r="I258">
            <v>1</v>
          </cell>
          <cell r="J258">
            <v>1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</row>
        <row r="259">
          <cell r="C259" t="str">
            <v>N/HT</v>
          </cell>
          <cell r="D259">
            <v>0</v>
          </cell>
          <cell r="F259" t="e">
            <v>#N/A</v>
          </cell>
          <cell r="G259" t="e">
            <v>#N/A</v>
          </cell>
          <cell r="H259" t="e">
            <v>#N/A</v>
          </cell>
          <cell r="I259">
            <v>1</v>
          </cell>
          <cell r="J259">
            <v>1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</row>
        <row r="260">
          <cell r="C260" t="str">
            <v>N/HT</v>
          </cell>
          <cell r="D260">
            <v>0</v>
          </cell>
          <cell r="F260" t="e">
            <v>#N/A</v>
          </cell>
          <cell r="G260" t="e">
            <v>#N/A</v>
          </cell>
          <cell r="H260" t="e">
            <v>#N/A</v>
          </cell>
          <cell r="I260">
            <v>1</v>
          </cell>
          <cell r="J260">
            <v>1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</row>
        <row r="261">
          <cell r="C261" t="str">
            <v>N/HT</v>
          </cell>
          <cell r="D261">
            <v>0</v>
          </cell>
          <cell r="F261" t="e">
            <v>#N/A</v>
          </cell>
          <cell r="G261" t="e">
            <v>#N/A</v>
          </cell>
          <cell r="H261" t="e">
            <v>#N/A</v>
          </cell>
          <cell r="I261">
            <v>1</v>
          </cell>
          <cell r="J261">
            <v>1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</row>
        <row r="262">
          <cell r="C262" t="str">
            <v>N/HT</v>
          </cell>
          <cell r="D262">
            <v>0</v>
          </cell>
          <cell r="F262" t="e">
            <v>#N/A</v>
          </cell>
          <cell r="G262" t="e">
            <v>#N/A</v>
          </cell>
          <cell r="H262" t="e">
            <v>#N/A</v>
          </cell>
          <cell r="I262">
            <v>1</v>
          </cell>
          <cell r="J262">
            <v>1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</row>
        <row r="263">
          <cell r="C263" t="str">
            <v>N/HT</v>
          </cell>
          <cell r="D263">
            <v>0</v>
          </cell>
          <cell r="F263" t="e">
            <v>#N/A</v>
          </cell>
          <cell r="G263" t="e">
            <v>#N/A</v>
          </cell>
          <cell r="H263" t="e">
            <v>#N/A</v>
          </cell>
          <cell r="I263">
            <v>1</v>
          </cell>
          <cell r="J263">
            <v>1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</row>
        <row r="264">
          <cell r="C264" t="str">
            <v>N/HT</v>
          </cell>
          <cell r="D264">
            <v>0</v>
          </cell>
          <cell r="F264" t="e">
            <v>#N/A</v>
          </cell>
          <cell r="G264" t="e">
            <v>#N/A</v>
          </cell>
          <cell r="H264" t="e">
            <v>#N/A</v>
          </cell>
          <cell r="I264">
            <v>1</v>
          </cell>
          <cell r="J264">
            <v>1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</row>
        <row r="265">
          <cell r="C265" t="str">
            <v>N/HT</v>
          </cell>
          <cell r="D265">
            <v>0</v>
          </cell>
          <cell r="F265" t="e">
            <v>#N/A</v>
          </cell>
          <cell r="G265" t="e">
            <v>#N/A</v>
          </cell>
          <cell r="H265" t="e">
            <v>#N/A</v>
          </cell>
          <cell r="I265">
            <v>1</v>
          </cell>
          <cell r="J265">
            <v>1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</row>
        <row r="266">
          <cell r="C266" t="str">
            <v>N/HT</v>
          </cell>
          <cell r="D266">
            <v>0</v>
          </cell>
          <cell r="F266" t="e">
            <v>#N/A</v>
          </cell>
          <cell r="G266" t="e">
            <v>#N/A</v>
          </cell>
          <cell r="H266" t="e">
            <v>#N/A</v>
          </cell>
          <cell r="I266">
            <v>1</v>
          </cell>
          <cell r="J266">
            <v>1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</row>
        <row r="267">
          <cell r="C267" t="str">
            <v>N/HT</v>
          </cell>
          <cell r="D267">
            <v>0</v>
          </cell>
          <cell r="F267" t="e">
            <v>#N/A</v>
          </cell>
          <cell r="G267" t="e">
            <v>#N/A</v>
          </cell>
          <cell r="H267" t="e">
            <v>#N/A</v>
          </cell>
          <cell r="I267">
            <v>1</v>
          </cell>
          <cell r="J267">
            <v>1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</row>
        <row r="268">
          <cell r="C268" t="str">
            <v>N/HT</v>
          </cell>
          <cell r="D268">
            <v>0</v>
          </cell>
          <cell r="F268" t="e">
            <v>#N/A</v>
          </cell>
          <cell r="G268" t="e">
            <v>#N/A</v>
          </cell>
          <cell r="H268" t="e">
            <v>#N/A</v>
          </cell>
          <cell r="I268">
            <v>1</v>
          </cell>
          <cell r="J268">
            <v>1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</row>
        <row r="269">
          <cell r="C269" t="str">
            <v>N/HT</v>
          </cell>
          <cell r="D269">
            <v>0</v>
          </cell>
          <cell r="F269" t="e">
            <v>#N/A</v>
          </cell>
          <cell r="G269" t="e">
            <v>#N/A</v>
          </cell>
          <cell r="H269" t="e">
            <v>#N/A</v>
          </cell>
          <cell r="I269">
            <v>1</v>
          </cell>
          <cell r="J269">
            <v>1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</row>
        <row r="270">
          <cell r="C270" t="str">
            <v>N/HT</v>
          </cell>
          <cell r="D270">
            <v>0</v>
          </cell>
          <cell r="F270" t="e">
            <v>#N/A</v>
          </cell>
          <cell r="G270" t="e">
            <v>#N/A</v>
          </cell>
          <cell r="H270" t="e">
            <v>#N/A</v>
          </cell>
          <cell r="I270">
            <v>1</v>
          </cell>
          <cell r="J270">
            <v>1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</row>
        <row r="271">
          <cell r="C271" t="str">
            <v>N/HT</v>
          </cell>
          <cell r="D271">
            <v>0</v>
          </cell>
          <cell r="F271" t="e">
            <v>#N/A</v>
          </cell>
          <cell r="G271" t="e">
            <v>#N/A</v>
          </cell>
          <cell r="H271" t="e">
            <v>#N/A</v>
          </cell>
          <cell r="I271">
            <v>1</v>
          </cell>
          <cell r="J271">
            <v>1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</row>
        <row r="272">
          <cell r="C272" t="str">
            <v>N/HT</v>
          </cell>
          <cell r="D272">
            <v>0</v>
          </cell>
          <cell r="F272" t="e">
            <v>#N/A</v>
          </cell>
          <cell r="G272" t="e">
            <v>#N/A</v>
          </cell>
          <cell r="H272" t="e">
            <v>#N/A</v>
          </cell>
          <cell r="I272">
            <v>1</v>
          </cell>
          <cell r="J272">
            <v>1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</row>
        <row r="273">
          <cell r="C273" t="str">
            <v>N/HT</v>
          </cell>
          <cell r="D273">
            <v>0</v>
          </cell>
          <cell r="F273" t="e">
            <v>#N/A</v>
          </cell>
          <cell r="G273" t="e">
            <v>#N/A</v>
          </cell>
          <cell r="H273" t="e">
            <v>#N/A</v>
          </cell>
          <cell r="I273">
            <v>1</v>
          </cell>
          <cell r="J273">
            <v>1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</row>
        <row r="274">
          <cell r="C274" t="str">
            <v>N/HT</v>
          </cell>
          <cell r="D274">
            <v>0</v>
          </cell>
          <cell r="F274" t="e">
            <v>#N/A</v>
          </cell>
          <cell r="G274" t="e">
            <v>#N/A</v>
          </cell>
          <cell r="H274" t="e">
            <v>#N/A</v>
          </cell>
          <cell r="I274">
            <v>1</v>
          </cell>
          <cell r="J274">
            <v>1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</row>
        <row r="276">
          <cell r="C276" t="str">
            <v>No. Parte Htal:</v>
          </cell>
          <cell r="D276" t="str">
            <v>RQ</v>
          </cell>
          <cell r="E276" t="str">
            <v>Inventario</v>
          </cell>
          <cell r="F276" t="str">
            <v>Pz / Herramental</v>
          </cell>
          <cell r="G276" t="str">
            <v>Tiempo Entrega</v>
          </cell>
          <cell r="H276" t="str">
            <v>Mín</v>
          </cell>
          <cell r="I276" t="str">
            <v>Pto. Reorden</v>
          </cell>
          <cell r="J276" t="str">
            <v>Máx</v>
          </cell>
          <cell r="K276" t="str">
            <v>Mín</v>
          </cell>
          <cell r="L276" t="str">
            <v>Pto. Reorden</v>
          </cell>
          <cell r="M276" t="str">
            <v>Máx</v>
          </cell>
          <cell r="N276" t="str">
            <v>STATUS</v>
          </cell>
        </row>
        <row r="277">
          <cell r="C277" t="str">
            <v>HTJA020019</v>
          </cell>
          <cell r="D277">
            <v>45592.200000000012</v>
          </cell>
          <cell r="E277">
            <v>4</v>
          </cell>
          <cell r="F277">
            <v>25000</v>
          </cell>
          <cell r="G277">
            <v>7</v>
          </cell>
          <cell r="H277">
            <v>1</v>
          </cell>
          <cell r="I277">
            <v>1</v>
          </cell>
          <cell r="J277">
            <v>1</v>
          </cell>
          <cell r="K277">
            <v>1</v>
          </cell>
          <cell r="L277">
            <v>2</v>
          </cell>
          <cell r="M277">
            <v>3</v>
          </cell>
          <cell r="N277" t="str">
            <v>SOBREINVENTARIO</v>
          </cell>
        </row>
        <row r="278">
          <cell r="C278" t="str">
            <v>HTJA020018</v>
          </cell>
          <cell r="D278">
            <v>45592.200000000012</v>
          </cell>
          <cell r="E278">
            <v>3</v>
          </cell>
          <cell r="F278">
            <v>25000</v>
          </cell>
          <cell r="G278">
            <v>7</v>
          </cell>
          <cell r="H278">
            <v>1</v>
          </cell>
          <cell r="I278">
            <v>1</v>
          </cell>
          <cell r="J278">
            <v>1</v>
          </cell>
          <cell r="K278">
            <v>1</v>
          </cell>
          <cell r="L278">
            <v>2</v>
          </cell>
          <cell r="M278">
            <v>3</v>
          </cell>
          <cell r="N278" t="str">
            <v>OK</v>
          </cell>
        </row>
        <row r="279">
          <cell r="C279" t="str">
            <v>HTJA020017</v>
          </cell>
          <cell r="D279">
            <v>45592.200000000012</v>
          </cell>
          <cell r="E279">
            <v>3</v>
          </cell>
          <cell r="F279">
            <v>30000</v>
          </cell>
          <cell r="G279">
            <v>21</v>
          </cell>
          <cell r="H279">
            <v>2</v>
          </cell>
          <cell r="I279">
            <v>1</v>
          </cell>
          <cell r="J279">
            <v>1</v>
          </cell>
          <cell r="K279">
            <v>2</v>
          </cell>
          <cell r="L279">
            <v>3</v>
          </cell>
          <cell r="M279">
            <v>4</v>
          </cell>
          <cell r="N279" t="str">
            <v>PEDIR</v>
          </cell>
        </row>
        <row r="280">
          <cell r="C280" t="str">
            <v>N/HT</v>
          </cell>
          <cell r="D280">
            <v>0</v>
          </cell>
          <cell r="F280" t="e">
            <v>#N/A</v>
          </cell>
          <cell r="G280" t="e">
            <v>#N/A</v>
          </cell>
          <cell r="H280" t="e">
            <v>#N/A</v>
          </cell>
          <cell r="I280">
            <v>1</v>
          </cell>
          <cell r="J280">
            <v>1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</row>
        <row r="281">
          <cell r="C281" t="str">
            <v>N/HT</v>
          </cell>
          <cell r="D281">
            <v>0</v>
          </cell>
          <cell r="F281" t="e">
            <v>#N/A</v>
          </cell>
          <cell r="G281" t="e">
            <v>#N/A</v>
          </cell>
          <cell r="H281" t="e">
            <v>#N/A</v>
          </cell>
          <cell r="I281">
            <v>1</v>
          </cell>
          <cell r="J281">
            <v>1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</row>
        <row r="282">
          <cell r="C282" t="str">
            <v>N/HT</v>
          </cell>
          <cell r="D282">
            <v>0</v>
          </cell>
          <cell r="F282" t="e">
            <v>#N/A</v>
          </cell>
          <cell r="G282" t="e">
            <v>#N/A</v>
          </cell>
          <cell r="H282" t="e">
            <v>#N/A</v>
          </cell>
          <cell r="I282">
            <v>1</v>
          </cell>
          <cell r="J282">
            <v>1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</row>
        <row r="283">
          <cell r="C283" t="str">
            <v>N/HT</v>
          </cell>
          <cell r="D283">
            <v>0</v>
          </cell>
          <cell r="F283" t="e">
            <v>#N/A</v>
          </cell>
          <cell r="G283" t="e">
            <v>#N/A</v>
          </cell>
          <cell r="H283" t="e">
            <v>#N/A</v>
          </cell>
          <cell r="I283">
            <v>1</v>
          </cell>
          <cell r="J283">
            <v>1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</row>
        <row r="284">
          <cell r="C284" t="str">
            <v>N/HT</v>
          </cell>
          <cell r="D284">
            <v>0</v>
          </cell>
          <cell r="F284" t="e">
            <v>#N/A</v>
          </cell>
          <cell r="G284" t="e">
            <v>#N/A</v>
          </cell>
          <cell r="H284" t="e">
            <v>#N/A</v>
          </cell>
          <cell r="I284">
            <v>1</v>
          </cell>
          <cell r="J284">
            <v>1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</row>
        <row r="285">
          <cell r="C285" t="str">
            <v>N/HT</v>
          </cell>
          <cell r="D285">
            <v>0</v>
          </cell>
          <cell r="F285" t="e">
            <v>#N/A</v>
          </cell>
          <cell r="G285" t="e">
            <v>#N/A</v>
          </cell>
          <cell r="H285" t="e">
            <v>#N/A</v>
          </cell>
          <cell r="I285">
            <v>1</v>
          </cell>
          <cell r="J285">
            <v>1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</row>
        <row r="286">
          <cell r="C286" t="str">
            <v>N/HT</v>
          </cell>
          <cell r="D286">
            <v>0</v>
          </cell>
          <cell r="F286" t="e">
            <v>#N/A</v>
          </cell>
          <cell r="G286" t="e">
            <v>#N/A</v>
          </cell>
          <cell r="H286" t="e">
            <v>#N/A</v>
          </cell>
          <cell r="I286">
            <v>1</v>
          </cell>
          <cell r="J286">
            <v>1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</row>
        <row r="287">
          <cell r="C287" t="str">
            <v>N/HT</v>
          </cell>
          <cell r="D287">
            <v>0</v>
          </cell>
          <cell r="F287" t="e">
            <v>#N/A</v>
          </cell>
          <cell r="G287" t="e">
            <v>#N/A</v>
          </cell>
          <cell r="H287" t="e">
            <v>#N/A</v>
          </cell>
          <cell r="I287">
            <v>1</v>
          </cell>
          <cell r="J287">
            <v>1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</row>
        <row r="288">
          <cell r="C288" t="str">
            <v>N/HT</v>
          </cell>
          <cell r="D288">
            <v>0</v>
          </cell>
          <cell r="F288" t="e">
            <v>#N/A</v>
          </cell>
          <cell r="G288" t="e">
            <v>#N/A</v>
          </cell>
          <cell r="H288" t="e">
            <v>#N/A</v>
          </cell>
          <cell r="I288">
            <v>1</v>
          </cell>
          <cell r="J288">
            <v>1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</row>
        <row r="289">
          <cell r="C289" t="str">
            <v>N/HT</v>
          </cell>
          <cell r="D289">
            <v>0</v>
          </cell>
          <cell r="F289" t="e">
            <v>#N/A</v>
          </cell>
          <cell r="G289" t="e">
            <v>#N/A</v>
          </cell>
          <cell r="H289" t="e">
            <v>#N/A</v>
          </cell>
          <cell r="I289">
            <v>1</v>
          </cell>
          <cell r="J289">
            <v>1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</row>
        <row r="290">
          <cell r="C290" t="str">
            <v>N/HT</v>
          </cell>
          <cell r="D290">
            <v>0</v>
          </cell>
          <cell r="F290" t="e">
            <v>#N/A</v>
          </cell>
          <cell r="G290" t="e">
            <v>#N/A</v>
          </cell>
          <cell r="H290" t="e">
            <v>#N/A</v>
          </cell>
          <cell r="I290">
            <v>1</v>
          </cell>
          <cell r="J290">
            <v>1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</row>
        <row r="291">
          <cell r="C291" t="str">
            <v>N/HT</v>
          </cell>
          <cell r="D291">
            <v>0</v>
          </cell>
          <cell r="F291" t="e">
            <v>#N/A</v>
          </cell>
          <cell r="G291" t="e">
            <v>#N/A</v>
          </cell>
          <cell r="H291" t="e">
            <v>#N/A</v>
          </cell>
          <cell r="I291">
            <v>1</v>
          </cell>
          <cell r="J291">
            <v>1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</row>
        <row r="292">
          <cell r="C292" t="str">
            <v>N/HT</v>
          </cell>
          <cell r="D292">
            <v>0</v>
          </cell>
          <cell r="F292" t="e">
            <v>#N/A</v>
          </cell>
          <cell r="G292" t="e">
            <v>#N/A</v>
          </cell>
          <cell r="H292" t="e">
            <v>#N/A</v>
          </cell>
          <cell r="I292">
            <v>1</v>
          </cell>
          <cell r="J292">
            <v>1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</row>
        <row r="293">
          <cell r="C293" t="str">
            <v>N/HT</v>
          </cell>
          <cell r="D293">
            <v>0</v>
          </cell>
          <cell r="F293" t="e">
            <v>#N/A</v>
          </cell>
          <cell r="G293" t="e">
            <v>#N/A</v>
          </cell>
          <cell r="H293" t="e">
            <v>#N/A</v>
          </cell>
          <cell r="I293">
            <v>1</v>
          </cell>
          <cell r="J293">
            <v>1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</row>
        <row r="294">
          <cell r="C294" t="str">
            <v>N/HT</v>
          </cell>
          <cell r="D294">
            <v>0</v>
          </cell>
          <cell r="F294" t="e">
            <v>#N/A</v>
          </cell>
          <cell r="G294" t="e">
            <v>#N/A</v>
          </cell>
          <cell r="H294" t="e">
            <v>#N/A</v>
          </cell>
          <cell r="I294">
            <v>1</v>
          </cell>
          <cell r="J294">
            <v>1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</row>
        <row r="295">
          <cell r="C295" t="str">
            <v>N/HT</v>
          </cell>
          <cell r="D295">
            <v>0</v>
          </cell>
          <cell r="F295" t="e">
            <v>#N/A</v>
          </cell>
          <cell r="G295" t="e">
            <v>#N/A</v>
          </cell>
          <cell r="H295" t="e">
            <v>#N/A</v>
          </cell>
          <cell r="I295">
            <v>1</v>
          </cell>
          <cell r="J295">
            <v>1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</row>
        <row r="296">
          <cell r="C296" t="str">
            <v>N/HT</v>
          </cell>
          <cell r="D296">
            <v>0</v>
          </cell>
          <cell r="F296" t="e">
            <v>#N/A</v>
          </cell>
          <cell r="G296" t="e">
            <v>#N/A</v>
          </cell>
          <cell r="H296" t="e">
            <v>#N/A</v>
          </cell>
          <cell r="I296">
            <v>1</v>
          </cell>
          <cell r="J296">
            <v>1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</row>
        <row r="297">
          <cell r="C297" t="str">
            <v>N/HT</v>
          </cell>
          <cell r="D297">
            <v>0</v>
          </cell>
          <cell r="F297" t="e">
            <v>#N/A</v>
          </cell>
          <cell r="G297" t="e">
            <v>#N/A</v>
          </cell>
          <cell r="H297" t="e">
            <v>#N/A</v>
          </cell>
          <cell r="I297">
            <v>1</v>
          </cell>
          <cell r="J297">
            <v>1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</row>
        <row r="298">
          <cell r="C298" t="str">
            <v>N/HT</v>
          </cell>
          <cell r="D298">
            <v>0</v>
          </cell>
          <cell r="F298" t="e">
            <v>#N/A</v>
          </cell>
          <cell r="G298" t="e">
            <v>#N/A</v>
          </cell>
          <cell r="H298" t="e">
            <v>#N/A</v>
          </cell>
          <cell r="I298">
            <v>1</v>
          </cell>
          <cell r="J298">
            <v>1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</row>
        <row r="299">
          <cell r="C299" t="str">
            <v>N/HT</v>
          </cell>
          <cell r="D299">
            <v>0</v>
          </cell>
          <cell r="F299" t="e">
            <v>#N/A</v>
          </cell>
          <cell r="G299" t="e">
            <v>#N/A</v>
          </cell>
          <cell r="H299" t="e">
            <v>#N/A</v>
          </cell>
          <cell r="I299">
            <v>1</v>
          </cell>
          <cell r="J299">
            <v>1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</row>
        <row r="300">
          <cell r="C300" t="str">
            <v>N/HT</v>
          </cell>
          <cell r="D300">
            <v>0</v>
          </cell>
          <cell r="F300" t="e">
            <v>#N/A</v>
          </cell>
          <cell r="G300" t="e">
            <v>#N/A</v>
          </cell>
          <cell r="H300" t="e">
            <v>#N/A</v>
          </cell>
          <cell r="I300">
            <v>1</v>
          </cell>
          <cell r="J300">
            <v>1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</row>
        <row r="301">
          <cell r="C301" t="str">
            <v>N/HT</v>
          </cell>
          <cell r="D301">
            <v>0</v>
          </cell>
          <cell r="F301" t="e">
            <v>#N/A</v>
          </cell>
          <cell r="G301" t="e">
            <v>#N/A</v>
          </cell>
          <cell r="H301" t="e">
            <v>#N/A</v>
          </cell>
          <cell r="I301">
            <v>1</v>
          </cell>
          <cell r="J301">
            <v>1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</row>
        <row r="302">
          <cell r="C302" t="str">
            <v>N/HT</v>
          </cell>
          <cell r="D302">
            <v>0</v>
          </cell>
          <cell r="F302" t="e">
            <v>#N/A</v>
          </cell>
          <cell r="G302" t="e">
            <v>#N/A</v>
          </cell>
          <cell r="H302" t="e">
            <v>#N/A</v>
          </cell>
          <cell r="I302">
            <v>1</v>
          </cell>
          <cell r="J302">
            <v>1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</row>
        <row r="303">
          <cell r="C303" t="str">
            <v>N/HT</v>
          </cell>
          <cell r="D303">
            <v>0</v>
          </cell>
          <cell r="F303" t="e">
            <v>#N/A</v>
          </cell>
          <cell r="G303" t="e">
            <v>#N/A</v>
          </cell>
          <cell r="H303" t="e">
            <v>#N/A</v>
          </cell>
          <cell r="I303">
            <v>1</v>
          </cell>
          <cell r="J303">
            <v>1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</row>
        <row r="304">
          <cell r="C304" t="str">
            <v>N/HT</v>
          </cell>
          <cell r="D304">
            <v>0</v>
          </cell>
          <cell r="F304" t="e">
            <v>#N/A</v>
          </cell>
          <cell r="G304" t="e">
            <v>#N/A</v>
          </cell>
          <cell r="H304" t="e">
            <v>#N/A</v>
          </cell>
          <cell r="I304">
            <v>1</v>
          </cell>
          <cell r="J304">
            <v>1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</row>
        <row r="305">
          <cell r="C305" t="str">
            <v>N/HT</v>
          </cell>
          <cell r="D305">
            <v>0</v>
          </cell>
          <cell r="F305" t="e">
            <v>#N/A</v>
          </cell>
          <cell r="G305" t="e">
            <v>#N/A</v>
          </cell>
          <cell r="H305" t="e">
            <v>#N/A</v>
          </cell>
          <cell r="I305">
            <v>1</v>
          </cell>
          <cell r="J305">
            <v>1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</row>
        <row r="306">
          <cell r="C306" t="str">
            <v>N/HT</v>
          </cell>
          <cell r="D306">
            <v>0</v>
          </cell>
          <cell r="F306" t="e">
            <v>#N/A</v>
          </cell>
          <cell r="G306" t="e">
            <v>#N/A</v>
          </cell>
          <cell r="H306" t="e">
            <v>#N/A</v>
          </cell>
          <cell r="I306">
            <v>1</v>
          </cell>
          <cell r="J306">
            <v>1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</row>
        <row r="307">
          <cell r="C307" t="str">
            <v>N/HT</v>
          </cell>
          <cell r="D307">
            <v>0</v>
          </cell>
          <cell r="F307" t="e">
            <v>#N/A</v>
          </cell>
          <cell r="G307" t="e">
            <v>#N/A</v>
          </cell>
          <cell r="H307" t="e">
            <v>#N/A</v>
          </cell>
          <cell r="I307">
            <v>1</v>
          </cell>
          <cell r="J307">
            <v>1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</row>
        <row r="308">
          <cell r="C308" t="str">
            <v>N/HT</v>
          </cell>
          <cell r="D308">
            <v>0</v>
          </cell>
          <cell r="F308" t="e">
            <v>#N/A</v>
          </cell>
          <cell r="G308" t="e">
            <v>#N/A</v>
          </cell>
          <cell r="H308" t="e">
            <v>#N/A</v>
          </cell>
          <cell r="I308">
            <v>1</v>
          </cell>
          <cell r="J308">
            <v>1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</row>
        <row r="310">
          <cell r="C310" t="str">
            <v>No. Parte Htal:</v>
          </cell>
          <cell r="D310" t="str">
            <v>RQ</v>
          </cell>
          <cell r="E310" t="str">
            <v>Inventario</v>
          </cell>
          <cell r="F310" t="str">
            <v>Pz / Herramental</v>
          </cell>
          <cell r="G310" t="str">
            <v>Tiempo Entrega</v>
          </cell>
          <cell r="H310" t="str">
            <v>Mín</v>
          </cell>
          <cell r="I310" t="str">
            <v>Pto. Reorden</v>
          </cell>
          <cell r="J310" t="str">
            <v>Máx</v>
          </cell>
          <cell r="K310" t="str">
            <v>Mín</v>
          </cell>
          <cell r="L310" t="str">
            <v>Pto. Reorden</v>
          </cell>
          <cell r="M310" t="str">
            <v>Máx</v>
          </cell>
          <cell r="N310" t="str">
            <v>STATUS</v>
          </cell>
        </row>
        <row r="311">
          <cell r="D311">
            <v>0</v>
          </cell>
          <cell r="F311" t="e">
            <v>#N/A</v>
          </cell>
          <cell r="G311" t="e">
            <v>#N/A</v>
          </cell>
          <cell r="H311" t="e">
            <v>#N/A</v>
          </cell>
          <cell r="I311">
            <v>1</v>
          </cell>
          <cell r="J311">
            <v>1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</row>
        <row r="312">
          <cell r="D312">
            <v>0</v>
          </cell>
          <cell r="F312" t="e">
            <v>#N/A</v>
          </cell>
          <cell r="G312" t="e">
            <v>#N/A</v>
          </cell>
          <cell r="H312" t="e">
            <v>#N/A</v>
          </cell>
          <cell r="I312">
            <v>1</v>
          </cell>
          <cell r="J312">
            <v>1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</row>
        <row r="313">
          <cell r="D313">
            <v>0</v>
          </cell>
          <cell r="F313" t="e">
            <v>#N/A</v>
          </cell>
          <cell r="G313" t="e">
            <v>#N/A</v>
          </cell>
          <cell r="H313" t="e">
            <v>#N/A</v>
          </cell>
          <cell r="I313">
            <v>1</v>
          </cell>
          <cell r="J313">
            <v>1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</row>
        <row r="314">
          <cell r="D314">
            <v>0</v>
          </cell>
          <cell r="F314" t="e">
            <v>#N/A</v>
          </cell>
          <cell r="G314" t="e">
            <v>#N/A</v>
          </cell>
          <cell r="H314" t="e">
            <v>#N/A</v>
          </cell>
          <cell r="I314">
            <v>1</v>
          </cell>
          <cell r="J314">
            <v>1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</row>
        <row r="315">
          <cell r="D315">
            <v>0</v>
          </cell>
          <cell r="F315" t="e">
            <v>#N/A</v>
          </cell>
          <cell r="G315" t="e">
            <v>#N/A</v>
          </cell>
          <cell r="H315" t="e">
            <v>#N/A</v>
          </cell>
          <cell r="I315">
            <v>1</v>
          </cell>
          <cell r="J315">
            <v>1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</row>
        <row r="316">
          <cell r="D316">
            <v>0</v>
          </cell>
          <cell r="F316" t="e">
            <v>#N/A</v>
          </cell>
          <cell r="G316" t="e">
            <v>#N/A</v>
          </cell>
          <cell r="H316" t="e">
            <v>#N/A</v>
          </cell>
          <cell r="I316">
            <v>1</v>
          </cell>
          <cell r="J316">
            <v>1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</row>
        <row r="317">
          <cell r="D317">
            <v>0</v>
          </cell>
          <cell r="F317" t="e">
            <v>#N/A</v>
          </cell>
          <cell r="G317" t="e">
            <v>#N/A</v>
          </cell>
          <cell r="H317" t="e">
            <v>#N/A</v>
          </cell>
          <cell r="I317">
            <v>1</v>
          </cell>
          <cell r="J317">
            <v>1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</row>
        <row r="318">
          <cell r="D318">
            <v>0</v>
          </cell>
          <cell r="F318" t="e">
            <v>#N/A</v>
          </cell>
          <cell r="G318" t="e">
            <v>#N/A</v>
          </cell>
          <cell r="H318" t="e">
            <v>#N/A</v>
          </cell>
          <cell r="I318">
            <v>1</v>
          </cell>
          <cell r="J318">
            <v>1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</row>
        <row r="319">
          <cell r="D319">
            <v>0</v>
          </cell>
          <cell r="F319" t="e">
            <v>#N/A</v>
          </cell>
          <cell r="G319" t="e">
            <v>#N/A</v>
          </cell>
          <cell r="H319" t="e">
            <v>#N/A</v>
          </cell>
          <cell r="I319">
            <v>1</v>
          </cell>
          <cell r="J319">
            <v>1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</row>
        <row r="320">
          <cell r="D320">
            <v>0</v>
          </cell>
          <cell r="F320" t="e">
            <v>#N/A</v>
          </cell>
          <cell r="G320" t="e">
            <v>#N/A</v>
          </cell>
          <cell r="H320" t="e">
            <v>#N/A</v>
          </cell>
          <cell r="I320">
            <v>1</v>
          </cell>
          <cell r="J320">
            <v>1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</row>
        <row r="321">
          <cell r="D321">
            <v>0</v>
          </cell>
          <cell r="F321" t="e">
            <v>#N/A</v>
          </cell>
          <cell r="G321" t="e">
            <v>#N/A</v>
          </cell>
          <cell r="H321" t="e">
            <v>#N/A</v>
          </cell>
          <cell r="I321">
            <v>1</v>
          </cell>
          <cell r="J321">
            <v>1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</row>
        <row r="322">
          <cell r="C322" t="str">
            <v>N/HT</v>
          </cell>
          <cell r="D322">
            <v>0</v>
          </cell>
          <cell r="F322" t="e">
            <v>#N/A</v>
          </cell>
          <cell r="G322" t="e">
            <v>#N/A</v>
          </cell>
          <cell r="H322" t="e">
            <v>#N/A</v>
          </cell>
          <cell r="I322">
            <v>1</v>
          </cell>
          <cell r="J322">
            <v>1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</row>
        <row r="323">
          <cell r="C323" t="str">
            <v>N/HT</v>
          </cell>
          <cell r="D323">
            <v>0</v>
          </cell>
          <cell r="F323" t="e">
            <v>#N/A</v>
          </cell>
          <cell r="G323" t="e">
            <v>#N/A</v>
          </cell>
          <cell r="H323" t="e">
            <v>#N/A</v>
          </cell>
          <cell r="I323">
            <v>1</v>
          </cell>
          <cell r="J323">
            <v>1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</row>
        <row r="324">
          <cell r="C324" t="str">
            <v>N/HT</v>
          </cell>
          <cell r="D324">
            <v>0</v>
          </cell>
          <cell r="F324" t="e">
            <v>#N/A</v>
          </cell>
          <cell r="G324" t="e">
            <v>#N/A</v>
          </cell>
          <cell r="H324" t="e">
            <v>#N/A</v>
          </cell>
          <cell r="I324">
            <v>1</v>
          </cell>
          <cell r="J324">
            <v>1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</row>
        <row r="325">
          <cell r="C325" t="str">
            <v>N/HT</v>
          </cell>
          <cell r="D325">
            <v>0</v>
          </cell>
          <cell r="F325" t="e">
            <v>#N/A</v>
          </cell>
          <cell r="G325" t="e">
            <v>#N/A</v>
          </cell>
          <cell r="H325" t="e">
            <v>#N/A</v>
          </cell>
          <cell r="I325">
            <v>1</v>
          </cell>
          <cell r="J325">
            <v>1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</row>
        <row r="326">
          <cell r="C326" t="str">
            <v>N/HT</v>
          </cell>
          <cell r="D326">
            <v>0</v>
          </cell>
          <cell r="F326" t="e">
            <v>#N/A</v>
          </cell>
          <cell r="G326" t="e">
            <v>#N/A</v>
          </cell>
          <cell r="H326" t="e">
            <v>#N/A</v>
          </cell>
          <cell r="I326">
            <v>1</v>
          </cell>
          <cell r="J326">
            <v>1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</row>
        <row r="327">
          <cell r="C327" t="str">
            <v>N/HT</v>
          </cell>
          <cell r="D327">
            <v>0</v>
          </cell>
          <cell r="F327" t="e">
            <v>#N/A</v>
          </cell>
          <cell r="G327" t="e">
            <v>#N/A</v>
          </cell>
          <cell r="H327" t="e">
            <v>#N/A</v>
          </cell>
          <cell r="I327">
            <v>1</v>
          </cell>
          <cell r="J327">
            <v>1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</row>
        <row r="328">
          <cell r="C328" t="str">
            <v>N/HT</v>
          </cell>
          <cell r="D328">
            <v>0</v>
          </cell>
          <cell r="F328" t="e">
            <v>#N/A</v>
          </cell>
          <cell r="G328" t="e">
            <v>#N/A</v>
          </cell>
          <cell r="H328" t="e">
            <v>#N/A</v>
          </cell>
          <cell r="I328">
            <v>1</v>
          </cell>
          <cell r="J328">
            <v>1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</row>
        <row r="329">
          <cell r="C329" t="str">
            <v>N/HT</v>
          </cell>
          <cell r="D329">
            <v>0</v>
          </cell>
          <cell r="F329" t="e">
            <v>#N/A</v>
          </cell>
          <cell r="G329" t="e">
            <v>#N/A</v>
          </cell>
          <cell r="H329" t="e">
            <v>#N/A</v>
          </cell>
          <cell r="I329">
            <v>1</v>
          </cell>
          <cell r="J329">
            <v>1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</row>
        <row r="330">
          <cell r="C330" t="str">
            <v>N/HT</v>
          </cell>
          <cell r="D330">
            <v>0</v>
          </cell>
          <cell r="F330" t="e">
            <v>#N/A</v>
          </cell>
          <cell r="G330" t="e">
            <v>#N/A</v>
          </cell>
          <cell r="H330" t="e">
            <v>#N/A</v>
          </cell>
          <cell r="I330">
            <v>1</v>
          </cell>
          <cell r="J330">
            <v>1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</row>
        <row r="331">
          <cell r="C331" t="str">
            <v>N/HT</v>
          </cell>
          <cell r="D331">
            <v>0</v>
          </cell>
          <cell r="F331" t="e">
            <v>#N/A</v>
          </cell>
          <cell r="G331" t="e">
            <v>#N/A</v>
          </cell>
          <cell r="H331" t="e">
            <v>#N/A</v>
          </cell>
          <cell r="I331">
            <v>1</v>
          </cell>
          <cell r="J331">
            <v>1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</row>
        <row r="332">
          <cell r="C332" t="str">
            <v>N/HT</v>
          </cell>
          <cell r="D332">
            <v>0</v>
          </cell>
          <cell r="F332" t="e">
            <v>#N/A</v>
          </cell>
          <cell r="G332" t="e">
            <v>#N/A</v>
          </cell>
          <cell r="H332" t="e">
            <v>#N/A</v>
          </cell>
          <cell r="I332">
            <v>1</v>
          </cell>
          <cell r="J332">
            <v>1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</row>
        <row r="333">
          <cell r="C333" t="str">
            <v>N/HT</v>
          </cell>
          <cell r="D333">
            <v>0</v>
          </cell>
          <cell r="F333" t="e">
            <v>#N/A</v>
          </cell>
          <cell r="G333" t="e">
            <v>#N/A</v>
          </cell>
          <cell r="H333" t="e">
            <v>#N/A</v>
          </cell>
          <cell r="I333">
            <v>1</v>
          </cell>
          <cell r="J333">
            <v>1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</row>
        <row r="334">
          <cell r="C334" t="str">
            <v>N/HT</v>
          </cell>
          <cell r="D334">
            <v>0</v>
          </cell>
          <cell r="F334" t="e">
            <v>#N/A</v>
          </cell>
          <cell r="G334" t="e">
            <v>#N/A</v>
          </cell>
          <cell r="H334" t="e">
            <v>#N/A</v>
          </cell>
          <cell r="I334">
            <v>1</v>
          </cell>
          <cell r="J334">
            <v>1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</row>
        <row r="335">
          <cell r="C335" t="str">
            <v>N/HT</v>
          </cell>
          <cell r="D335">
            <v>0</v>
          </cell>
          <cell r="F335" t="e">
            <v>#N/A</v>
          </cell>
          <cell r="G335" t="e">
            <v>#N/A</v>
          </cell>
          <cell r="H335" t="e">
            <v>#N/A</v>
          </cell>
          <cell r="I335">
            <v>1</v>
          </cell>
          <cell r="J335">
            <v>1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</row>
        <row r="336">
          <cell r="C336" t="str">
            <v>N/HT</v>
          </cell>
          <cell r="D336">
            <v>0</v>
          </cell>
          <cell r="F336" t="e">
            <v>#N/A</v>
          </cell>
          <cell r="G336" t="e">
            <v>#N/A</v>
          </cell>
          <cell r="H336" t="e">
            <v>#N/A</v>
          </cell>
          <cell r="I336">
            <v>1</v>
          </cell>
          <cell r="J336">
            <v>1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</row>
        <row r="337">
          <cell r="C337" t="str">
            <v>N/HT</v>
          </cell>
          <cell r="D337">
            <v>0</v>
          </cell>
          <cell r="F337" t="e">
            <v>#N/A</v>
          </cell>
          <cell r="G337" t="e">
            <v>#N/A</v>
          </cell>
          <cell r="H337" t="e">
            <v>#N/A</v>
          </cell>
          <cell r="I337">
            <v>1</v>
          </cell>
          <cell r="J337">
            <v>1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</row>
        <row r="338">
          <cell r="C338" t="str">
            <v>N/HT</v>
          </cell>
          <cell r="D338">
            <v>0</v>
          </cell>
          <cell r="F338" t="e">
            <v>#N/A</v>
          </cell>
          <cell r="G338" t="e">
            <v>#N/A</v>
          </cell>
          <cell r="H338" t="e">
            <v>#N/A</v>
          </cell>
          <cell r="I338">
            <v>1</v>
          </cell>
          <cell r="J338">
            <v>1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</row>
        <row r="339">
          <cell r="C339" t="str">
            <v>N/HT</v>
          </cell>
          <cell r="D339">
            <v>0</v>
          </cell>
          <cell r="F339" t="e">
            <v>#N/A</v>
          </cell>
          <cell r="G339" t="e">
            <v>#N/A</v>
          </cell>
          <cell r="H339" t="e">
            <v>#N/A</v>
          </cell>
          <cell r="I339">
            <v>1</v>
          </cell>
          <cell r="J339">
            <v>1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</row>
        <row r="340">
          <cell r="C340" t="str">
            <v>N/HT</v>
          </cell>
          <cell r="D340">
            <v>0</v>
          </cell>
          <cell r="F340" t="e">
            <v>#N/A</v>
          </cell>
          <cell r="G340" t="e">
            <v>#N/A</v>
          </cell>
          <cell r="H340" t="e">
            <v>#N/A</v>
          </cell>
          <cell r="I340">
            <v>1</v>
          </cell>
          <cell r="J340">
            <v>1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</row>
        <row r="341">
          <cell r="C341" t="str">
            <v>N/HT</v>
          </cell>
          <cell r="D341">
            <v>0</v>
          </cell>
          <cell r="F341" t="e">
            <v>#N/A</v>
          </cell>
          <cell r="G341" t="e">
            <v>#N/A</v>
          </cell>
          <cell r="H341" t="e">
            <v>#N/A</v>
          </cell>
          <cell r="I341">
            <v>1</v>
          </cell>
          <cell r="J341">
            <v>1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</row>
        <row r="342">
          <cell r="C342" t="str">
            <v>N/HT</v>
          </cell>
          <cell r="D342">
            <v>0</v>
          </cell>
          <cell r="F342" t="e">
            <v>#N/A</v>
          </cell>
          <cell r="G342" t="e">
            <v>#N/A</v>
          </cell>
          <cell r="H342" t="e">
            <v>#N/A</v>
          </cell>
          <cell r="I342">
            <v>1</v>
          </cell>
          <cell r="J342">
            <v>1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</row>
        <row r="344">
          <cell r="C344" t="str">
            <v>No. Parte Htal:</v>
          </cell>
          <cell r="D344" t="str">
            <v>RQ</v>
          </cell>
          <cell r="E344" t="str">
            <v>Inventario</v>
          </cell>
          <cell r="F344" t="str">
            <v>Pz / Herramental</v>
          </cell>
          <cell r="G344" t="str">
            <v>Tiempo Entrega</v>
          </cell>
          <cell r="H344" t="str">
            <v>Mín</v>
          </cell>
          <cell r="I344" t="str">
            <v>Pto. Reorden</v>
          </cell>
          <cell r="J344" t="str">
            <v>Máx</v>
          </cell>
          <cell r="K344" t="str">
            <v>Mín</v>
          </cell>
          <cell r="L344" t="str">
            <v>Pto. Reorden</v>
          </cell>
          <cell r="M344" t="str">
            <v>Máx</v>
          </cell>
          <cell r="N344" t="str">
            <v>STATUS</v>
          </cell>
        </row>
        <row r="345">
          <cell r="D345">
            <v>0</v>
          </cell>
          <cell r="F345" t="e">
            <v>#N/A</v>
          </cell>
          <cell r="G345" t="e">
            <v>#N/A</v>
          </cell>
          <cell r="H345" t="e">
            <v>#N/A</v>
          </cell>
          <cell r="I345">
            <v>1</v>
          </cell>
          <cell r="J345">
            <v>1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</row>
        <row r="346">
          <cell r="D346">
            <v>0</v>
          </cell>
          <cell r="F346" t="e">
            <v>#N/A</v>
          </cell>
          <cell r="G346" t="e">
            <v>#N/A</v>
          </cell>
          <cell r="H346" t="e">
            <v>#N/A</v>
          </cell>
          <cell r="I346">
            <v>1</v>
          </cell>
          <cell r="J346">
            <v>1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</row>
        <row r="347">
          <cell r="D347">
            <v>0</v>
          </cell>
          <cell r="F347" t="e">
            <v>#N/A</v>
          </cell>
          <cell r="G347" t="e">
            <v>#N/A</v>
          </cell>
          <cell r="H347" t="e">
            <v>#N/A</v>
          </cell>
          <cell r="I347">
            <v>1</v>
          </cell>
          <cell r="J347">
            <v>1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</row>
        <row r="348">
          <cell r="D348">
            <v>0</v>
          </cell>
          <cell r="F348" t="e">
            <v>#N/A</v>
          </cell>
          <cell r="G348" t="e">
            <v>#N/A</v>
          </cell>
          <cell r="H348" t="e">
            <v>#N/A</v>
          </cell>
          <cell r="I348">
            <v>1</v>
          </cell>
          <cell r="J348">
            <v>1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</row>
        <row r="349">
          <cell r="D349">
            <v>0</v>
          </cell>
          <cell r="F349" t="e">
            <v>#N/A</v>
          </cell>
          <cell r="G349" t="e">
            <v>#N/A</v>
          </cell>
          <cell r="H349" t="e">
            <v>#N/A</v>
          </cell>
          <cell r="I349">
            <v>1</v>
          </cell>
          <cell r="J349">
            <v>1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</row>
        <row r="350">
          <cell r="D350">
            <v>0</v>
          </cell>
          <cell r="F350" t="e">
            <v>#N/A</v>
          </cell>
          <cell r="G350" t="e">
            <v>#N/A</v>
          </cell>
          <cell r="H350" t="e">
            <v>#N/A</v>
          </cell>
          <cell r="I350">
            <v>1</v>
          </cell>
          <cell r="J350">
            <v>1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</row>
        <row r="351">
          <cell r="D351">
            <v>0</v>
          </cell>
          <cell r="F351" t="e">
            <v>#N/A</v>
          </cell>
          <cell r="G351" t="e">
            <v>#N/A</v>
          </cell>
          <cell r="H351" t="e">
            <v>#N/A</v>
          </cell>
          <cell r="I351">
            <v>1</v>
          </cell>
          <cell r="J351">
            <v>1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</row>
        <row r="352">
          <cell r="D352">
            <v>0</v>
          </cell>
          <cell r="F352" t="e">
            <v>#N/A</v>
          </cell>
          <cell r="G352" t="e">
            <v>#N/A</v>
          </cell>
          <cell r="H352" t="e">
            <v>#N/A</v>
          </cell>
          <cell r="I352">
            <v>1</v>
          </cell>
          <cell r="J352">
            <v>1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</row>
        <row r="353">
          <cell r="D353">
            <v>0</v>
          </cell>
          <cell r="F353" t="e">
            <v>#N/A</v>
          </cell>
          <cell r="G353" t="e">
            <v>#N/A</v>
          </cell>
          <cell r="H353" t="e">
            <v>#N/A</v>
          </cell>
          <cell r="I353">
            <v>1</v>
          </cell>
          <cell r="J353">
            <v>1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</row>
        <row r="354">
          <cell r="C354" t="str">
            <v>N/HT</v>
          </cell>
          <cell r="D354">
            <v>0</v>
          </cell>
          <cell r="F354" t="e">
            <v>#N/A</v>
          </cell>
          <cell r="G354" t="e">
            <v>#N/A</v>
          </cell>
          <cell r="H354" t="e">
            <v>#N/A</v>
          </cell>
          <cell r="I354">
            <v>1</v>
          </cell>
          <cell r="J354">
            <v>1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</row>
        <row r="355">
          <cell r="C355" t="str">
            <v>N/HT</v>
          </cell>
          <cell r="D355">
            <v>0</v>
          </cell>
          <cell r="F355" t="e">
            <v>#N/A</v>
          </cell>
          <cell r="G355" t="e">
            <v>#N/A</v>
          </cell>
          <cell r="H355" t="e">
            <v>#N/A</v>
          </cell>
          <cell r="I355">
            <v>1</v>
          </cell>
          <cell r="J355">
            <v>1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</row>
        <row r="356">
          <cell r="C356" t="str">
            <v>N/HT</v>
          </cell>
          <cell r="D356">
            <v>0</v>
          </cell>
          <cell r="F356" t="e">
            <v>#N/A</v>
          </cell>
          <cell r="G356" t="e">
            <v>#N/A</v>
          </cell>
          <cell r="H356" t="e">
            <v>#N/A</v>
          </cell>
          <cell r="I356">
            <v>1</v>
          </cell>
          <cell r="J356">
            <v>1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</row>
        <row r="357">
          <cell r="C357" t="str">
            <v>N/HT</v>
          </cell>
          <cell r="D357">
            <v>0</v>
          </cell>
          <cell r="F357" t="e">
            <v>#N/A</v>
          </cell>
          <cell r="G357" t="e">
            <v>#N/A</v>
          </cell>
          <cell r="H357" t="e">
            <v>#N/A</v>
          </cell>
          <cell r="I357">
            <v>1</v>
          </cell>
          <cell r="J357">
            <v>1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</row>
        <row r="358">
          <cell r="C358" t="str">
            <v>N/HT</v>
          </cell>
          <cell r="D358">
            <v>0</v>
          </cell>
          <cell r="F358" t="e">
            <v>#N/A</v>
          </cell>
          <cell r="G358" t="e">
            <v>#N/A</v>
          </cell>
          <cell r="H358" t="e">
            <v>#N/A</v>
          </cell>
          <cell r="I358">
            <v>1</v>
          </cell>
          <cell r="J358">
            <v>1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</row>
        <row r="359">
          <cell r="C359" t="str">
            <v>N/HT</v>
          </cell>
          <cell r="D359">
            <v>0</v>
          </cell>
          <cell r="F359" t="e">
            <v>#N/A</v>
          </cell>
          <cell r="G359" t="e">
            <v>#N/A</v>
          </cell>
          <cell r="H359" t="e">
            <v>#N/A</v>
          </cell>
          <cell r="I359">
            <v>1</v>
          </cell>
          <cell r="J359">
            <v>1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</row>
        <row r="360">
          <cell r="C360" t="str">
            <v>N/HT</v>
          </cell>
          <cell r="D360">
            <v>0</v>
          </cell>
          <cell r="F360" t="e">
            <v>#N/A</v>
          </cell>
          <cell r="G360" t="e">
            <v>#N/A</v>
          </cell>
          <cell r="H360" t="e">
            <v>#N/A</v>
          </cell>
          <cell r="I360">
            <v>1</v>
          </cell>
          <cell r="J360">
            <v>1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</row>
        <row r="361">
          <cell r="C361" t="str">
            <v>N/HT</v>
          </cell>
          <cell r="D361">
            <v>0</v>
          </cell>
          <cell r="F361" t="e">
            <v>#N/A</v>
          </cell>
          <cell r="G361" t="e">
            <v>#N/A</v>
          </cell>
          <cell r="H361" t="e">
            <v>#N/A</v>
          </cell>
          <cell r="I361">
            <v>1</v>
          </cell>
          <cell r="J361">
            <v>1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</row>
        <row r="362">
          <cell r="C362" t="str">
            <v>N/HT</v>
          </cell>
          <cell r="D362">
            <v>0</v>
          </cell>
          <cell r="F362" t="e">
            <v>#N/A</v>
          </cell>
          <cell r="G362" t="e">
            <v>#N/A</v>
          </cell>
          <cell r="H362" t="e">
            <v>#N/A</v>
          </cell>
          <cell r="I362">
            <v>1</v>
          </cell>
          <cell r="J362">
            <v>1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</row>
        <row r="363">
          <cell r="C363" t="str">
            <v>N/HT</v>
          </cell>
          <cell r="D363">
            <v>0</v>
          </cell>
          <cell r="F363" t="e">
            <v>#N/A</v>
          </cell>
          <cell r="G363" t="e">
            <v>#N/A</v>
          </cell>
          <cell r="H363" t="e">
            <v>#N/A</v>
          </cell>
          <cell r="I363">
            <v>1</v>
          </cell>
          <cell r="J363">
            <v>1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</row>
        <row r="364">
          <cell r="C364" t="str">
            <v>N/HT</v>
          </cell>
          <cell r="D364">
            <v>0</v>
          </cell>
          <cell r="F364" t="e">
            <v>#N/A</v>
          </cell>
          <cell r="G364" t="e">
            <v>#N/A</v>
          </cell>
          <cell r="H364" t="e">
            <v>#N/A</v>
          </cell>
          <cell r="I364">
            <v>1</v>
          </cell>
          <cell r="J364">
            <v>1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</row>
        <row r="365">
          <cell r="C365" t="str">
            <v>N/HT</v>
          </cell>
          <cell r="D365">
            <v>0</v>
          </cell>
          <cell r="F365" t="e">
            <v>#N/A</v>
          </cell>
          <cell r="G365" t="e">
            <v>#N/A</v>
          </cell>
          <cell r="H365" t="e">
            <v>#N/A</v>
          </cell>
          <cell r="I365">
            <v>1</v>
          </cell>
          <cell r="J365">
            <v>1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</row>
        <row r="366">
          <cell r="C366" t="str">
            <v>N/HT</v>
          </cell>
          <cell r="D366">
            <v>0</v>
          </cell>
          <cell r="F366" t="e">
            <v>#N/A</v>
          </cell>
          <cell r="G366" t="e">
            <v>#N/A</v>
          </cell>
          <cell r="H366" t="e">
            <v>#N/A</v>
          </cell>
          <cell r="I366">
            <v>1</v>
          </cell>
          <cell r="J366">
            <v>1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</row>
        <row r="367">
          <cell r="C367" t="str">
            <v>N/HT</v>
          </cell>
          <cell r="D367">
            <v>0</v>
          </cell>
          <cell r="F367" t="e">
            <v>#N/A</v>
          </cell>
          <cell r="G367" t="e">
            <v>#N/A</v>
          </cell>
          <cell r="H367" t="e">
            <v>#N/A</v>
          </cell>
          <cell r="I367">
            <v>1</v>
          </cell>
          <cell r="J367">
            <v>1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</row>
        <row r="368">
          <cell r="C368" t="str">
            <v>N/HT</v>
          </cell>
          <cell r="D368">
            <v>0</v>
          </cell>
          <cell r="F368" t="e">
            <v>#N/A</v>
          </cell>
          <cell r="G368" t="e">
            <v>#N/A</v>
          </cell>
          <cell r="H368" t="e">
            <v>#N/A</v>
          </cell>
          <cell r="I368">
            <v>1</v>
          </cell>
          <cell r="J368">
            <v>1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</row>
        <row r="369">
          <cell r="C369" t="str">
            <v>N/HT</v>
          </cell>
          <cell r="D369">
            <v>0</v>
          </cell>
          <cell r="F369" t="e">
            <v>#N/A</v>
          </cell>
          <cell r="G369" t="e">
            <v>#N/A</v>
          </cell>
          <cell r="H369" t="e">
            <v>#N/A</v>
          </cell>
          <cell r="I369">
            <v>1</v>
          </cell>
          <cell r="J369">
            <v>1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</row>
        <row r="370">
          <cell r="C370" t="str">
            <v>N/HT</v>
          </cell>
          <cell r="D370">
            <v>0</v>
          </cell>
          <cell r="F370" t="e">
            <v>#N/A</v>
          </cell>
          <cell r="G370" t="e">
            <v>#N/A</v>
          </cell>
          <cell r="H370" t="e">
            <v>#N/A</v>
          </cell>
          <cell r="I370">
            <v>1</v>
          </cell>
          <cell r="J370">
            <v>1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</row>
        <row r="371">
          <cell r="C371" t="str">
            <v>N/HT</v>
          </cell>
          <cell r="D371">
            <v>0</v>
          </cell>
          <cell r="F371" t="e">
            <v>#N/A</v>
          </cell>
          <cell r="G371" t="e">
            <v>#N/A</v>
          </cell>
          <cell r="H371" t="e">
            <v>#N/A</v>
          </cell>
          <cell r="I371">
            <v>1</v>
          </cell>
          <cell r="J371">
            <v>1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</row>
        <row r="372">
          <cell r="C372" t="str">
            <v>N/HT</v>
          </cell>
          <cell r="D372">
            <v>0</v>
          </cell>
          <cell r="F372" t="e">
            <v>#N/A</v>
          </cell>
          <cell r="G372" t="e">
            <v>#N/A</v>
          </cell>
          <cell r="H372" t="e">
            <v>#N/A</v>
          </cell>
          <cell r="I372">
            <v>1</v>
          </cell>
          <cell r="J372">
            <v>1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</row>
        <row r="373">
          <cell r="C373" t="str">
            <v>N/HT</v>
          </cell>
          <cell r="D373">
            <v>0</v>
          </cell>
          <cell r="F373" t="e">
            <v>#N/A</v>
          </cell>
          <cell r="G373" t="e">
            <v>#N/A</v>
          </cell>
          <cell r="H373" t="e">
            <v>#N/A</v>
          </cell>
          <cell r="I373">
            <v>1</v>
          </cell>
          <cell r="J373">
            <v>1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</row>
        <row r="374">
          <cell r="C374" t="str">
            <v>N/HT</v>
          </cell>
          <cell r="D374">
            <v>0</v>
          </cell>
          <cell r="F374" t="e">
            <v>#N/A</v>
          </cell>
          <cell r="G374" t="e">
            <v>#N/A</v>
          </cell>
          <cell r="H374" t="e">
            <v>#N/A</v>
          </cell>
          <cell r="I374">
            <v>1</v>
          </cell>
          <cell r="J374">
            <v>1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</row>
        <row r="375">
          <cell r="C375" t="str">
            <v>N/HT</v>
          </cell>
          <cell r="D375">
            <v>0</v>
          </cell>
          <cell r="F375" t="e">
            <v>#N/A</v>
          </cell>
          <cell r="G375" t="e">
            <v>#N/A</v>
          </cell>
          <cell r="H375" t="e">
            <v>#N/A</v>
          </cell>
          <cell r="I375">
            <v>1</v>
          </cell>
          <cell r="J375">
            <v>1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</row>
        <row r="376">
          <cell r="C376" t="str">
            <v>N/HT</v>
          </cell>
          <cell r="D376">
            <v>0</v>
          </cell>
          <cell r="F376" t="e">
            <v>#N/A</v>
          </cell>
          <cell r="G376" t="e">
            <v>#N/A</v>
          </cell>
          <cell r="H376" t="e">
            <v>#N/A</v>
          </cell>
          <cell r="I376">
            <v>1</v>
          </cell>
          <cell r="J376">
            <v>1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</row>
        <row r="378">
          <cell r="C378" t="str">
            <v>No. Parte Htal:</v>
          </cell>
          <cell r="D378" t="str">
            <v>RQ</v>
          </cell>
          <cell r="E378" t="str">
            <v>Inventario</v>
          </cell>
          <cell r="F378" t="str">
            <v>Pz / Herramental</v>
          </cell>
          <cell r="G378" t="str">
            <v>Tiempo Entrega</v>
          </cell>
          <cell r="H378" t="str">
            <v>Mín</v>
          </cell>
          <cell r="I378" t="str">
            <v>Pto. Reorden</v>
          </cell>
          <cell r="J378" t="str">
            <v>Máx</v>
          </cell>
          <cell r="K378" t="str">
            <v>Mín</v>
          </cell>
          <cell r="L378" t="str">
            <v>Pto. Reorden</v>
          </cell>
          <cell r="M378" t="str">
            <v>Máx</v>
          </cell>
          <cell r="N378" t="str">
            <v>STATUS</v>
          </cell>
        </row>
        <row r="379">
          <cell r="D379">
            <v>0</v>
          </cell>
          <cell r="F379" t="e">
            <v>#N/A</v>
          </cell>
          <cell r="G379" t="e">
            <v>#N/A</v>
          </cell>
          <cell r="H379" t="e">
            <v>#N/A</v>
          </cell>
          <cell r="I379">
            <v>1</v>
          </cell>
          <cell r="J379">
            <v>1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</row>
        <row r="380">
          <cell r="D380">
            <v>0</v>
          </cell>
          <cell r="F380" t="e">
            <v>#N/A</v>
          </cell>
          <cell r="G380" t="e">
            <v>#N/A</v>
          </cell>
          <cell r="H380" t="e">
            <v>#N/A</v>
          </cell>
          <cell r="I380">
            <v>1</v>
          </cell>
          <cell r="J380">
            <v>1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</row>
        <row r="381">
          <cell r="D381">
            <v>0</v>
          </cell>
          <cell r="F381" t="e">
            <v>#N/A</v>
          </cell>
          <cell r="G381" t="e">
            <v>#N/A</v>
          </cell>
          <cell r="H381" t="e">
            <v>#N/A</v>
          </cell>
          <cell r="I381">
            <v>1</v>
          </cell>
          <cell r="J381">
            <v>1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</row>
        <row r="382">
          <cell r="D382">
            <v>0</v>
          </cell>
          <cell r="F382" t="e">
            <v>#N/A</v>
          </cell>
          <cell r="G382" t="e">
            <v>#N/A</v>
          </cell>
          <cell r="H382" t="e">
            <v>#N/A</v>
          </cell>
          <cell r="I382">
            <v>1</v>
          </cell>
          <cell r="J382">
            <v>1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</row>
        <row r="383">
          <cell r="D383">
            <v>0</v>
          </cell>
          <cell r="F383" t="e">
            <v>#N/A</v>
          </cell>
          <cell r="G383" t="e">
            <v>#N/A</v>
          </cell>
          <cell r="H383" t="e">
            <v>#N/A</v>
          </cell>
          <cell r="I383">
            <v>1</v>
          </cell>
          <cell r="J383">
            <v>1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</row>
        <row r="384">
          <cell r="D384">
            <v>0</v>
          </cell>
          <cell r="F384" t="e">
            <v>#N/A</v>
          </cell>
          <cell r="G384" t="e">
            <v>#N/A</v>
          </cell>
          <cell r="H384" t="e">
            <v>#N/A</v>
          </cell>
          <cell r="I384">
            <v>1</v>
          </cell>
          <cell r="J384">
            <v>1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</row>
        <row r="385">
          <cell r="D385">
            <v>0</v>
          </cell>
          <cell r="F385" t="e">
            <v>#N/A</v>
          </cell>
          <cell r="G385" t="e">
            <v>#N/A</v>
          </cell>
          <cell r="H385" t="e">
            <v>#N/A</v>
          </cell>
          <cell r="I385">
            <v>1</v>
          </cell>
          <cell r="J385">
            <v>1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</row>
        <row r="386">
          <cell r="D386">
            <v>0</v>
          </cell>
          <cell r="F386" t="e">
            <v>#N/A</v>
          </cell>
          <cell r="G386" t="e">
            <v>#N/A</v>
          </cell>
          <cell r="H386" t="e">
            <v>#N/A</v>
          </cell>
          <cell r="I386">
            <v>1</v>
          </cell>
          <cell r="J386">
            <v>1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</row>
        <row r="387">
          <cell r="D387">
            <v>0</v>
          </cell>
          <cell r="F387" t="e">
            <v>#N/A</v>
          </cell>
          <cell r="G387" t="e">
            <v>#N/A</v>
          </cell>
          <cell r="H387" t="e">
            <v>#N/A</v>
          </cell>
          <cell r="I387">
            <v>1</v>
          </cell>
          <cell r="J387">
            <v>1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</row>
        <row r="388">
          <cell r="D388">
            <v>0</v>
          </cell>
          <cell r="F388" t="e">
            <v>#N/A</v>
          </cell>
          <cell r="G388" t="e">
            <v>#N/A</v>
          </cell>
          <cell r="H388" t="e">
            <v>#N/A</v>
          </cell>
          <cell r="I388">
            <v>1</v>
          </cell>
          <cell r="J388">
            <v>1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</row>
        <row r="389">
          <cell r="D389">
            <v>0</v>
          </cell>
          <cell r="F389" t="e">
            <v>#N/A</v>
          </cell>
          <cell r="G389" t="e">
            <v>#N/A</v>
          </cell>
          <cell r="H389" t="e">
            <v>#N/A</v>
          </cell>
          <cell r="I389">
            <v>1</v>
          </cell>
          <cell r="J389">
            <v>1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</row>
        <row r="390">
          <cell r="D390">
            <v>0</v>
          </cell>
          <cell r="E390" t="str">
            <v xml:space="preserve"> </v>
          </cell>
          <cell r="F390" t="e">
            <v>#N/A</v>
          </cell>
          <cell r="G390" t="e">
            <v>#N/A</v>
          </cell>
          <cell r="H390" t="e">
            <v>#N/A</v>
          </cell>
          <cell r="I390">
            <v>1</v>
          </cell>
          <cell r="J390">
            <v>1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</row>
        <row r="391">
          <cell r="D391">
            <v>0</v>
          </cell>
          <cell r="F391" t="e">
            <v>#N/A</v>
          </cell>
          <cell r="G391" t="e">
            <v>#N/A</v>
          </cell>
          <cell r="H391" t="e">
            <v>#N/A</v>
          </cell>
          <cell r="I391">
            <v>1</v>
          </cell>
          <cell r="J391">
            <v>1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</row>
        <row r="392">
          <cell r="D392">
            <v>0</v>
          </cell>
          <cell r="F392" t="e">
            <v>#N/A</v>
          </cell>
          <cell r="G392" t="e">
            <v>#N/A</v>
          </cell>
          <cell r="H392" t="e">
            <v>#N/A</v>
          </cell>
          <cell r="I392">
            <v>1</v>
          </cell>
          <cell r="J392">
            <v>1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</row>
        <row r="393">
          <cell r="D393">
            <v>0</v>
          </cell>
          <cell r="F393" t="e">
            <v>#N/A</v>
          </cell>
          <cell r="G393" t="e">
            <v>#N/A</v>
          </cell>
          <cell r="H393" t="e">
            <v>#N/A</v>
          </cell>
          <cell r="I393">
            <v>1</v>
          </cell>
          <cell r="J393">
            <v>1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</row>
        <row r="394">
          <cell r="D394">
            <v>0</v>
          </cell>
          <cell r="F394" t="e">
            <v>#N/A</v>
          </cell>
          <cell r="G394" t="e">
            <v>#N/A</v>
          </cell>
          <cell r="H394" t="e">
            <v>#N/A</v>
          </cell>
          <cell r="I394">
            <v>1</v>
          </cell>
          <cell r="J394">
            <v>1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</row>
        <row r="395">
          <cell r="D395">
            <v>0</v>
          </cell>
          <cell r="F395" t="e">
            <v>#N/A</v>
          </cell>
          <cell r="G395" t="e">
            <v>#N/A</v>
          </cell>
          <cell r="H395" t="e">
            <v>#N/A</v>
          </cell>
          <cell r="I395">
            <v>1</v>
          </cell>
          <cell r="J395">
            <v>1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</row>
        <row r="396">
          <cell r="D396">
            <v>0</v>
          </cell>
          <cell r="F396" t="e">
            <v>#N/A</v>
          </cell>
          <cell r="G396" t="e">
            <v>#N/A</v>
          </cell>
          <cell r="H396" t="e">
            <v>#N/A</v>
          </cell>
          <cell r="I396">
            <v>1</v>
          </cell>
          <cell r="J396">
            <v>1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</row>
        <row r="397">
          <cell r="D397">
            <v>0</v>
          </cell>
          <cell r="F397" t="e">
            <v>#N/A</v>
          </cell>
          <cell r="G397" t="e">
            <v>#N/A</v>
          </cell>
          <cell r="H397" t="e">
            <v>#N/A</v>
          </cell>
          <cell r="I397">
            <v>1</v>
          </cell>
          <cell r="J397">
            <v>1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</row>
        <row r="398">
          <cell r="D398">
            <v>0</v>
          </cell>
          <cell r="F398" t="e">
            <v>#N/A</v>
          </cell>
          <cell r="G398" t="e">
            <v>#N/A</v>
          </cell>
          <cell r="H398" t="e">
            <v>#N/A</v>
          </cell>
          <cell r="I398">
            <v>1</v>
          </cell>
          <cell r="J398">
            <v>1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</row>
        <row r="399">
          <cell r="D399">
            <v>0</v>
          </cell>
          <cell r="F399" t="e">
            <v>#N/A</v>
          </cell>
          <cell r="G399" t="e">
            <v>#N/A</v>
          </cell>
          <cell r="H399" t="e">
            <v>#N/A</v>
          </cell>
          <cell r="I399">
            <v>1</v>
          </cell>
          <cell r="J399">
            <v>1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</row>
        <row r="400">
          <cell r="D400">
            <v>0</v>
          </cell>
          <cell r="F400" t="e">
            <v>#N/A</v>
          </cell>
          <cell r="G400" t="e">
            <v>#N/A</v>
          </cell>
          <cell r="H400" t="e">
            <v>#N/A</v>
          </cell>
          <cell r="I400">
            <v>1</v>
          </cell>
          <cell r="J400">
            <v>1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</row>
        <row r="401">
          <cell r="D401">
            <v>0</v>
          </cell>
          <cell r="F401" t="e">
            <v>#N/A</v>
          </cell>
          <cell r="G401" t="e">
            <v>#N/A</v>
          </cell>
          <cell r="H401" t="e">
            <v>#N/A</v>
          </cell>
          <cell r="I401">
            <v>1</v>
          </cell>
          <cell r="J401">
            <v>1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</row>
        <row r="402">
          <cell r="D402">
            <v>0</v>
          </cell>
          <cell r="F402" t="e">
            <v>#N/A</v>
          </cell>
          <cell r="G402" t="e">
            <v>#N/A</v>
          </cell>
          <cell r="H402" t="e">
            <v>#N/A</v>
          </cell>
          <cell r="I402">
            <v>1</v>
          </cell>
          <cell r="J402">
            <v>1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</row>
        <row r="403">
          <cell r="D403">
            <v>0</v>
          </cell>
          <cell r="F403" t="e">
            <v>#N/A</v>
          </cell>
          <cell r="G403" t="e">
            <v>#N/A</v>
          </cell>
          <cell r="H403" t="e">
            <v>#N/A</v>
          </cell>
          <cell r="I403">
            <v>1</v>
          </cell>
          <cell r="J403">
            <v>1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</row>
        <row r="404">
          <cell r="D404">
            <v>0</v>
          </cell>
          <cell r="F404" t="e">
            <v>#N/A</v>
          </cell>
          <cell r="G404" t="e">
            <v>#N/A</v>
          </cell>
          <cell r="H404" t="e">
            <v>#N/A</v>
          </cell>
          <cell r="I404">
            <v>1</v>
          </cell>
          <cell r="J404">
            <v>1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</row>
        <row r="405">
          <cell r="D405">
            <v>0</v>
          </cell>
          <cell r="F405" t="e">
            <v>#N/A</v>
          </cell>
          <cell r="G405" t="e">
            <v>#N/A</v>
          </cell>
          <cell r="H405" t="e">
            <v>#N/A</v>
          </cell>
          <cell r="I405">
            <v>1</v>
          </cell>
          <cell r="J405">
            <v>1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</row>
        <row r="406">
          <cell r="D406">
            <v>0</v>
          </cell>
          <cell r="F406" t="e">
            <v>#N/A</v>
          </cell>
          <cell r="G406" t="e">
            <v>#N/A</v>
          </cell>
          <cell r="H406" t="e">
            <v>#N/A</v>
          </cell>
          <cell r="I406">
            <v>1</v>
          </cell>
          <cell r="J406">
            <v>1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</row>
        <row r="407">
          <cell r="D407">
            <v>0</v>
          </cell>
          <cell r="F407" t="e">
            <v>#N/A</v>
          </cell>
          <cell r="G407" t="e">
            <v>#N/A</v>
          </cell>
          <cell r="H407" t="e">
            <v>#N/A</v>
          </cell>
          <cell r="I407">
            <v>1</v>
          </cell>
          <cell r="J407">
            <v>1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</row>
        <row r="408">
          <cell r="D408">
            <v>0</v>
          </cell>
          <cell r="F408" t="e">
            <v>#N/A</v>
          </cell>
          <cell r="G408" t="e">
            <v>#N/A</v>
          </cell>
          <cell r="H408" t="e">
            <v>#N/A</v>
          </cell>
          <cell r="I408">
            <v>1</v>
          </cell>
          <cell r="J408">
            <v>1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</row>
        <row r="409">
          <cell r="D409">
            <v>0</v>
          </cell>
          <cell r="F409" t="e">
            <v>#N/A</v>
          </cell>
          <cell r="G409" t="e">
            <v>#N/A</v>
          </cell>
          <cell r="H409" t="e">
            <v>#N/A</v>
          </cell>
          <cell r="I409">
            <v>1</v>
          </cell>
          <cell r="J409">
            <v>1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</row>
        <row r="410">
          <cell r="C410" t="str">
            <v>N/HT</v>
          </cell>
          <cell r="D410">
            <v>0</v>
          </cell>
          <cell r="F410" t="e">
            <v>#N/A</v>
          </cell>
          <cell r="G410" t="e">
            <v>#N/A</v>
          </cell>
          <cell r="H410" t="e">
            <v>#N/A</v>
          </cell>
          <cell r="I410">
            <v>1</v>
          </cell>
          <cell r="J410">
            <v>1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</row>
        <row r="412">
          <cell r="C412" t="str">
            <v>No. Parte Htal:</v>
          </cell>
          <cell r="D412" t="str">
            <v>RQ</v>
          </cell>
          <cell r="E412" t="str">
            <v>Inventario</v>
          </cell>
          <cell r="F412" t="str">
            <v>Pz / Herramental</v>
          </cell>
          <cell r="G412" t="str">
            <v>Tiempo Entrega</v>
          </cell>
          <cell r="H412" t="str">
            <v>Mín</v>
          </cell>
          <cell r="I412" t="str">
            <v>Pto. Reorden</v>
          </cell>
          <cell r="J412" t="str">
            <v>Máx</v>
          </cell>
          <cell r="K412" t="str">
            <v>Mín</v>
          </cell>
          <cell r="L412" t="str">
            <v>Pto. Reorden</v>
          </cell>
          <cell r="M412" t="str">
            <v>Máx</v>
          </cell>
          <cell r="N412" t="str">
            <v>STATUS</v>
          </cell>
        </row>
        <row r="413">
          <cell r="D413">
            <v>0</v>
          </cell>
          <cell r="F413" t="e">
            <v>#N/A</v>
          </cell>
          <cell r="G413" t="e">
            <v>#N/A</v>
          </cell>
          <cell r="H413" t="e">
            <v>#N/A</v>
          </cell>
          <cell r="I413">
            <v>1</v>
          </cell>
          <cell r="J413">
            <v>1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</row>
        <row r="414">
          <cell r="D414">
            <v>0</v>
          </cell>
          <cell r="F414" t="e">
            <v>#N/A</v>
          </cell>
          <cell r="G414" t="e">
            <v>#N/A</v>
          </cell>
          <cell r="H414" t="e">
            <v>#N/A</v>
          </cell>
          <cell r="I414">
            <v>1</v>
          </cell>
          <cell r="J414">
            <v>1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</row>
        <row r="415">
          <cell r="D415">
            <v>0</v>
          </cell>
          <cell r="F415" t="e">
            <v>#N/A</v>
          </cell>
          <cell r="G415" t="e">
            <v>#N/A</v>
          </cell>
          <cell r="H415" t="e">
            <v>#N/A</v>
          </cell>
          <cell r="I415">
            <v>1</v>
          </cell>
          <cell r="J415">
            <v>1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</row>
        <row r="416">
          <cell r="D416">
            <v>0</v>
          </cell>
          <cell r="F416" t="e">
            <v>#N/A</v>
          </cell>
          <cell r="G416" t="e">
            <v>#N/A</v>
          </cell>
          <cell r="H416" t="e">
            <v>#N/A</v>
          </cell>
          <cell r="I416">
            <v>1</v>
          </cell>
          <cell r="J416">
            <v>1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</row>
        <row r="417">
          <cell r="D417">
            <v>0</v>
          </cell>
          <cell r="F417" t="e">
            <v>#N/A</v>
          </cell>
          <cell r="G417" t="e">
            <v>#N/A</v>
          </cell>
          <cell r="H417" t="e">
            <v>#N/A</v>
          </cell>
          <cell r="I417">
            <v>1</v>
          </cell>
          <cell r="J417">
            <v>1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</row>
        <row r="418">
          <cell r="C418" t="str">
            <v>N/HT</v>
          </cell>
          <cell r="D418">
            <v>0</v>
          </cell>
          <cell r="F418" t="e">
            <v>#N/A</v>
          </cell>
          <cell r="G418" t="e">
            <v>#N/A</v>
          </cell>
          <cell r="H418" t="e">
            <v>#N/A</v>
          </cell>
          <cell r="I418">
            <v>1</v>
          </cell>
          <cell r="J418">
            <v>1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</row>
        <row r="419">
          <cell r="C419" t="str">
            <v>N/HT</v>
          </cell>
          <cell r="D419">
            <v>0</v>
          </cell>
          <cell r="F419" t="e">
            <v>#N/A</v>
          </cell>
          <cell r="G419" t="e">
            <v>#N/A</v>
          </cell>
          <cell r="H419" t="e">
            <v>#N/A</v>
          </cell>
          <cell r="I419">
            <v>1</v>
          </cell>
          <cell r="J419">
            <v>1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</row>
        <row r="420">
          <cell r="C420" t="str">
            <v>N/HT</v>
          </cell>
          <cell r="D420">
            <v>0</v>
          </cell>
          <cell r="F420" t="e">
            <v>#N/A</v>
          </cell>
          <cell r="G420" t="e">
            <v>#N/A</v>
          </cell>
          <cell r="H420" t="e">
            <v>#N/A</v>
          </cell>
          <cell r="I420">
            <v>1</v>
          </cell>
          <cell r="J420">
            <v>1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</row>
        <row r="421">
          <cell r="C421" t="str">
            <v>N/HT</v>
          </cell>
          <cell r="D421">
            <v>0</v>
          </cell>
          <cell r="F421" t="e">
            <v>#N/A</v>
          </cell>
          <cell r="G421" t="e">
            <v>#N/A</v>
          </cell>
          <cell r="H421" t="e">
            <v>#N/A</v>
          </cell>
          <cell r="I421">
            <v>1</v>
          </cell>
          <cell r="J421">
            <v>1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</row>
        <row r="422">
          <cell r="C422" t="str">
            <v>N/HT</v>
          </cell>
          <cell r="D422">
            <v>0</v>
          </cell>
          <cell r="F422" t="e">
            <v>#N/A</v>
          </cell>
          <cell r="G422" t="e">
            <v>#N/A</v>
          </cell>
          <cell r="H422" t="e">
            <v>#N/A</v>
          </cell>
          <cell r="I422">
            <v>1</v>
          </cell>
          <cell r="J422">
            <v>1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</row>
        <row r="423">
          <cell r="C423" t="str">
            <v>N/HT</v>
          </cell>
          <cell r="D423">
            <v>0</v>
          </cell>
          <cell r="F423" t="e">
            <v>#N/A</v>
          </cell>
          <cell r="G423" t="e">
            <v>#N/A</v>
          </cell>
          <cell r="H423" t="e">
            <v>#N/A</v>
          </cell>
          <cell r="I423">
            <v>1</v>
          </cell>
          <cell r="J423">
            <v>1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</row>
        <row r="424">
          <cell r="C424" t="str">
            <v>N/HT</v>
          </cell>
          <cell r="D424">
            <v>0</v>
          </cell>
          <cell r="E424" t="str">
            <v xml:space="preserve"> </v>
          </cell>
          <cell r="F424" t="e">
            <v>#N/A</v>
          </cell>
          <cell r="G424" t="e">
            <v>#N/A</v>
          </cell>
          <cell r="H424" t="e">
            <v>#N/A</v>
          </cell>
          <cell r="I424">
            <v>1</v>
          </cell>
          <cell r="J424">
            <v>1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</row>
        <row r="425">
          <cell r="C425" t="str">
            <v>N/HT</v>
          </cell>
          <cell r="D425">
            <v>0</v>
          </cell>
          <cell r="F425" t="e">
            <v>#N/A</v>
          </cell>
          <cell r="G425" t="e">
            <v>#N/A</v>
          </cell>
          <cell r="H425" t="e">
            <v>#N/A</v>
          </cell>
          <cell r="I425">
            <v>1</v>
          </cell>
          <cell r="J425">
            <v>1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</row>
        <row r="426">
          <cell r="C426" t="str">
            <v>N/HT</v>
          </cell>
          <cell r="D426">
            <v>0</v>
          </cell>
          <cell r="F426" t="e">
            <v>#N/A</v>
          </cell>
          <cell r="G426" t="e">
            <v>#N/A</v>
          </cell>
          <cell r="H426" t="e">
            <v>#N/A</v>
          </cell>
          <cell r="I426">
            <v>1</v>
          </cell>
          <cell r="J426">
            <v>1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</row>
        <row r="427">
          <cell r="C427" t="str">
            <v>N/HT</v>
          </cell>
          <cell r="D427">
            <v>0</v>
          </cell>
          <cell r="F427" t="e">
            <v>#N/A</v>
          </cell>
          <cell r="G427" t="e">
            <v>#N/A</v>
          </cell>
          <cell r="H427" t="e">
            <v>#N/A</v>
          </cell>
          <cell r="I427">
            <v>1</v>
          </cell>
          <cell r="J427">
            <v>1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</row>
        <row r="428">
          <cell r="C428" t="str">
            <v>N/HT</v>
          </cell>
          <cell r="D428">
            <v>0</v>
          </cell>
          <cell r="F428" t="e">
            <v>#N/A</v>
          </cell>
          <cell r="G428" t="e">
            <v>#N/A</v>
          </cell>
          <cell r="H428" t="e">
            <v>#N/A</v>
          </cell>
          <cell r="I428">
            <v>1</v>
          </cell>
          <cell r="J428">
            <v>1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</row>
        <row r="429">
          <cell r="C429" t="str">
            <v>N/HT</v>
          </cell>
          <cell r="D429">
            <v>0</v>
          </cell>
          <cell r="F429" t="e">
            <v>#N/A</v>
          </cell>
          <cell r="G429" t="e">
            <v>#N/A</v>
          </cell>
          <cell r="H429" t="e">
            <v>#N/A</v>
          </cell>
          <cell r="I429">
            <v>1</v>
          </cell>
          <cell r="J429">
            <v>1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</row>
        <row r="430">
          <cell r="C430" t="str">
            <v>N/HT</v>
          </cell>
          <cell r="D430">
            <v>0</v>
          </cell>
          <cell r="F430" t="e">
            <v>#N/A</v>
          </cell>
          <cell r="G430" t="e">
            <v>#N/A</v>
          </cell>
          <cell r="H430" t="e">
            <v>#N/A</v>
          </cell>
          <cell r="I430">
            <v>1</v>
          </cell>
          <cell r="J430">
            <v>1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</row>
        <row r="431">
          <cell r="C431" t="str">
            <v>N/HT</v>
          </cell>
          <cell r="D431">
            <v>0</v>
          </cell>
          <cell r="F431" t="e">
            <v>#N/A</v>
          </cell>
          <cell r="G431" t="e">
            <v>#N/A</v>
          </cell>
          <cell r="H431" t="e">
            <v>#N/A</v>
          </cell>
          <cell r="I431">
            <v>1</v>
          </cell>
          <cell r="J431">
            <v>1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</row>
        <row r="432">
          <cell r="C432" t="str">
            <v>N/HT</v>
          </cell>
          <cell r="D432">
            <v>0</v>
          </cell>
          <cell r="F432" t="e">
            <v>#N/A</v>
          </cell>
          <cell r="G432" t="e">
            <v>#N/A</v>
          </cell>
          <cell r="H432" t="e">
            <v>#N/A</v>
          </cell>
          <cell r="I432">
            <v>1</v>
          </cell>
          <cell r="J432">
            <v>1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</row>
        <row r="433">
          <cell r="C433" t="str">
            <v>N/HT</v>
          </cell>
          <cell r="D433">
            <v>0</v>
          </cell>
          <cell r="F433" t="e">
            <v>#N/A</v>
          </cell>
          <cell r="G433" t="e">
            <v>#N/A</v>
          </cell>
          <cell r="H433" t="e">
            <v>#N/A</v>
          </cell>
          <cell r="I433">
            <v>1</v>
          </cell>
          <cell r="J433">
            <v>1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</row>
        <row r="434">
          <cell r="C434" t="str">
            <v>N/HT</v>
          </cell>
          <cell r="D434">
            <v>0</v>
          </cell>
          <cell r="F434" t="e">
            <v>#N/A</v>
          </cell>
          <cell r="G434" t="e">
            <v>#N/A</v>
          </cell>
          <cell r="H434" t="e">
            <v>#N/A</v>
          </cell>
          <cell r="I434">
            <v>1</v>
          </cell>
          <cell r="J434">
            <v>1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</row>
        <row r="435">
          <cell r="C435" t="str">
            <v>N/HT</v>
          </cell>
          <cell r="D435">
            <v>0</v>
          </cell>
          <cell r="F435" t="e">
            <v>#N/A</v>
          </cell>
          <cell r="G435" t="e">
            <v>#N/A</v>
          </cell>
          <cell r="H435" t="e">
            <v>#N/A</v>
          </cell>
          <cell r="I435">
            <v>1</v>
          </cell>
          <cell r="J435">
            <v>1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</row>
        <row r="436">
          <cell r="C436" t="str">
            <v>N/HT</v>
          </cell>
          <cell r="D436">
            <v>0</v>
          </cell>
          <cell r="F436" t="e">
            <v>#N/A</v>
          </cell>
          <cell r="G436" t="e">
            <v>#N/A</v>
          </cell>
          <cell r="H436" t="e">
            <v>#N/A</v>
          </cell>
          <cell r="I436">
            <v>1</v>
          </cell>
          <cell r="J436">
            <v>1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</row>
        <row r="437">
          <cell r="C437" t="str">
            <v>N/HT</v>
          </cell>
          <cell r="D437">
            <v>0</v>
          </cell>
          <cell r="F437" t="e">
            <v>#N/A</v>
          </cell>
          <cell r="G437" t="e">
            <v>#N/A</v>
          </cell>
          <cell r="H437" t="e">
            <v>#N/A</v>
          </cell>
          <cell r="I437">
            <v>1</v>
          </cell>
          <cell r="J437">
            <v>1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</row>
        <row r="438">
          <cell r="C438" t="str">
            <v>N/HT</v>
          </cell>
          <cell r="D438">
            <v>0</v>
          </cell>
          <cell r="F438" t="e">
            <v>#N/A</v>
          </cell>
          <cell r="G438" t="e">
            <v>#N/A</v>
          </cell>
          <cell r="H438" t="e">
            <v>#N/A</v>
          </cell>
          <cell r="I438">
            <v>1</v>
          </cell>
          <cell r="J438">
            <v>1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</row>
        <row r="439">
          <cell r="C439" t="str">
            <v>N/HT</v>
          </cell>
          <cell r="D439">
            <v>0</v>
          </cell>
          <cell r="F439" t="e">
            <v>#N/A</v>
          </cell>
          <cell r="G439" t="e">
            <v>#N/A</v>
          </cell>
          <cell r="H439" t="e">
            <v>#N/A</v>
          </cell>
          <cell r="I439">
            <v>1</v>
          </cell>
          <cell r="J439">
            <v>1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</row>
        <row r="440">
          <cell r="C440" t="str">
            <v>N/HT</v>
          </cell>
          <cell r="D440">
            <v>0</v>
          </cell>
          <cell r="F440" t="e">
            <v>#N/A</v>
          </cell>
          <cell r="G440" t="e">
            <v>#N/A</v>
          </cell>
          <cell r="H440" t="e">
            <v>#N/A</v>
          </cell>
          <cell r="I440">
            <v>1</v>
          </cell>
          <cell r="J440">
            <v>1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</row>
        <row r="441">
          <cell r="C441" t="str">
            <v>N/HT</v>
          </cell>
          <cell r="D441">
            <v>0</v>
          </cell>
          <cell r="F441" t="e">
            <v>#N/A</v>
          </cell>
          <cell r="G441" t="e">
            <v>#N/A</v>
          </cell>
          <cell r="H441" t="e">
            <v>#N/A</v>
          </cell>
          <cell r="I441">
            <v>1</v>
          </cell>
          <cell r="J441">
            <v>1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</row>
        <row r="442">
          <cell r="C442" t="str">
            <v>N/HT</v>
          </cell>
          <cell r="D442">
            <v>0</v>
          </cell>
          <cell r="F442" t="e">
            <v>#N/A</v>
          </cell>
          <cell r="G442" t="e">
            <v>#N/A</v>
          </cell>
          <cell r="H442" t="e">
            <v>#N/A</v>
          </cell>
          <cell r="I442">
            <v>1</v>
          </cell>
          <cell r="J442">
            <v>1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</row>
        <row r="443">
          <cell r="C443" t="str">
            <v>N/HT</v>
          </cell>
          <cell r="D443">
            <v>0</v>
          </cell>
          <cell r="F443" t="e">
            <v>#N/A</v>
          </cell>
          <cell r="G443" t="e">
            <v>#N/A</v>
          </cell>
          <cell r="H443" t="e">
            <v>#N/A</v>
          </cell>
          <cell r="I443">
            <v>1</v>
          </cell>
          <cell r="J443">
            <v>1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</row>
        <row r="444">
          <cell r="C444" t="str">
            <v>N/HT</v>
          </cell>
          <cell r="D444">
            <v>0</v>
          </cell>
          <cell r="F444" t="e">
            <v>#N/A</v>
          </cell>
          <cell r="G444" t="e">
            <v>#N/A</v>
          </cell>
          <cell r="H444" t="e">
            <v>#N/A</v>
          </cell>
          <cell r="I444">
            <v>1</v>
          </cell>
          <cell r="J444">
            <v>1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</row>
        <row r="446">
          <cell r="C446" t="str">
            <v>No. Parte Htal:</v>
          </cell>
          <cell r="D446" t="str">
            <v>RQ</v>
          </cell>
          <cell r="E446" t="str">
            <v>Inventario</v>
          </cell>
          <cell r="F446" t="str">
            <v>Pz / Herramental</v>
          </cell>
          <cell r="G446" t="str">
            <v>Tiempo Entrega</v>
          </cell>
          <cell r="H446" t="str">
            <v>Mín</v>
          </cell>
          <cell r="I446" t="str">
            <v>Pto. Reorden</v>
          </cell>
          <cell r="J446" t="str">
            <v>Máx</v>
          </cell>
          <cell r="K446" t="str">
            <v>Mín</v>
          </cell>
          <cell r="L446" t="str">
            <v>Pto. Reorden</v>
          </cell>
          <cell r="M446" t="str">
            <v>Máx</v>
          </cell>
          <cell r="N446" t="str">
            <v>STATUS</v>
          </cell>
        </row>
        <row r="447">
          <cell r="D447">
            <v>0</v>
          </cell>
          <cell r="F447" t="e">
            <v>#N/A</v>
          </cell>
          <cell r="G447" t="e">
            <v>#N/A</v>
          </cell>
          <cell r="H447" t="e">
            <v>#N/A</v>
          </cell>
          <cell r="I447">
            <v>1</v>
          </cell>
          <cell r="J447">
            <v>1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</row>
        <row r="448">
          <cell r="D448">
            <v>0</v>
          </cell>
          <cell r="F448" t="e">
            <v>#N/A</v>
          </cell>
          <cell r="G448" t="e">
            <v>#N/A</v>
          </cell>
          <cell r="H448" t="e">
            <v>#N/A</v>
          </cell>
          <cell r="I448">
            <v>1</v>
          </cell>
          <cell r="J448">
            <v>1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</row>
        <row r="449">
          <cell r="D449">
            <v>0</v>
          </cell>
          <cell r="F449" t="e">
            <v>#N/A</v>
          </cell>
          <cell r="G449" t="e">
            <v>#N/A</v>
          </cell>
          <cell r="H449" t="e">
            <v>#N/A</v>
          </cell>
          <cell r="I449">
            <v>1</v>
          </cell>
          <cell r="J449">
            <v>1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</row>
        <row r="450">
          <cell r="D450">
            <v>0</v>
          </cell>
          <cell r="F450" t="e">
            <v>#N/A</v>
          </cell>
          <cell r="G450" t="e">
            <v>#N/A</v>
          </cell>
          <cell r="H450" t="e">
            <v>#N/A</v>
          </cell>
          <cell r="I450">
            <v>1</v>
          </cell>
          <cell r="J450">
            <v>1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</row>
        <row r="451">
          <cell r="D451">
            <v>0</v>
          </cell>
          <cell r="F451" t="e">
            <v>#N/A</v>
          </cell>
          <cell r="G451" t="e">
            <v>#N/A</v>
          </cell>
          <cell r="H451" t="e">
            <v>#N/A</v>
          </cell>
          <cell r="I451">
            <v>1</v>
          </cell>
          <cell r="J451">
            <v>1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</row>
        <row r="452">
          <cell r="D452">
            <v>0</v>
          </cell>
          <cell r="F452" t="e">
            <v>#N/A</v>
          </cell>
          <cell r="G452" t="e">
            <v>#N/A</v>
          </cell>
          <cell r="H452" t="e">
            <v>#N/A</v>
          </cell>
          <cell r="I452">
            <v>1</v>
          </cell>
          <cell r="J452">
            <v>1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</row>
        <row r="453">
          <cell r="D453">
            <v>0</v>
          </cell>
          <cell r="F453" t="e">
            <v>#N/A</v>
          </cell>
          <cell r="G453" t="e">
            <v>#N/A</v>
          </cell>
          <cell r="H453" t="e">
            <v>#N/A</v>
          </cell>
          <cell r="I453">
            <v>1</v>
          </cell>
          <cell r="J453">
            <v>1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</row>
        <row r="454">
          <cell r="D454">
            <v>0</v>
          </cell>
          <cell r="F454" t="e">
            <v>#N/A</v>
          </cell>
          <cell r="G454" t="e">
            <v>#N/A</v>
          </cell>
          <cell r="H454" t="e">
            <v>#N/A</v>
          </cell>
          <cell r="I454">
            <v>1</v>
          </cell>
          <cell r="J454">
            <v>1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</row>
        <row r="455">
          <cell r="C455" t="str">
            <v>N/HT</v>
          </cell>
          <cell r="D455">
            <v>0</v>
          </cell>
          <cell r="F455" t="e">
            <v>#N/A</v>
          </cell>
          <cell r="G455" t="e">
            <v>#N/A</v>
          </cell>
          <cell r="H455" t="e">
            <v>#N/A</v>
          </cell>
          <cell r="I455">
            <v>1</v>
          </cell>
          <cell r="J455">
            <v>1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</row>
        <row r="456">
          <cell r="C456" t="str">
            <v>N/HT</v>
          </cell>
          <cell r="D456">
            <v>0</v>
          </cell>
          <cell r="F456" t="e">
            <v>#N/A</v>
          </cell>
          <cell r="G456" t="e">
            <v>#N/A</v>
          </cell>
          <cell r="H456" t="e">
            <v>#N/A</v>
          </cell>
          <cell r="I456">
            <v>1</v>
          </cell>
          <cell r="J456">
            <v>1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</row>
        <row r="457">
          <cell r="C457" t="str">
            <v>N/HT</v>
          </cell>
          <cell r="D457">
            <v>0</v>
          </cell>
          <cell r="F457" t="e">
            <v>#N/A</v>
          </cell>
          <cell r="G457" t="e">
            <v>#N/A</v>
          </cell>
          <cell r="H457" t="e">
            <v>#N/A</v>
          </cell>
          <cell r="I457">
            <v>1</v>
          </cell>
          <cell r="J457">
            <v>1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</row>
        <row r="458">
          <cell r="C458" t="str">
            <v>N/HT</v>
          </cell>
          <cell r="D458">
            <v>0</v>
          </cell>
          <cell r="E458" t="str">
            <v xml:space="preserve"> </v>
          </cell>
          <cell r="F458" t="e">
            <v>#N/A</v>
          </cell>
          <cell r="G458" t="e">
            <v>#N/A</v>
          </cell>
          <cell r="H458" t="e">
            <v>#N/A</v>
          </cell>
          <cell r="I458">
            <v>1</v>
          </cell>
          <cell r="J458">
            <v>1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</row>
        <row r="459">
          <cell r="C459" t="str">
            <v>N/HT</v>
          </cell>
          <cell r="D459">
            <v>0</v>
          </cell>
          <cell r="F459" t="e">
            <v>#N/A</v>
          </cell>
          <cell r="G459" t="e">
            <v>#N/A</v>
          </cell>
          <cell r="H459" t="e">
            <v>#N/A</v>
          </cell>
          <cell r="I459">
            <v>1</v>
          </cell>
          <cell r="J459">
            <v>1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</row>
        <row r="460">
          <cell r="C460" t="str">
            <v>N/HT</v>
          </cell>
          <cell r="D460">
            <v>0</v>
          </cell>
          <cell r="F460" t="e">
            <v>#N/A</v>
          </cell>
          <cell r="G460" t="e">
            <v>#N/A</v>
          </cell>
          <cell r="H460" t="e">
            <v>#N/A</v>
          </cell>
          <cell r="I460">
            <v>1</v>
          </cell>
          <cell r="J460">
            <v>1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</row>
        <row r="461">
          <cell r="C461" t="str">
            <v>N/HT</v>
          </cell>
          <cell r="D461">
            <v>0</v>
          </cell>
          <cell r="F461" t="e">
            <v>#N/A</v>
          </cell>
          <cell r="G461" t="e">
            <v>#N/A</v>
          </cell>
          <cell r="H461" t="e">
            <v>#N/A</v>
          </cell>
          <cell r="I461">
            <v>1</v>
          </cell>
          <cell r="J461">
            <v>1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</row>
        <row r="462">
          <cell r="C462" t="str">
            <v>N/HT</v>
          </cell>
          <cell r="D462">
            <v>0</v>
          </cell>
          <cell r="F462" t="e">
            <v>#N/A</v>
          </cell>
          <cell r="G462" t="e">
            <v>#N/A</v>
          </cell>
          <cell r="H462" t="e">
            <v>#N/A</v>
          </cell>
          <cell r="I462">
            <v>1</v>
          </cell>
          <cell r="J462">
            <v>1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</row>
        <row r="463">
          <cell r="C463" t="str">
            <v>N/HT</v>
          </cell>
          <cell r="D463">
            <v>0</v>
          </cell>
          <cell r="F463" t="e">
            <v>#N/A</v>
          </cell>
          <cell r="G463" t="e">
            <v>#N/A</v>
          </cell>
          <cell r="H463" t="e">
            <v>#N/A</v>
          </cell>
          <cell r="I463">
            <v>1</v>
          </cell>
          <cell r="J463">
            <v>1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</row>
        <row r="464">
          <cell r="C464" t="str">
            <v>N/HT</v>
          </cell>
          <cell r="D464">
            <v>0</v>
          </cell>
          <cell r="F464" t="e">
            <v>#N/A</v>
          </cell>
          <cell r="G464" t="e">
            <v>#N/A</v>
          </cell>
          <cell r="H464" t="e">
            <v>#N/A</v>
          </cell>
          <cell r="I464">
            <v>1</v>
          </cell>
          <cell r="J464">
            <v>1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</row>
        <row r="465">
          <cell r="C465" t="str">
            <v>N/HT</v>
          </cell>
          <cell r="D465">
            <v>0</v>
          </cell>
          <cell r="F465" t="e">
            <v>#N/A</v>
          </cell>
          <cell r="G465" t="e">
            <v>#N/A</v>
          </cell>
          <cell r="H465" t="e">
            <v>#N/A</v>
          </cell>
          <cell r="I465">
            <v>1</v>
          </cell>
          <cell r="J465">
            <v>1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</row>
        <row r="466">
          <cell r="C466" t="str">
            <v>N/HT</v>
          </cell>
          <cell r="D466">
            <v>0</v>
          </cell>
          <cell r="F466" t="e">
            <v>#N/A</v>
          </cell>
          <cell r="G466" t="e">
            <v>#N/A</v>
          </cell>
          <cell r="H466" t="e">
            <v>#N/A</v>
          </cell>
          <cell r="I466">
            <v>1</v>
          </cell>
          <cell r="J466">
            <v>1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</row>
        <row r="467">
          <cell r="C467" t="str">
            <v>N/HT</v>
          </cell>
          <cell r="D467">
            <v>0</v>
          </cell>
          <cell r="F467" t="e">
            <v>#N/A</v>
          </cell>
          <cell r="G467" t="e">
            <v>#N/A</v>
          </cell>
          <cell r="H467" t="e">
            <v>#N/A</v>
          </cell>
          <cell r="I467">
            <v>1</v>
          </cell>
          <cell r="J467">
            <v>1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</row>
        <row r="468">
          <cell r="C468" t="str">
            <v>N/HT</v>
          </cell>
          <cell r="D468">
            <v>0</v>
          </cell>
          <cell r="F468" t="e">
            <v>#N/A</v>
          </cell>
          <cell r="G468" t="e">
            <v>#N/A</v>
          </cell>
          <cell r="H468" t="e">
            <v>#N/A</v>
          </cell>
          <cell r="I468">
            <v>1</v>
          </cell>
          <cell r="J468">
            <v>1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</row>
        <row r="469">
          <cell r="C469" t="str">
            <v>N/HT</v>
          </cell>
          <cell r="D469">
            <v>0</v>
          </cell>
          <cell r="F469" t="e">
            <v>#N/A</v>
          </cell>
          <cell r="G469" t="e">
            <v>#N/A</v>
          </cell>
          <cell r="H469" t="e">
            <v>#N/A</v>
          </cell>
          <cell r="I469">
            <v>1</v>
          </cell>
          <cell r="J469">
            <v>1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</row>
        <row r="470">
          <cell r="C470" t="str">
            <v>N/HT</v>
          </cell>
          <cell r="D470">
            <v>0</v>
          </cell>
          <cell r="F470" t="e">
            <v>#N/A</v>
          </cell>
          <cell r="G470" t="e">
            <v>#N/A</v>
          </cell>
          <cell r="H470" t="e">
            <v>#N/A</v>
          </cell>
          <cell r="I470">
            <v>1</v>
          </cell>
          <cell r="J470">
            <v>1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</row>
        <row r="471">
          <cell r="C471" t="str">
            <v>N/HT</v>
          </cell>
          <cell r="D471">
            <v>0</v>
          </cell>
          <cell r="F471" t="e">
            <v>#N/A</v>
          </cell>
          <cell r="G471" t="e">
            <v>#N/A</v>
          </cell>
          <cell r="H471" t="e">
            <v>#N/A</v>
          </cell>
          <cell r="I471">
            <v>1</v>
          </cell>
          <cell r="J471">
            <v>1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</row>
        <row r="472">
          <cell r="C472" t="str">
            <v>N/HT</v>
          </cell>
          <cell r="D472">
            <v>0</v>
          </cell>
          <cell r="F472" t="e">
            <v>#N/A</v>
          </cell>
          <cell r="G472" t="e">
            <v>#N/A</v>
          </cell>
          <cell r="H472" t="e">
            <v>#N/A</v>
          </cell>
          <cell r="I472">
            <v>1</v>
          </cell>
          <cell r="J472">
            <v>1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</row>
        <row r="473">
          <cell r="C473" t="str">
            <v>N/HT</v>
          </cell>
          <cell r="D473">
            <v>0</v>
          </cell>
          <cell r="F473" t="e">
            <v>#N/A</v>
          </cell>
          <cell r="G473" t="e">
            <v>#N/A</v>
          </cell>
          <cell r="H473" t="e">
            <v>#N/A</v>
          </cell>
          <cell r="I473">
            <v>1</v>
          </cell>
          <cell r="J473">
            <v>1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</row>
        <row r="474">
          <cell r="C474" t="str">
            <v>N/HT</v>
          </cell>
          <cell r="D474">
            <v>0</v>
          </cell>
          <cell r="F474" t="e">
            <v>#N/A</v>
          </cell>
          <cell r="G474" t="e">
            <v>#N/A</v>
          </cell>
          <cell r="H474" t="e">
            <v>#N/A</v>
          </cell>
          <cell r="I474">
            <v>1</v>
          </cell>
          <cell r="J474">
            <v>1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</row>
        <row r="475">
          <cell r="C475" t="str">
            <v>N/HT</v>
          </cell>
          <cell r="D475">
            <v>0</v>
          </cell>
          <cell r="F475" t="e">
            <v>#N/A</v>
          </cell>
          <cell r="G475" t="e">
            <v>#N/A</v>
          </cell>
          <cell r="H475" t="e">
            <v>#N/A</v>
          </cell>
          <cell r="I475">
            <v>1</v>
          </cell>
          <cell r="J475">
            <v>1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</row>
        <row r="476">
          <cell r="C476" t="str">
            <v>N/HT</v>
          </cell>
          <cell r="D476">
            <v>0</v>
          </cell>
          <cell r="F476" t="e">
            <v>#N/A</v>
          </cell>
          <cell r="G476" t="e">
            <v>#N/A</v>
          </cell>
          <cell r="H476" t="e">
            <v>#N/A</v>
          </cell>
          <cell r="I476">
            <v>1</v>
          </cell>
          <cell r="J476">
            <v>1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</row>
        <row r="477">
          <cell r="C477" t="str">
            <v>N/HT</v>
          </cell>
          <cell r="D477">
            <v>0</v>
          </cell>
          <cell r="F477" t="e">
            <v>#N/A</v>
          </cell>
          <cell r="G477" t="e">
            <v>#N/A</v>
          </cell>
          <cell r="H477" t="e">
            <v>#N/A</v>
          </cell>
          <cell r="I477">
            <v>1</v>
          </cell>
          <cell r="J477">
            <v>1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</row>
        <row r="478">
          <cell r="C478" t="str">
            <v>N/HT</v>
          </cell>
          <cell r="D478">
            <v>0</v>
          </cell>
          <cell r="F478" t="e">
            <v>#N/A</v>
          </cell>
          <cell r="G478" t="e">
            <v>#N/A</v>
          </cell>
          <cell r="H478" t="e">
            <v>#N/A</v>
          </cell>
          <cell r="I478">
            <v>1</v>
          </cell>
          <cell r="J478">
            <v>1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</row>
        <row r="480">
          <cell r="C480" t="str">
            <v>No. Parte Htal:</v>
          </cell>
          <cell r="D480" t="str">
            <v>RQ</v>
          </cell>
          <cell r="E480" t="str">
            <v>Inventario</v>
          </cell>
          <cell r="F480" t="str">
            <v>Pz / Herramental</v>
          </cell>
          <cell r="G480" t="str">
            <v>Tiempo Entrega</v>
          </cell>
          <cell r="H480" t="str">
            <v>Mín</v>
          </cell>
          <cell r="I480" t="str">
            <v>Pto. Reorden</v>
          </cell>
          <cell r="J480" t="str">
            <v>Máx</v>
          </cell>
          <cell r="K480" t="str">
            <v>Mín</v>
          </cell>
          <cell r="L480" t="str">
            <v>Pto. Reorden</v>
          </cell>
          <cell r="M480" t="str">
            <v>Máx</v>
          </cell>
          <cell r="N480" t="str">
            <v>STATUS</v>
          </cell>
        </row>
        <row r="481">
          <cell r="D481">
            <v>0</v>
          </cell>
          <cell r="F481" t="e">
            <v>#N/A</v>
          </cell>
          <cell r="G481" t="e">
            <v>#N/A</v>
          </cell>
          <cell r="H481" t="e">
            <v>#N/A</v>
          </cell>
          <cell r="I481">
            <v>1</v>
          </cell>
          <cell r="J481">
            <v>1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</row>
        <row r="482">
          <cell r="D482">
            <v>0</v>
          </cell>
          <cell r="F482" t="e">
            <v>#N/A</v>
          </cell>
          <cell r="G482" t="e">
            <v>#N/A</v>
          </cell>
          <cell r="H482" t="e">
            <v>#N/A</v>
          </cell>
          <cell r="I482">
            <v>1</v>
          </cell>
          <cell r="J482">
            <v>1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</row>
        <row r="483">
          <cell r="D483">
            <v>0</v>
          </cell>
          <cell r="F483" t="e">
            <v>#N/A</v>
          </cell>
          <cell r="G483" t="e">
            <v>#N/A</v>
          </cell>
          <cell r="H483" t="e">
            <v>#N/A</v>
          </cell>
          <cell r="I483">
            <v>1</v>
          </cell>
          <cell r="J483">
            <v>1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</row>
        <row r="484">
          <cell r="D484">
            <v>0</v>
          </cell>
          <cell r="F484" t="e">
            <v>#N/A</v>
          </cell>
          <cell r="G484" t="e">
            <v>#N/A</v>
          </cell>
          <cell r="H484" t="e">
            <v>#N/A</v>
          </cell>
          <cell r="I484">
            <v>1</v>
          </cell>
          <cell r="J484">
            <v>1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</row>
        <row r="485">
          <cell r="D485">
            <v>0</v>
          </cell>
          <cell r="F485" t="e">
            <v>#N/A</v>
          </cell>
          <cell r="G485" t="e">
            <v>#N/A</v>
          </cell>
          <cell r="H485" t="e">
            <v>#N/A</v>
          </cell>
          <cell r="I485">
            <v>1</v>
          </cell>
          <cell r="J485">
            <v>1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</row>
        <row r="486">
          <cell r="D486">
            <v>0</v>
          </cell>
          <cell r="F486" t="e">
            <v>#N/A</v>
          </cell>
          <cell r="G486" t="e">
            <v>#N/A</v>
          </cell>
          <cell r="H486" t="e">
            <v>#N/A</v>
          </cell>
          <cell r="I486">
            <v>1</v>
          </cell>
          <cell r="J486">
            <v>1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</row>
        <row r="487">
          <cell r="D487">
            <v>0</v>
          </cell>
          <cell r="F487" t="e">
            <v>#N/A</v>
          </cell>
          <cell r="G487" t="e">
            <v>#N/A</v>
          </cell>
          <cell r="H487" t="e">
            <v>#N/A</v>
          </cell>
          <cell r="I487">
            <v>1</v>
          </cell>
          <cell r="J487">
            <v>1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</row>
        <row r="488">
          <cell r="D488">
            <v>0</v>
          </cell>
          <cell r="F488" t="e">
            <v>#N/A</v>
          </cell>
          <cell r="G488" t="e">
            <v>#N/A</v>
          </cell>
          <cell r="H488" t="e">
            <v>#N/A</v>
          </cell>
          <cell r="I488">
            <v>1</v>
          </cell>
          <cell r="J488">
            <v>1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</row>
        <row r="489">
          <cell r="D489">
            <v>0</v>
          </cell>
          <cell r="F489" t="e">
            <v>#N/A</v>
          </cell>
          <cell r="G489" t="e">
            <v>#N/A</v>
          </cell>
          <cell r="H489" t="e">
            <v>#N/A</v>
          </cell>
          <cell r="I489">
            <v>1</v>
          </cell>
          <cell r="J489">
            <v>1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</row>
        <row r="490">
          <cell r="D490">
            <v>0</v>
          </cell>
          <cell r="F490" t="e">
            <v>#N/A</v>
          </cell>
          <cell r="G490" t="e">
            <v>#N/A</v>
          </cell>
          <cell r="H490" t="e">
            <v>#N/A</v>
          </cell>
          <cell r="I490">
            <v>1</v>
          </cell>
          <cell r="J490">
            <v>1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</row>
        <row r="491">
          <cell r="D491">
            <v>0</v>
          </cell>
          <cell r="F491" t="e">
            <v>#N/A</v>
          </cell>
          <cell r="G491" t="e">
            <v>#N/A</v>
          </cell>
          <cell r="H491" t="e">
            <v>#N/A</v>
          </cell>
          <cell r="I491">
            <v>1</v>
          </cell>
          <cell r="J491">
            <v>1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</row>
        <row r="492">
          <cell r="D492">
            <v>0</v>
          </cell>
          <cell r="F492" t="e">
            <v>#N/A</v>
          </cell>
          <cell r="G492" t="e">
            <v>#N/A</v>
          </cell>
          <cell r="H492" t="e">
            <v>#N/A</v>
          </cell>
          <cell r="I492">
            <v>1</v>
          </cell>
          <cell r="J492">
            <v>1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</row>
        <row r="493">
          <cell r="D493">
            <v>0</v>
          </cell>
          <cell r="F493" t="e">
            <v>#N/A</v>
          </cell>
          <cell r="G493" t="e">
            <v>#N/A</v>
          </cell>
          <cell r="H493" t="e">
            <v>#N/A</v>
          </cell>
          <cell r="I493">
            <v>1</v>
          </cell>
          <cell r="J493">
            <v>1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</row>
        <row r="494">
          <cell r="D494">
            <v>0</v>
          </cell>
          <cell r="F494" t="e">
            <v>#N/A</v>
          </cell>
          <cell r="G494" t="e">
            <v>#N/A</v>
          </cell>
          <cell r="H494" t="e">
            <v>#N/A</v>
          </cell>
          <cell r="I494">
            <v>1</v>
          </cell>
          <cell r="J494">
            <v>1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</row>
        <row r="495">
          <cell r="D495">
            <v>0</v>
          </cell>
          <cell r="F495" t="e">
            <v>#N/A</v>
          </cell>
          <cell r="G495" t="e">
            <v>#N/A</v>
          </cell>
          <cell r="H495" t="e">
            <v>#N/A</v>
          </cell>
          <cell r="I495">
            <v>1</v>
          </cell>
          <cell r="J495">
            <v>1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</row>
        <row r="496">
          <cell r="D496">
            <v>0</v>
          </cell>
          <cell r="F496" t="e">
            <v>#N/A</v>
          </cell>
          <cell r="G496" t="e">
            <v>#N/A</v>
          </cell>
          <cell r="H496" t="e">
            <v>#N/A</v>
          </cell>
          <cell r="I496">
            <v>1</v>
          </cell>
          <cell r="J496">
            <v>1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</row>
        <row r="497">
          <cell r="D497">
            <v>0</v>
          </cell>
          <cell r="F497" t="e">
            <v>#N/A</v>
          </cell>
          <cell r="G497" t="e">
            <v>#N/A</v>
          </cell>
          <cell r="H497" t="e">
            <v>#N/A</v>
          </cell>
          <cell r="I497">
            <v>1</v>
          </cell>
          <cell r="J497">
            <v>1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</row>
        <row r="498">
          <cell r="D498">
            <v>0</v>
          </cell>
          <cell r="F498" t="e">
            <v>#N/A</v>
          </cell>
          <cell r="G498" t="e">
            <v>#N/A</v>
          </cell>
          <cell r="H498" t="e">
            <v>#N/A</v>
          </cell>
          <cell r="I498">
            <v>1</v>
          </cell>
          <cell r="J498">
            <v>1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</row>
        <row r="499">
          <cell r="C499" t="str">
            <v>N/HT</v>
          </cell>
          <cell r="D499">
            <v>0</v>
          </cell>
          <cell r="F499" t="e">
            <v>#N/A</v>
          </cell>
          <cell r="G499" t="e">
            <v>#N/A</v>
          </cell>
          <cell r="H499" t="e">
            <v>#N/A</v>
          </cell>
          <cell r="I499">
            <v>1</v>
          </cell>
          <cell r="J499">
            <v>1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</row>
        <row r="500">
          <cell r="C500" t="str">
            <v>N/HT</v>
          </cell>
          <cell r="D500">
            <v>0</v>
          </cell>
          <cell r="F500" t="e">
            <v>#N/A</v>
          </cell>
          <cell r="G500" t="e">
            <v>#N/A</v>
          </cell>
          <cell r="H500" t="e">
            <v>#N/A</v>
          </cell>
          <cell r="I500">
            <v>1</v>
          </cell>
          <cell r="J500">
            <v>1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</row>
        <row r="501">
          <cell r="C501" t="str">
            <v>N/HT</v>
          </cell>
          <cell r="D501">
            <v>0</v>
          </cell>
          <cell r="E501" t="str">
            <v xml:space="preserve"> </v>
          </cell>
          <cell r="F501" t="e">
            <v>#N/A</v>
          </cell>
          <cell r="G501" t="e">
            <v>#N/A</v>
          </cell>
          <cell r="H501" t="e">
            <v>#N/A</v>
          </cell>
          <cell r="I501">
            <v>1</v>
          </cell>
          <cell r="J501">
            <v>1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</row>
        <row r="502">
          <cell r="C502" t="str">
            <v>N/HT</v>
          </cell>
          <cell r="D502">
            <v>0</v>
          </cell>
          <cell r="F502" t="e">
            <v>#N/A</v>
          </cell>
          <cell r="G502" t="e">
            <v>#N/A</v>
          </cell>
          <cell r="H502" t="e">
            <v>#N/A</v>
          </cell>
          <cell r="I502">
            <v>1</v>
          </cell>
          <cell r="J502">
            <v>1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</row>
        <row r="503">
          <cell r="C503" t="str">
            <v>N/HT</v>
          </cell>
          <cell r="D503">
            <v>0</v>
          </cell>
          <cell r="F503" t="e">
            <v>#N/A</v>
          </cell>
          <cell r="G503" t="e">
            <v>#N/A</v>
          </cell>
          <cell r="H503" t="e">
            <v>#N/A</v>
          </cell>
          <cell r="I503">
            <v>1</v>
          </cell>
          <cell r="J503">
            <v>1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</row>
        <row r="504">
          <cell r="C504" t="str">
            <v>N/HT</v>
          </cell>
          <cell r="D504">
            <v>0</v>
          </cell>
          <cell r="F504" t="e">
            <v>#N/A</v>
          </cell>
          <cell r="G504" t="e">
            <v>#N/A</v>
          </cell>
          <cell r="H504" t="e">
            <v>#N/A</v>
          </cell>
          <cell r="I504">
            <v>1</v>
          </cell>
          <cell r="J504">
            <v>1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</row>
        <row r="505">
          <cell r="C505" t="str">
            <v>N/HT</v>
          </cell>
          <cell r="D505">
            <v>0</v>
          </cell>
          <cell r="F505" t="e">
            <v>#N/A</v>
          </cell>
          <cell r="G505" t="e">
            <v>#N/A</v>
          </cell>
          <cell r="H505" t="e">
            <v>#N/A</v>
          </cell>
          <cell r="I505">
            <v>1</v>
          </cell>
          <cell r="J505">
            <v>1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</row>
        <row r="506">
          <cell r="C506" t="str">
            <v>N/HT</v>
          </cell>
          <cell r="D506">
            <v>0</v>
          </cell>
          <cell r="F506" t="e">
            <v>#N/A</v>
          </cell>
          <cell r="G506" t="e">
            <v>#N/A</v>
          </cell>
          <cell r="H506" t="e">
            <v>#N/A</v>
          </cell>
          <cell r="I506">
            <v>1</v>
          </cell>
          <cell r="J506">
            <v>1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</row>
        <row r="507">
          <cell r="C507" t="str">
            <v>N/HT</v>
          </cell>
          <cell r="D507">
            <v>0</v>
          </cell>
          <cell r="F507" t="e">
            <v>#N/A</v>
          </cell>
          <cell r="G507" t="e">
            <v>#N/A</v>
          </cell>
          <cell r="H507" t="e">
            <v>#N/A</v>
          </cell>
          <cell r="I507">
            <v>1</v>
          </cell>
          <cell r="J507">
            <v>1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</row>
        <row r="508">
          <cell r="C508" t="str">
            <v>N/HT</v>
          </cell>
          <cell r="D508">
            <v>0</v>
          </cell>
          <cell r="F508" t="e">
            <v>#N/A</v>
          </cell>
          <cell r="G508" t="e">
            <v>#N/A</v>
          </cell>
          <cell r="H508" t="e">
            <v>#N/A</v>
          </cell>
          <cell r="I508">
            <v>1</v>
          </cell>
          <cell r="J508">
            <v>1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</row>
        <row r="509">
          <cell r="C509" t="str">
            <v>N/HT</v>
          </cell>
          <cell r="D509">
            <v>0</v>
          </cell>
          <cell r="F509" t="e">
            <v>#N/A</v>
          </cell>
          <cell r="G509" t="e">
            <v>#N/A</v>
          </cell>
          <cell r="H509" t="e">
            <v>#N/A</v>
          </cell>
          <cell r="I509">
            <v>1</v>
          </cell>
          <cell r="J509">
            <v>1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</row>
        <row r="510">
          <cell r="C510" t="str">
            <v>N/HT</v>
          </cell>
          <cell r="D510">
            <v>0</v>
          </cell>
          <cell r="F510" t="e">
            <v>#N/A</v>
          </cell>
          <cell r="G510" t="e">
            <v>#N/A</v>
          </cell>
          <cell r="H510" t="e">
            <v>#N/A</v>
          </cell>
          <cell r="I510">
            <v>1</v>
          </cell>
          <cell r="J510">
            <v>1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</row>
        <row r="511">
          <cell r="C511" t="str">
            <v>N/HT</v>
          </cell>
          <cell r="D511">
            <v>0</v>
          </cell>
          <cell r="F511" t="e">
            <v>#N/A</v>
          </cell>
          <cell r="G511" t="e">
            <v>#N/A</v>
          </cell>
          <cell r="H511" t="e">
            <v>#N/A</v>
          </cell>
          <cell r="I511">
            <v>1</v>
          </cell>
          <cell r="J511">
            <v>1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</row>
        <row r="512">
          <cell r="C512" t="str">
            <v>N/HT</v>
          </cell>
          <cell r="D512">
            <v>0</v>
          </cell>
          <cell r="F512" t="e">
            <v>#N/A</v>
          </cell>
          <cell r="G512" t="e">
            <v>#N/A</v>
          </cell>
          <cell r="H512" t="e">
            <v>#N/A</v>
          </cell>
          <cell r="I512">
            <v>1</v>
          </cell>
          <cell r="J512">
            <v>1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</row>
        <row r="514">
          <cell r="C514" t="str">
            <v>No. Parte Htal:</v>
          </cell>
          <cell r="D514" t="str">
            <v>RQ</v>
          </cell>
          <cell r="E514" t="str">
            <v>Inventario</v>
          </cell>
          <cell r="F514" t="str">
            <v>Pz / Herramental</v>
          </cell>
          <cell r="G514" t="str">
            <v>Tiempo Entrega</v>
          </cell>
          <cell r="H514" t="str">
            <v>Mín</v>
          </cell>
          <cell r="I514" t="str">
            <v>Pto. Reorden</v>
          </cell>
          <cell r="J514" t="str">
            <v>Máx</v>
          </cell>
          <cell r="K514" t="str">
            <v>Mín</v>
          </cell>
          <cell r="L514" t="str">
            <v>Pto. Reorden</v>
          </cell>
          <cell r="M514" t="str">
            <v>Máx</v>
          </cell>
          <cell r="N514" t="str">
            <v>STATUS</v>
          </cell>
        </row>
        <row r="515">
          <cell r="D515">
            <v>0</v>
          </cell>
          <cell r="F515" t="e">
            <v>#N/A</v>
          </cell>
          <cell r="G515" t="e">
            <v>#N/A</v>
          </cell>
          <cell r="H515" t="e">
            <v>#N/A</v>
          </cell>
          <cell r="I515">
            <v>1</v>
          </cell>
          <cell r="J515">
            <v>1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</row>
        <row r="516">
          <cell r="D516">
            <v>0</v>
          </cell>
          <cell r="F516" t="e">
            <v>#N/A</v>
          </cell>
          <cell r="G516" t="e">
            <v>#N/A</v>
          </cell>
          <cell r="H516" t="e">
            <v>#N/A</v>
          </cell>
          <cell r="I516">
            <v>1</v>
          </cell>
          <cell r="J516">
            <v>1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</row>
        <row r="517">
          <cell r="D517">
            <v>0</v>
          </cell>
          <cell r="F517" t="e">
            <v>#N/A</v>
          </cell>
          <cell r="G517" t="e">
            <v>#N/A</v>
          </cell>
          <cell r="H517" t="e">
            <v>#N/A</v>
          </cell>
          <cell r="I517">
            <v>1</v>
          </cell>
          <cell r="J517">
            <v>1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</row>
        <row r="518">
          <cell r="D518">
            <v>0</v>
          </cell>
          <cell r="F518" t="e">
            <v>#N/A</v>
          </cell>
          <cell r="G518" t="e">
            <v>#N/A</v>
          </cell>
          <cell r="H518" t="e">
            <v>#N/A</v>
          </cell>
          <cell r="I518">
            <v>1</v>
          </cell>
          <cell r="J518">
            <v>1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</row>
        <row r="519">
          <cell r="D519">
            <v>0</v>
          </cell>
          <cell r="F519" t="e">
            <v>#N/A</v>
          </cell>
          <cell r="G519" t="e">
            <v>#N/A</v>
          </cell>
          <cell r="H519" t="e">
            <v>#N/A</v>
          </cell>
          <cell r="I519">
            <v>1</v>
          </cell>
          <cell r="J519">
            <v>1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</row>
        <row r="520">
          <cell r="D520">
            <v>0</v>
          </cell>
          <cell r="F520" t="e">
            <v>#N/A</v>
          </cell>
          <cell r="G520" t="e">
            <v>#N/A</v>
          </cell>
          <cell r="H520" t="e">
            <v>#N/A</v>
          </cell>
          <cell r="I520">
            <v>1</v>
          </cell>
          <cell r="J520">
            <v>1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</row>
        <row r="521">
          <cell r="D521">
            <v>0</v>
          </cell>
          <cell r="F521" t="e">
            <v>#N/A</v>
          </cell>
          <cell r="G521" t="e">
            <v>#N/A</v>
          </cell>
          <cell r="H521" t="e">
            <v>#N/A</v>
          </cell>
          <cell r="I521">
            <v>1</v>
          </cell>
          <cell r="J521">
            <v>1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</row>
        <row r="522">
          <cell r="D522">
            <v>0</v>
          </cell>
          <cell r="F522" t="e">
            <v>#N/A</v>
          </cell>
          <cell r="G522" t="e">
            <v>#N/A</v>
          </cell>
          <cell r="H522" t="e">
            <v>#N/A</v>
          </cell>
          <cell r="I522">
            <v>1</v>
          </cell>
          <cell r="J522">
            <v>1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</row>
        <row r="523">
          <cell r="D523">
            <v>0</v>
          </cell>
          <cell r="F523" t="e">
            <v>#N/A</v>
          </cell>
          <cell r="G523" t="e">
            <v>#N/A</v>
          </cell>
          <cell r="H523" t="e">
            <v>#N/A</v>
          </cell>
          <cell r="I523">
            <v>1</v>
          </cell>
          <cell r="J523">
            <v>1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</row>
        <row r="524">
          <cell r="D524">
            <v>0</v>
          </cell>
          <cell r="F524" t="e">
            <v>#N/A</v>
          </cell>
          <cell r="G524" t="e">
            <v>#N/A</v>
          </cell>
          <cell r="H524" t="e">
            <v>#N/A</v>
          </cell>
          <cell r="I524">
            <v>1</v>
          </cell>
          <cell r="J524">
            <v>1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</row>
        <row r="525">
          <cell r="D525">
            <v>0</v>
          </cell>
          <cell r="F525" t="e">
            <v>#N/A</v>
          </cell>
          <cell r="G525" t="e">
            <v>#N/A</v>
          </cell>
          <cell r="H525" t="e">
            <v>#N/A</v>
          </cell>
          <cell r="I525">
            <v>1</v>
          </cell>
          <cell r="J525">
            <v>1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</row>
        <row r="526">
          <cell r="D526">
            <v>0</v>
          </cell>
          <cell r="F526" t="e">
            <v>#N/A</v>
          </cell>
          <cell r="G526" t="e">
            <v>#N/A</v>
          </cell>
          <cell r="H526" t="e">
            <v>#N/A</v>
          </cell>
          <cell r="I526">
            <v>1</v>
          </cell>
          <cell r="J526">
            <v>1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</row>
        <row r="527">
          <cell r="D527">
            <v>0</v>
          </cell>
          <cell r="E527" t="str">
            <v xml:space="preserve"> </v>
          </cell>
          <cell r="F527" t="e">
            <v>#N/A</v>
          </cell>
          <cell r="G527" t="e">
            <v>#N/A</v>
          </cell>
          <cell r="H527" t="e">
            <v>#N/A</v>
          </cell>
          <cell r="I527">
            <v>1</v>
          </cell>
          <cell r="J527">
            <v>1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</row>
        <row r="528">
          <cell r="D528">
            <v>0</v>
          </cell>
          <cell r="F528" t="e">
            <v>#N/A</v>
          </cell>
          <cell r="G528" t="e">
            <v>#N/A</v>
          </cell>
          <cell r="H528" t="e">
            <v>#N/A</v>
          </cell>
          <cell r="I528">
            <v>1</v>
          </cell>
          <cell r="J528">
            <v>1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</row>
        <row r="529">
          <cell r="D529">
            <v>0</v>
          </cell>
          <cell r="F529" t="e">
            <v>#N/A</v>
          </cell>
          <cell r="G529" t="e">
            <v>#N/A</v>
          </cell>
          <cell r="H529" t="e">
            <v>#N/A</v>
          </cell>
          <cell r="I529">
            <v>1</v>
          </cell>
          <cell r="J529">
            <v>1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</row>
        <row r="530">
          <cell r="D530">
            <v>0</v>
          </cell>
          <cell r="F530" t="e">
            <v>#N/A</v>
          </cell>
          <cell r="G530" t="e">
            <v>#N/A</v>
          </cell>
          <cell r="H530" t="e">
            <v>#N/A</v>
          </cell>
          <cell r="I530">
            <v>1</v>
          </cell>
          <cell r="J530">
            <v>1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</row>
        <row r="531">
          <cell r="D531">
            <v>0</v>
          </cell>
          <cell r="F531" t="e">
            <v>#N/A</v>
          </cell>
          <cell r="G531" t="e">
            <v>#N/A</v>
          </cell>
          <cell r="H531" t="e">
            <v>#N/A</v>
          </cell>
          <cell r="I531">
            <v>1</v>
          </cell>
          <cell r="J531">
            <v>1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</row>
        <row r="532">
          <cell r="D532">
            <v>0</v>
          </cell>
          <cell r="F532" t="e">
            <v>#N/A</v>
          </cell>
          <cell r="G532" t="e">
            <v>#N/A</v>
          </cell>
          <cell r="H532" t="e">
            <v>#N/A</v>
          </cell>
          <cell r="I532">
            <v>1</v>
          </cell>
          <cell r="J532">
            <v>1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</row>
        <row r="533">
          <cell r="D533">
            <v>0</v>
          </cell>
          <cell r="F533" t="e">
            <v>#N/A</v>
          </cell>
          <cell r="G533" t="e">
            <v>#N/A</v>
          </cell>
          <cell r="H533" t="e">
            <v>#N/A</v>
          </cell>
          <cell r="I533">
            <v>1</v>
          </cell>
          <cell r="J533">
            <v>1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</row>
        <row r="534">
          <cell r="D534">
            <v>0</v>
          </cell>
          <cell r="F534" t="e">
            <v>#N/A</v>
          </cell>
          <cell r="G534" t="e">
            <v>#N/A</v>
          </cell>
          <cell r="H534" t="e">
            <v>#N/A</v>
          </cell>
          <cell r="I534">
            <v>1</v>
          </cell>
          <cell r="J534">
            <v>1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</row>
        <row r="535">
          <cell r="D535">
            <v>0</v>
          </cell>
          <cell r="F535" t="e">
            <v>#N/A</v>
          </cell>
          <cell r="G535" t="e">
            <v>#N/A</v>
          </cell>
          <cell r="H535" t="e">
            <v>#N/A</v>
          </cell>
          <cell r="I535">
            <v>1</v>
          </cell>
          <cell r="J535">
            <v>1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</row>
        <row r="536">
          <cell r="C536" t="str">
            <v>N/HT</v>
          </cell>
          <cell r="D536">
            <v>0</v>
          </cell>
          <cell r="F536" t="e">
            <v>#N/A</v>
          </cell>
          <cell r="G536" t="e">
            <v>#N/A</v>
          </cell>
          <cell r="H536" t="e">
            <v>#N/A</v>
          </cell>
          <cell r="I536">
            <v>1</v>
          </cell>
          <cell r="J536">
            <v>1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</row>
        <row r="537">
          <cell r="C537" t="str">
            <v>N/HT</v>
          </cell>
          <cell r="D537">
            <v>0</v>
          </cell>
          <cell r="F537" t="e">
            <v>#N/A</v>
          </cell>
          <cell r="G537" t="e">
            <v>#N/A</v>
          </cell>
          <cell r="H537" t="e">
            <v>#N/A</v>
          </cell>
          <cell r="I537">
            <v>1</v>
          </cell>
          <cell r="J537">
            <v>1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</row>
        <row r="538">
          <cell r="C538" t="str">
            <v>N/HT</v>
          </cell>
          <cell r="D538">
            <v>0</v>
          </cell>
          <cell r="F538" t="e">
            <v>#N/A</v>
          </cell>
          <cell r="G538" t="e">
            <v>#N/A</v>
          </cell>
          <cell r="H538" t="e">
            <v>#N/A</v>
          </cell>
          <cell r="I538">
            <v>1</v>
          </cell>
          <cell r="J538">
            <v>1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</row>
        <row r="539">
          <cell r="C539" t="str">
            <v>N/HT</v>
          </cell>
          <cell r="D539">
            <v>0</v>
          </cell>
          <cell r="F539" t="e">
            <v>#N/A</v>
          </cell>
          <cell r="G539" t="e">
            <v>#N/A</v>
          </cell>
          <cell r="H539" t="e">
            <v>#N/A</v>
          </cell>
          <cell r="I539">
            <v>1</v>
          </cell>
          <cell r="J539">
            <v>1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</row>
        <row r="540">
          <cell r="C540" t="str">
            <v>N/HT</v>
          </cell>
          <cell r="D540">
            <v>0</v>
          </cell>
          <cell r="F540" t="e">
            <v>#N/A</v>
          </cell>
          <cell r="G540" t="e">
            <v>#N/A</v>
          </cell>
          <cell r="H540" t="e">
            <v>#N/A</v>
          </cell>
          <cell r="I540">
            <v>1</v>
          </cell>
          <cell r="J540">
            <v>1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</row>
        <row r="541">
          <cell r="C541" t="str">
            <v>N/HT</v>
          </cell>
          <cell r="D541">
            <v>0</v>
          </cell>
          <cell r="F541" t="e">
            <v>#N/A</v>
          </cell>
          <cell r="G541" t="e">
            <v>#N/A</v>
          </cell>
          <cell r="H541" t="e">
            <v>#N/A</v>
          </cell>
          <cell r="I541">
            <v>1</v>
          </cell>
          <cell r="J541">
            <v>1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</row>
        <row r="542">
          <cell r="C542" t="str">
            <v>N/HT</v>
          </cell>
          <cell r="D542">
            <v>0</v>
          </cell>
          <cell r="F542" t="e">
            <v>#N/A</v>
          </cell>
          <cell r="G542" t="e">
            <v>#N/A</v>
          </cell>
          <cell r="H542" t="e">
            <v>#N/A</v>
          </cell>
          <cell r="I542">
            <v>1</v>
          </cell>
          <cell r="J542">
            <v>1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</row>
        <row r="543">
          <cell r="C543" t="str">
            <v>N/HT</v>
          </cell>
          <cell r="D543">
            <v>0</v>
          </cell>
          <cell r="F543" t="e">
            <v>#N/A</v>
          </cell>
          <cell r="G543" t="e">
            <v>#N/A</v>
          </cell>
          <cell r="H543" t="e">
            <v>#N/A</v>
          </cell>
          <cell r="I543">
            <v>1</v>
          </cell>
          <cell r="J543">
            <v>1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</row>
        <row r="544">
          <cell r="C544" t="str">
            <v>N/HT</v>
          </cell>
          <cell r="D544">
            <v>0</v>
          </cell>
          <cell r="F544" t="e">
            <v>#N/A</v>
          </cell>
          <cell r="G544" t="e">
            <v>#N/A</v>
          </cell>
          <cell r="H544" t="e">
            <v>#N/A</v>
          </cell>
          <cell r="I544">
            <v>1</v>
          </cell>
          <cell r="J544">
            <v>1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</row>
        <row r="545">
          <cell r="C545" t="str">
            <v>N/HT</v>
          </cell>
          <cell r="D545">
            <v>0</v>
          </cell>
          <cell r="F545" t="e">
            <v>#N/A</v>
          </cell>
          <cell r="G545" t="e">
            <v>#N/A</v>
          </cell>
          <cell r="H545" t="e">
            <v>#N/A</v>
          </cell>
          <cell r="I545">
            <v>1</v>
          </cell>
          <cell r="J545">
            <v>1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</row>
        <row r="546">
          <cell r="C546" t="str">
            <v>N/HT</v>
          </cell>
          <cell r="D546">
            <v>0</v>
          </cell>
          <cell r="F546" t="e">
            <v>#N/A</v>
          </cell>
          <cell r="G546" t="e">
            <v>#N/A</v>
          </cell>
          <cell r="H546" t="e">
            <v>#N/A</v>
          </cell>
          <cell r="I546">
            <v>1</v>
          </cell>
          <cell r="J546">
            <v>1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</row>
      </sheetData>
      <sheetData sheetId="5"/>
      <sheetData sheetId="6">
        <row r="1">
          <cell r="D1" t="str">
            <v>Rolado OP 30</v>
          </cell>
        </row>
        <row r="5">
          <cell r="C5" t="str">
            <v>No. Parte Htal:</v>
          </cell>
          <cell r="D5" t="str">
            <v>RQ</v>
          </cell>
          <cell r="E5" t="str">
            <v>Inventario</v>
          </cell>
          <cell r="F5" t="str">
            <v>Pz / Herramental</v>
          </cell>
          <cell r="G5" t="str">
            <v>Tiempo Entrega</v>
          </cell>
          <cell r="H5" t="str">
            <v>Mín</v>
          </cell>
          <cell r="I5" t="str">
            <v>Pto. Reorden</v>
          </cell>
          <cell r="J5" t="str">
            <v>Máx</v>
          </cell>
          <cell r="K5" t="str">
            <v>Mín</v>
          </cell>
          <cell r="L5" t="str">
            <v>Pto. Reorden</v>
          </cell>
          <cell r="M5" t="str">
            <v>Máx</v>
          </cell>
          <cell r="N5" t="str">
            <v>STATUS</v>
          </cell>
        </row>
        <row r="6">
          <cell r="C6" t="str">
            <v>HTJA030002</v>
          </cell>
          <cell r="D6">
            <v>8133.6</v>
          </cell>
          <cell r="E6">
            <v>1</v>
          </cell>
          <cell r="F6">
            <v>20000</v>
          </cell>
          <cell r="G6">
            <v>8</v>
          </cell>
          <cell r="H6">
            <v>1</v>
          </cell>
          <cell r="I6">
            <v>1</v>
          </cell>
          <cell r="J6">
            <v>1</v>
          </cell>
          <cell r="K6">
            <v>1</v>
          </cell>
          <cell r="L6">
            <v>2</v>
          </cell>
          <cell r="M6">
            <v>3</v>
          </cell>
          <cell r="N6" t="str">
            <v>PEDIR</v>
          </cell>
        </row>
        <row r="7">
          <cell r="C7" t="str">
            <v>HTJA030008</v>
          </cell>
          <cell r="D7">
            <v>0</v>
          </cell>
          <cell r="E7">
            <v>2</v>
          </cell>
          <cell r="F7">
            <v>20000</v>
          </cell>
          <cell r="G7">
            <v>8</v>
          </cell>
          <cell r="H7">
            <v>0</v>
          </cell>
          <cell r="I7">
            <v>1</v>
          </cell>
          <cell r="J7">
            <v>1</v>
          </cell>
          <cell r="K7">
            <v>0</v>
          </cell>
          <cell r="L7">
            <v>1</v>
          </cell>
          <cell r="M7">
            <v>2</v>
          </cell>
          <cell r="N7" t="str">
            <v>OK</v>
          </cell>
        </row>
        <row r="8">
          <cell r="C8" t="str">
            <v>HTJA030075</v>
          </cell>
          <cell r="D8">
            <v>0</v>
          </cell>
          <cell r="E8">
            <v>0</v>
          </cell>
          <cell r="F8">
            <v>20000</v>
          </cell>
          <cell r="G8">
            <v>8</v>
          </cell>
          <cell r="H8">
            <v>0</v>
          </cell>
          <cell r="I8">
            <v>1</v>
          </cell>
          <cell r="J8">
            <v>1</v>
          </cell>
          <cell r="K8">
            <v>0</v>
          </cell>
          <cell r="L8">
            <v>1</v>
          </cell>
          <cell r="M8">
            <v>2</v>
          </cell>
          <cell r="N8" t="str">
            <v>PEDIR</v>
          </cell>
        </row>
        <row r="9">
          <cell r="C9" t="str">
            <v>HTJA030001</v>
          </cell>
          <cell r="D9">
            <v>8133.6</v>
          </cell>
          <cell r="E9">
            <v>2</v>
          </cell>
          <cell r="F9">
            <v>40000</v>
          </cell>
          <cell r="G9">
            <v>8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2</v>
          </cell>
          <cell r="M9">
            <v>3</v>
          </cell>
          <cell r="N9" t="str">
            <v>PEDIR</v>
          </cell>
        </row>
        <row r="10">
          <cell r="C10" t="str">
            <v>HTJA030007</v>
          </cell>
          <cell r="D10">
            <v>1811</v>
          </cell>
          <cell r="E10">
            <v>2</v>
          </cell>
          <cell r="F10">
            <v>40000</v>
          </cell>
          <cell r="G10">
            <v>8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2</v>
          </cell>
          <cell r="M10">
            <v>3</v>
          </cell>
          <cell r="N10" t="str">
            <v>PEDIR</v>
          </cell>
        </row>
        <row r="11">
          <cell r="C11" t="str">
            <v>HTJA030074</v>
          </cell>
          <cell r="D11">
            <v>0</v>
          </cell>
          <cell r="E11">
            <v>0</v>
          </cell>
          <cell r="F11">
            <v>50000</v>
          </cell>
          <cell r="G11">
            <v>8</v>
          </cell>
          <cell r="H11">
            <v>0</v>
          </cell>
          <cell r="I11">
            <v>1</v>
          </cell>
          <cell r="J11">
            <v>1</v>
          </cell>
          <cell r="K11">
            <v>0</v>
          </cell>
          <cell r="L11">
            <v>1</v>
          </cell>
          <cell r="M11">
            <v>2</v>
          </cell>
          <cell r="N11" t="str">
            <v>PEDIR</v>
          </cell>
        </row>
        <row r="12">
          <cell r="C12" t="str">
            <v>N/HT</v>
          </cell>
          <cell r="D12">
            <v>0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1</v>
          </cell>
          <cell r="J12">
            <v>1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</row>
        <row r="13">
          <cell r="C13" t="str">
            <v>N/HT</v>
          </cell>
          <cell r="D13">
            <v>0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1</v>
          </cell>
          <cell r="J13">
            <v>1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</row>
        <row r="14">
          <cell r="C14" t="str">
            <v>N/HT</v>
          </cell>
          <cell r="D14">
            <v>0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1</v>
          </cell>
          <cell r="J14">
            <v>1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</row>
        <row r="15">
          <cell r="C15" t="str">
            <v>N/HT</v>
          </cell>
          <cell r="D15">
            <v>0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1</v>
          </cell>
          <cell r="J15">
            <v>1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</row>
        <row r="16">
          <cell r="C16" t="str">
            <v>N/HT</v>
          </cell>
          <cell r="D16">
            <v>0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1</v>
          </cell>
          <cell r="J16">
            <v>1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</row>
        <row r="17">
          <cell r="C17" t="str">
            <v>N/HT</v>
          </cell>
          <cell r="D17">
            <v>0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1</v>
          </cell>
          <cell r="J17">
            <v>1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</row>
        <row r="18">
          <cell r="C18" t="str">
            <v>N/HT</v>
          </cell>
          <cell r="D18">
            <v>0</v>
          </cell>
          <cell r="F18" t="e">
            <v>#N/A</v>
          </cell>
          <cell r="G18" t="e">
            <v>#N/A</v>
          </cell>
          <cell r="H18" t="e">
            <v>#N/A</v>
          </cell>
          <cell r="I18">
            <v>1</v>
          </cell>
          <cell r="J18">
            <v>1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</row>
        <row r="19">
          <cell r="C19" t="str">
            <v>N/HT</v>
          </cell>
          <cell r="D19">
            <v>0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1</v>
          </cell>
          <cell r="J19">
            <v>1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</row>
        <row r="20">
          <cell r="C20" t="str">
            <v>N/HT</v>
          </cell>
          <cell r="D20">
            <v>0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1</v>
          </cell>
          <cell r="J20">
            <v>1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</row>
        <row r="21">
          <cell r="C21" t="str">
            <v>N/HT</v>
          </cell>
          <cell r="D21">
            <v>0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1</v>
          </cell>
          <cell r="J21">
            <v>1</v>
          </cell>
          <cell r="K21" t="e">
            <v>#N/A</v>
          </cell>
          <cell r="L21" t="e">
            <v>#N/A</v>
          </cell>
          <cell r="M21" t="e">
            <v>#N/A</v>
          </cell>
          <cell r="N21" t="e">
            <v>#N/A</v>
          </cell>
        </row>
        <row r="22">
          <cell r="C22" t="str">
            <v>N/HT</v>
          </cell>
          <cell r="D22">
            <v>0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1</v>
          </cell>
          <cell r="J22">
            <v>1</v>
          </cell>
          <cell r="K22" t="e">
            <v>#N/A</v>
          </cell>
          <cell r="L22" t="e">
            <v>#N/A</v>
          </cell>
          <cell r="M22" t="e">
            <v>#N/A</v>
          </cell>
          <cell r="N22" t="e">
            <v>#N/A</v>
          </cell>
        </row>
        <row r="23">
          <cell r="C23" t="str">
            <v>N/HT</v>
          </cell>
          <cell r="D23">
            <v>0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1</v>
          </cell>
          <cell r="J23">
            <v>1</v>
          </cell>
          <cell r="K23" t="e">
            <v>#N/A</v>
          </cell>
          <cell r="L23" t="e">
            <v>#N/A</v>
          </cell>
          <cell r="M23" t="e">
            <v>#N/A</v>
          </cell>
          <cell r="N23" t="e">
            <v>#N/A</v>
          </cell>
        </row>
        <row r="24">
          <cell r="C24" t="str">
            <v>N/HT</v>
          </cell>
          <cell r="D24">
            <v>0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1</v>
          </cell>
          <cell r="J24">
            <v>1</v>
          </cell>
          <cell r="K24" t="e">
            <v>#N/A</v>
          </cell>
          <cell r="L24" t="e">
            <v>#N/A</v>
          </cell>
          <cell r="M24" t="e">
            <v>#N/A</v>
          </cell>
          <cell r="N24" t="e">
            <v>#N/A</v>
          </cell>
        </row>
        <row r="25">
          <cell r="C25" t="str">
            <v>N/HT</v>
          </cell>
          <cell r="D25">
            <v>0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1</v>
          </cell>
          <cell r="J25">
            <v>1</v>
          </cell>
          <cell r="K25" t="e">
            <v>#N/A</v>
          </cell>
          <cell r="L25" t="e">
            <v>#N/A</v>
          </cell>
          <cell r="M25" t="e">
            <v>#N/A</v>
          </cell>
          <cell r="N25" t="e">
            <v>#N/A</v>
          </cell>
        </row>
        <row r="26">
          <cell r="C26" t="str">
            <v>N/HT</v>
          </cell>
          <cell r="D26">
            <v>0</v>
          </cell>
          <cell r="F26" t="e">
            <v>#N/A</v>
          </cell>
          <cell r="G26" t="e">
            <v>#N/A</v>
          </cell>
          <cell r="H26" t="e">
            <v>#N/A</v>
          </cell>
          <cell r="I26">
            <v>1</v>
          </cell>
          <cell r="J26">
            <v>1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</row>
        <row r="27">
          <cell r="C27" t="str">
            <v>N/HT</v>
          </cell>
          <cell r="D27">
            <v>0</v>
          </cell>
          <cell r="F27" t="e">
            <v>#N/A</v>
          </cell>
          <cell r="G27" t="e">
            <v>#N/A</v>
          </cell>
          <cell r="H27" t="e">
            <v>#N/A</v>
          </cell>
          <cell r="I27">
            <v>1</v>
          </cell>
          <cell r="J27">
            <v>1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</row>
        <row r="28">
          <cell r="C28" t="str">
            <v>N/HT</v>
          </cell>
          <cell r="D28">
            <v>0</v>
          </cell>
          <cell r="F28" t="e">
            <v>#N/A</v>
          </cell>
          <cell r="G28" t="e">
            <v>#N/A</v>
          </cell>
          <cell r="H28" t="e">
            <v>#N/A</v>
          </cell>
          <cell r="I28">
            <v>1</v>
          </cell>
          <cell r="J28">
            <v>1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</row>
        <row r="29">
          <cell r="C29" t="str">
            <v>N/HT</v>
          </cell>
          <cell r="D29">
            <v>0</v>
          </cell>
          <cell r="F29" t="e">
            <v>#N/A</v>
          </cell>
          <cell r="G29" t="e">
            <v>#N/A</v>
          </cell>
          <cell r="H29" t="e">
            <v>#N/A</v>
          </cell>
          <cell r="I29">
            <v>1</v>
          </cell>
          <cell r="J29">
            <v>1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</row>
        <row r="30">
          <cell r="C30" t="str">
            <v>N/HT</v>
          </cell>
          <cell r="D30">
            <v>0</v>
          </cell>
          <cell r="F30" t="e">
            <v>#N/A</v>
          </cell>
          <cell r="G30" t="e">
            <v>#N/A</v>
          </cell>
          <cell r="H30" t="e">
            <v>#N/A</v>
          </cell>
          <cell r="I30">
            <v>1</v>
          </cell>
          <cell r="J30">
            <v>1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</row>
        <row r="31">
          <cell r="C31" t="str">
            <v>N/HT</v>
          </cell>
          <cell r="D31">
            <v>0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1</v>
          </cell>
          <cell r="J31">
            <v>1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</row>
        <row r="32">
          <cell r="C32" t="str">
            <v>N/HT</v>
          </cell>
          <cell r="D32">
            <v>0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1</v>
          </cell>
          <cell r="J32">
            <v>1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</row>
        <row r="33">
          <cell r="C33" t="str">
            <v>N/HT</v>
          </cell>
          <cell r="D33">
            <v>0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1</v>
          </cell>
          <cell r="J33">
            <v>1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</row>
        <row r="34">
          <cell r="C34" t="str">
            <v>N/HT</v>
          </cell>
          <cell r="D34">
            <v>0</v>
          </cell>
          <cell r="F34" t="e">
            <v>#N/A</v>
          </cell>
          <cell r="G34" t="e">
            <v>#N/A</v>
          </cell>
          <cell r="H34" t="e">
            <v>#N/A</v>
          </cell>
          <cell r="I34">
            <v>1</v>
          </cell>
          <cell r="J34">
            <v>1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</row>
        <row r="35">
          <cell r="C35" t="str">
            <v>N/HT</v>
          </cell>
          <cell r="D35">
            <v>0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1</v>
          </cell>
          <cell r="J35">
            <v>1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</row>
        <row r="36">
          <cell r="C36" t="str">
            <v>N/HT</v>
          </cell>
          <cell r="D36">
            <v>0</v>
          </cell>
          <cell r="F36" t="e">
            <v>#N/A</v>
          </cell>
          <cell r="G36" t="e">
            <v>#N/A</v>
          </cell>
          <cell r="H36" t="e">
            <v>#N/A</v>
          </cell>
          <cell r="I36">
            <v>1</v>
          </cell>
          <cell r="J36">
            <v>1</v>
          </cell>
          <cell r="K36" t="e">
            <v>#N/A</v>
          </cell>
          <cell r="L36" t="e">
            <v>#N/A</v>
          </cell>
          <cell r="M36" t="e">
            <v>#N/A</v>
          </cell>
          <cell r="N36" t="e">
            <v>#N/A</v>
          </cell>
        </row>
        <row r="37">
          <cell r="C37" t="str">
            <v>N/HT</v>
          </cell>
          <cell r="D37">
            <v>0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1</v>
          </cell>
          <cell r="J37">
            <v>1</v>
          </cell>
          <cell r="K37" t="e">
            <v>#N/A</v>
          </cell>
          <cell r="L37" t="e">
            <v>#N/A</v>
          </cell>
          <cell r="M37" t="e">
            <v>#N/A</v>
          </cell>
          <cell r="N37" t="e">
            <v>#N/A</v>
          </cell>
        </row>
        <row r="39">
          <cell r="C39" t="str">
            <v>No. Parte Htal:</v>
          </cell>
          <cell r="D39" t="str">
            <v>RQ</v>
          </cell>
          <cell r="E39" t="str">
            <v>Inventario</v>
          </cell>
          <cell r="F39" t="str">
            <v>Pz / Herramental</v>
          </cell>
          <cell r="G39" t="str">
            <v>Tiempo Entrega</v>
          </cell>
          <cell r="H39" t="str">
            <v>Mín</v>
          </cell>
          <cell r="I39" t="str">
            <v>Pto. Reorden</v>
          </cell>
          <cell r="J39" t="str">
            <v>Máx</v>
          </cell>
          <cell r="K39" t="str">
            <v>Mín</v>
          </cell>
          <cell r="L39" t="str">
            <v>Pto. Reorden</v>
          </cell>
          <cell r="M39" t="str">
            <v>Máx</v>
          </cell>
          <cell r="N39" t="str">
            <v>STATUS</v>
          </cell>
        </row>
        <row r="40">
          <cell r="C40" t="str">
            <v>HTJA030082</v>
          </cell>
          <cell r="D40">
            <v>529869.80000000005</v>
          </cell>
          <cell r="E40">
            <v>40</v>
          </cell>
          <cell r="F40">
            <v>100000</v>
          </cell>
          <cell r="G40">
            <v>10</v>
          </cell>
          <cell r="H40">
            <v>3</v>
          </cell>
          <cell r="I40">
            <v>1</v>
          </cell>
          <cell r="J40">
            <v>1</v>
          </cell>
          <cell r="K40">
            <v>3</v>
          </cell>
          <cell r="L40">
            <v>4</v>
          </cell>
          <cell r="M40">
            <v>5</v>
          </cell>
          <cell r="N40" t="str">
            <v>SOBREINVENTARIO</v>
          </cell>
        </row>
        <row r="41">
          <cell r="C41" t="str">
            <v>HTJA030138</v>
          </cell>
          <cell r="D41">
            <v>543670.53771294048</v>
          </cell>
          <cell r="E41">
            <v>16</v>
          </cell>
          <cell r="F41">
            <v>10000</v>
          </cell>
          <cell r="G41">
            <v>8</v>
          </cell>
          <cell r="H41">
            <v>19</v>
          </cell>
          <cell r="I41">
            <v>1</v>
          </cell>
          <cell r="J41">
            <v>1</v>
          </cell>
          <cell r="K41">
            <v>19</v>
          </cell>
          <cell r="L41">
            <v>20</v>
          </cell>
          <cell r="M41">
            <v>21</v>
          </cell>
          <cell r="N41" t="str">
            <v>URGENTE</v>
          </cell>
        </row>
        <row r="42">
          <cell r="C42" t="str">
            <v>HTJA030012</v>
          </cell>
          <cell r="D42">
            <v>529869.80000000005</v>
          </cell>
          <cell r="E42">
            <v>12</v>
          </cell>
          <cell r="F42">
            <v>500000</v>
          </cell>
          <cell r="G42">
            <v>10</v>
          </cell>
          <cell r="H42">
            <v>1</v>
          </cell>
          <cell r="I42">
            <v>1</v>
          </cell>
          <cell r="J42">
            <v>1</v>
          </cell>
          <cell r="L42">
            <v>2</v>
          </cell>
          <cell r="M42">
            <v>3</v>
          </cell>
          <cell r="N42" t="str">
            <v>SOBREINVENTARIO</v>
          </cell>
        </row>
        <row r="43">
          <cell r="C43" t="str">
            <v>HTJA030011</v>
          </cell>
          <cell r="D43">
            <v>529869.80000000005</v>
          </cell>
          <cell r="E43">
            <v>10</v>
          </cell>
          <cell r="F43">
            <v>500000</v>
          </cell>
          <cell r="G43">
            <v>10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2</v>
          </cell>
          <cell r="M43">
            <v>3</v>
          </cell>
          <cell r="N43" t="str">
            <v>SOBREINVENTARIO</v>
          </cell>
        </row>
        <row r="44">
          <cell r="C44" t="str">
            <v>HTJA030154</v>
          </cell>
          <cell r="D44">
            <v>543670.53771294048</v>
          </cell>
          <cell r="E44">
            <v>2</v>
          </cell>
          <cell r="F44">
            <v>50000</v>
          </cell>
          <cell r="G44">
            <v>10</v>
          </cell>
          <cell r="H44">
            <v>5</v>
          </cell>
          <cell r="I44">
            <v>1</v>
          </cell>
          <cell r="J44">
            <v>1</v>
          </cell>
          <cell r="K44">
            <v>5</v>
          </cell>
          <cell r="L44">
            <v>6</v>
          </cell>
          <cell r="M44">
            <v>7</v>
          </cell>
          <cell r="N44" t="str">
            <v>URGENTE</v>
          </cell>
        </row>
        <row r="45">
          <cell r="C45" t="str">
            <v>HTJA030099</v>
          </cell>
          <cell r="D45">
            <v>543670.53771294048</v>
          </cell>
          <cell r="E45">
            <v>1</v>
          </cell>
          <cell r="F45">
            <v>50000</v>
          </cell>
          <cell r="G45">
            <v>10</v>
          </cell>
          <cell r="H45">
            <v>5</v>
          </cell>
          <cell r="I45">
            <v>1</v>
          </cell>
          <cell r="J45">
            <v>1</v>
          </cell>
          <cell r="K45">
            <v>5</v>
          </cell>
          <cell r="L45">
            <v>6</v>
          </cell>
          <cell r="M45">
            <v>7</v>
          </cell>
          <cell r="N45" t="str">
            <v>URGENTE</v>
          </cell>
        </row>
        <row r="46">
          <cell r="C46" t="str">
            <v>HTJA030068</v>
          </cell>
          <cell r="D46">
            <v>543670.53771294048</v>
          </cell>
          <cell r="E46">
            <v>2</v>
          </cell>
          <cell r="F46">
            <v>300000</v>
          </cell>
          <cell r="G46">
            <v>30</v>
          </cell>
          <cell r="H46">
            <v>3</v>
          </cell>
          <cell r="I46">
            <v>1</v>
          </cell>
          <cell r="J46">
            <v>1</v>
          </cell>
          <cell r="K46">
            <v>3</v>
          </cell>
          <cell r="L46">
            <v>4</v>
          </cell>
          <cell r="M46">
            <v>5</v>
          </cell>
          <cell r="N46" t="str">
            <v>URGENTE</v>
          </cell>
        </row>
        <row r="47">
          <cell r="C47" t="str">
            <v>HTJA030067</v>
          </cell>
          <cell r="D47">
            <v>543670.53771294048</v>
          </cell>
          <cell r="E47">
            <v>1</v>
          </cell>
          <cell r="F47">
            <v>300000</v>
          </cell>
          <cell r="G47">
            <v>30</v>
          </cell>
          <cell r="H47">
            <v>3</v>
          </cell>
          <cell r="I47">
            <v>1</v>
          </cell>
          <cell r="J47">
            <v>1</v>
          </cell>
          <cell r="K47">
            <v>3</v>
          </cell>
          <cell r="L47">
            <v>4</v>
          </cell>
          <cell r="M47">
            <v>5</v>
          </cell>
          <cell r="N47" t="str">
            <v>URGENTE</v>
          </cell>
        </row>
        <row r="48">
          <cell r="C48" t="str">
            <v>HTJA030092</v>
          </cell>
          <cell r="D48">
            <v>543670.53771294048</v>
          </cell>
          <cell r="E48">
            <v>2</v>
          </cell>
          <cell r="F48">
            <v>300000</v>
          </cell>
          <cell r="G48">
            <v>10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2</v>
          </cell>
          <cell r="M48">
            <v>3</v>
          </cell>
          <cell r="N48" t="str">
            <v>PEDIR</v>
          </cell>
        </row>
        <row r="49">
          <cell r="C49" t="str">
            <v>HTJA030010</v>
          </cell>
          <cell r="D49">
            <v>529869.80000000005</v>
          </cell>
          <cell r="E49">
            <v>0</v>
          </cell>
          <cell r="F49">
            <v>500000</v>
          </cell>
          <cell r="G49">
            <v>15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2</v>
          </cell>
          <cell r="M49">
            <v>3</v>
          </cell>
          <cell r="N49" t="str">
            <v>URGENTE</v>
          </cell>
        </row>
        <row r="50">
          <cell r="C50" t="str">
            <v>HTJA030139</v>
          </cell>
          <cell r="D50">
            <v>543670.53771294048</v>
          </cell>
          <cell r="E50">
            <v>2</v>
          </cell>
          <cell r="F50">
            <v>300000</v>
          </cell>
          <cell r="G50">
            <v>30</v>
          </cell>
          <cell r="H50">
            <v>3</v>
          </cell>
          <cell r="I50">
            <v>1</v>
          </cell>
          <cell r="J50">
            <v>1</v>
          </cell>
          <cell r="K50">
            <v>3</v>
          </cell>
          <cell r="L50">
            <v>4</v>
          </cell>
          <cell r="M50">
            <v>5</v>
          </cell>
          <cell r="N50" t="str">
            <v>URGENTE</v>
          </cell>
        </row>
        <row r="51">
          <cell r="C51" t="str">
            <v>HTJA030088</v>
          </cell>
          <cell r="D51">
            <v>543670.53771294048</v>
          </cell>
          <cell r="E51">
            <v>5</v>
          </cell>
          <cell r="F51">
            <v>300000</v>
          </cell>
          <cell r="G51">
            <v>30</v>
          </cell>
          <cell r="H51">
            <v>3</v>
          </cell>
          <cell r="I51">
            <v>1</v>
          </cell>
          <cell r="J51">
            <v>1</v>
          </cell>
          <cell r="K51">
            <v>3</v>
          </cell>
          <cell r="L51">
            <v>4</v>
          </cell>
          <cell r="M51">
            <v>5</v>
          </cell>
          <cell r="N51" t="str">
            <v>OK</v>
          </cell>
        </row>
        <row r="52">
          <cell r="C52" t="str">
            <v>HTJA030023</v>
          </cell>
          <cell r="D52">
            <v>543670.53771294048</v>
          </cell>
          <cell r="E52">
            <v>6</v>
          </cell>
          <cell r="F52">
            <v>300000</v>
          </cell>
          <cell r="G52">
            <v>30</v>
          </cell>
          <cell r="H52">
            <v>3</v>
          </cell>
          <cell r="I52">
            <v>1</v>
          </cell>
          <cell r="J52">
            <v>1</v>
          </cell>
          <cell r="K52">
            <v>3</v>
          </cell>
          <cell r="L52">
            <v>4</v>
          </cell>
          <cell r="M52">
            <v>5</v>
          </cell>
          <cell r="N52" t="str">
            <v>SOBREINVENTARIO</v>
          </cell>
        </row>
        <row r="53">
          <cell r="C53" t="str">
            <v>HTJA030089</v>
          </cell>
          <cell r="D53">
            <v>543670.53771294048</v>
          </cell>
          <cell r="E53">
            <v>3</v>
          </cell>
          <cell r="F53">
            <v>300000</v>
          </cell>
          <cell r="G53">
            <v>30</v>
          </cell>
          <cell r="H53">
            <v>3</v>
          </cell>
          <cell r="I53">
            <v>1</v>
          </cell>
          <cell r="J53">
            <v>1</v>
          </cell>
          <cell r="K53">
            <v>3</v>
          </cell>
          <cell r="L53">
            <v>4</v>
          </cell>
          <cell r="M53">
            <v>5</v>
          </cell>
          <cell r="N53" t="str">
            <v>PEDIR</v>
          </cell>
        </row>
        <row r="54">
          <cell r="C54" t="str">
            <v>HTJA030084</v>
          </cell>
          <cell r="D54">
            <v>543670.53771294048</v>
          </cell>
          <cell r="E54">
            <v>1</v>
          </cell>
          <cell r="F54">
            <v>500000</v>
          </cell>
          <cell r="G54">
            <v>15</v>
          </cell>
          <cell r="H54">
            <v>1</v>
          </cell>
          <cell r="I54">
            <v>1</v>
          </cell>
          <cell r="J54">
            <v>1</v>
          </cell>
          <cell r="K54">
            <v>1</v>
          </cell>
          <cell r="L54">
            <v>2</v>
          </cell>
          <cell r="M54">
            <v>3</v>
          </cell>
          <cell r="N54" t="str">
            <v>PEDIR</v>
          </cell>
        </row>
        <row r="55">
          <cell r="C55" t="str">
            <v>HTJA030175</v>
          </cell>
          <cell r="D55">
            <v>543670.53771294048</v>
          </cell>
          <cell r="E55">
            <v>2</v>
          </cell>
          <cell r="F55">
            <v>200000</v>
          </cell>
          <cell r="G55">
            <v>10</v>
          </cell>
          <cell r="H55">
            <v>2</v>
          </cell>
          <cell r="I55">
            <v>1</v>
          </cell>
          <cell r="J55">
            <v>1</v>
          </cell>
          <cell r="K55">
            <v>2</v>
          </cell>
          <cell r="L55">
            <v>3</v>
          </cell>
          <cell r="M55">
            <v>4</v>
          </cell>
          <cell r="N55" t="str">
            <v>PEDIR</v>
          </cell>
        </row>
        <row r="56">
          <cell r="C56" t="str">
            <v>HTJA030173</v>
          </cell>
          <cell r="D56">
            <v>543670.53771294048</v>
          </cell>
          <cell r="E56">
            <v>1</v>
          </cell>
          <cell r="F56">
            <v>200000</v>
          </cell>
          <cell r="G56">
            <v>10</v>
          </cell>
          <cell r="H56">
            <v>2</v>
          </cell>
          <cell r="I56">
            <v>1</v>
          </cell>
          <cell r="J56">
            <v>1</v>
          </cell>
          <cell r="K56">
            <v>2</v>
          </cell>
          <cell r="L56">
            <v>3</v>
          </cell>
          <cell r="M56">
            <v>4</v>
          </cell>
          <cell r="N56" t="str">
            <v>URGENTE</v>
          </cell>
        </row>
        <row r="57">
          <cell r="C57" t="str">
            <v>HTJA030096</v>
          </cell>
          <cell r="D57">
            <v>543670.53771294048</v>
          </cell>
          <cell r="E57">
            <v>6</v>
          </cell>
          <cell r="F57">
            <v>10000</v>
          </cell>
          <cell r="G57">
            <v>10</v>
          </cell>
          <cell r="H57">
            <v>24</v>
          </cell>
          <cell r="I57">
            <v>1</v>
          </cell>
          <cell r="J57">
            <v>1</v>
          </cell>
          <cell r="K57">
            <v>24</v>
          </cell>
          <cell r="L57">
            <v>25</v>
          </cell>
          <cell r="M57">
            <v>26</v>
          </cell>
          <cell r="N57" t="str">
            <v>URGENTE</v>
          </cell>
        </row>
        <row r="58">
          <cell r="C58" t="str">
            <v>HTJA030081</v>
          </cell>
          <cell r="D58">
            <v>529869.80000000005</v>
          </cell>
          <cell r="E58">
            <v>2</v>
          </cell>
          <cell r="F58">
            <v>500000</v>
          </cell>
          <cell r="G58">
            <v>10</v>
          </cell>
          <cell r="H58">
            <v>1</v>
          </cell>
          <cell r="I58">
            <v>1</v>
          </cell>
          <cell r="J58">
            <v>1</v>
          </cell>
          <cell r="K58">
            <v>1</v>
          </cell>
          <cell r="L58">
            <v>2</v>
          </cell>
          <cell r="M58">
            <v>3</v>
          </cell>
          <cell r="N58" t="str">
            <v>PEDIR</v>
          </cell>
        </row>
        <row r="59">
          <cell r="C59" t="str">
            <v>HTJA030009</v>
          </cell>
          <cell r="D59">
            <v>529869.80000000005</v>
          </cell>
          <cell r="E59">
            <v>6</v>
          </cell>
          <cell r="F59">
            <v>100000</v>
          </cell>
          <cell r="G59">
            <v>10</v>
          </cell>
          <cell r="H59">
            <v>3</v>
          </cell>
          <cell r="I59">
            <v>1</v>
          </cell>
          <cell r="J59">
            <v>1</v>
          </cell>
          <cell r="K59">
            <v>3</v>
          </cell>
          <cell r="L59">
            <v>4</v>
          </cell>
          <cell r="M59">
            <v>5</v>
          </cell>
          <cell r="N59" t="str">
            <v>SOBREINVENTARIO</v>
          </cell>
        </row>
        <row r="60">
          <cell r="C60" t="str">
            <v>HTJA030094</v>
          </cell>
          <cell r="D60">
            <v>543670.53771294048</v>
          </cell>
          <cell r="E60">
            <v>3</v>
          </cell>
          <cell r="F60">
            <v>600000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2</v>
          </cell>
          <cell r="M60">
            <v>3</v>
          </cell>
          <cell r="N60" t="str">
            <v>OK</v>
          </cell>
        </row>
        <row r="61">
          <cell r="C61" t="str">
            <v>HTJA030093</v>
          </cell>
          <cell r="D61">
            <v>543670.53771294048</v>
          </cell>
          <cell r="E61">
            <v>3</v>
          </cell>
          <cell r="F61">
            <v>300000</v>
          </cell>
          <cell r="G61">
            <v>30</v>
          </cell>
          <cell r="H61">
            <v>3</v>
          </cell>
          <cell r="I61">
            <v>1</v>
          </cell>
          <cell r="J61">
            <v>1</v>
          </cell>
          <cell r="K61">
            <v>3</v>
          </cell>
          <cell r="L61">
            <v>4</v>
          </cell>
          <cell r="M61">
            <v>5</v>
          </cell>
          <cell r="N61" t="str">
            <v>PEDIR</v>
          </cell>
        </row>
        <row r="62">
          <cell r="C62" t="str">
            <v>HTJA030030</v>
          </cell>
          <cell r="D62">
            <v>543670.53771294048</v>
          </cell>
          <cell r="E62">
            <v>10</v>
          </cell>
          <cell r="F62">
            <v>100000</v>
          </cell>
          <cell r="G62">
            <v>10</v>
          </cell>
          <cell r="H62">
            <v>3</v>
          </cell>
          <cell r="I62">
            <v>1</v>
          </cell>
          <cell r="J62">
            <v>1</v>
          </cell>
          <cell r="K62">
            <v>3</v>
          </cell>
          <cell r="L62">
            <v>4</v>
          </cell>
          <cell r="M62">
            <v>5</v>
          </cell>
          <cell r="N62" t="str">
            <v>SOBREINVENTARIO</v>
          </cell>
        </row>
        <row r="63">
          <cell r="C63" t="str">
            <v>HTJA030076</v>
          </cell>
          <cell r="D63">
            <v>529869.80000000005</v>
          </cell>
          <cell r="E63">
            <v>0</v>
          </cell>
          <cell r="F63">
            <v>10000</v>
          </cell>
          <cell r="G63">
            <v>8</v>
          </cell>
          <cell r="H63">
            <v>19</v>
          </cell>
          <cell r="I63">
            <v>1</v>
          </cell>
          <cell r="J63">
            <v>1</v>
          </cell>
          <cell r="K63">
            <v>19</v>
          </cell>
          <cell r="L63">
            <v>20</v>
          </cell>
          <cell r="M63">
            <v>21</v>
          </cell>
          <cell r="N63" t="str">
            <v>URGENTE</v>
          </cell>
        </row>
        <row r="64">
          <cell r="C64" t="str">
            <v>HTJA030077</v>
          </cell>
          <cell r="D64">
            <v>529869.80000000005</v>
          </cell>
          <cell r="E64">
            <v>10</v>
          </cell>
          <cell r="F64">
            <v>10000</v>
          </cell>
          <cell r="G64">
            <v>10</v>
          </cell>
          <cell r="H64">
            <v>24</v>
          </cell>
          <cell r="I64">
            <v>1</v>
          </cell>
          <cell r="J64">
            <v>1</v>
          </cell>
          <cell r="K64">
            <v>24</v>
          </cell>
          <cell r="L64">
            <v>25</v>
          </cell>
          <cell r="M64">
            <v>26</v>
          </cell>
          <cell r="N64" t="str">
            <v>URGENTE</v>
          </cell>
        </row>
        <row r="65">
          <cell r="C65" t="str">
            <v>HTJA030112</v>
          </cell>
          <cell r="D65">
            <v>543670.53771294048</v>
          </cell>
          <cell r="E65">
            <v>5</v>
          </cell>
          <cell r="F65">
            <v>10000</v>
          </cell>
          <cell r="G65">
            <v>8</v>
          </cell>
          <cell r="H65">
            <v>19</v>
          </cell>
          <cell r="I65">
            <v>1</v>
          </cell>
          <cell r="J65">
            <v>1</v>
          </cell>
          <cell r="K65">
            <v>19</v>
          </cell>
          <cell r="L65">
            <v>20</v>
          </cell>
          <cell r="M65">
            <v>21</v>
          </cell>
          <cell r="N65" t="str">
            <v>URGENTE</v>
          </cell>
        </row>
        <row r="66">
          <cell r="C66" t="str">
            <v>HTJA030161</v>
          </cell>
          <cell r="D66">
            <v>543670.53771294048</v>
          </cell>
          <cell r="E66">
            <v>5</v>
          </cell>
          <cell r="F66">
            <v>20000</v>
          </cell>
          <cell r="G66">
            <v>8</v>
          </cell>
          <cell r="H66">
            <v>10</v>
          </cell>
          <cell r="I66">
            <v>1</v>
          </cell>
          <cell r="J66">
            <v>1</v>
          </cell>
          <cell r="K66">
            <v>10</v>
          </cell>
          <cell r="L66">
            <v>11</v>
          </cell>
          <cell r="M66">
            <v>12</v>
          </cell>
          <cell r="N66" t="str">
            <v>URGENTE</v>
          </cell>
        </row>
        <row r="67">
          <cell r="C67" t="str">
            <v>HTJA030185</v>
          </cell>
          <cell r="D67">
            <v>543670.53771294048</v>
          </cell>
          <cell r="E67">
            <v>5</v>
          </cell>
          <cell r="F67">
            <v>20000</v>
          </cell>
          <cell r="G67">
            <v>8</v>
          </cell>
          <cell r="H67">
            <v>10</v>
          </cell>
          <cell r="I67">
            <v>1</v>
          </cell>
          <cell r="J67">
            <v>1</v>
          </cell>
          <cell r="K67">
            <v>10</v>
          </cell>
          <cell r="L67">
            <v>11</v>
          </cell>
          <cell r="M67">
            <v>12</v>
          </cell>
          <cell r="N67" t="str">
            <v>URGENTE</v>
          </cell>
        </row>
        <row r="68">
          <cell r="C68" t="str">
            <v>HTJA030016</v>
          </cell>
          <cell r="D68">
            <v>529869.80000000005</v>
          </cell>
          <cell r="E68">
            <v>1</v>
          </cell>
          <cell r="F68">
            <v>1000000</v>
          </cell>
          <cell r="G68">
            <v>8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2</v>
          </cell>
          <cell r="M68">
            <v>3</v>
          </cell>
          <cell r="N68" t="str">
            <v>PEDIR</v>
          </cell>
        </row>
        <row r="69">
          <cell r="C69" t="str">
            <v>HTJA030051</v>
          </cell>
          <cell r="D69">
            <v>529869.80000000005</v>
          </cell>
          <cell r="E69">
            <v>3</v>
          </cell>
          <cell r="F69">
            <v>5000</v>
          </cell>
          <cell r="G69">
            <v>8</v>
          </cell>
          <cell r="H69">
            <v>37</v>
          </cell>
          <cell r="I69">
            <v>1</v>
          </cell>
          <cell r="J69">
            <v>1</v>
          </cell>
          <cell r="K69">
            <v>37</v>
          </cell>
          <cell r="L69">
            <v>38</v>
          </cell>
          <cell r="M69">
            <v>39</v>
          </cell>
          <cell r="N69" t="str">
            <v>URGENTE</v>
          </cell>
        </row>
        <row r="70">
          <cell r="C70" t="str">
            <v>HTJA030055</v>
          </cell>
          <cell r="D70">
            <v>529869.80000000005</v>
          </cell>
          <cell r="E70">
            <v>1</v>
          </cell>
          <cell r="F70">
            <v>500000</v>
          </cell>
          <cell r="G70">
            <v>10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2</v>
          </cell>
          <cell r="M70">
            <v>3</v>
          </cell>
          <cell r="N70" t="str">
            <v>PEDIR</v>
          </cell>
        </row>
        <row r="71">
          <cell r="D71">
            <v>0</v>
          </cell>
          <cell r="F71" t="e">
            <v>#N/A</v>
          </cell>
          <cell r="G71" t="e">
            <v>#N/A</v>
          </cell>
          <cell r="H71" t="e">
            <v>#N/A</v>
          </cell>
          <cell r="I71">
            <v>1</v>
          </cell>
          <cell r="J71">
            <v>1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</row>
        <row r="73">
          <cell r="C73" t="str">
            <v>No. Parte Htal:</v>
          </cell>
          <cell r="D73" t="str">
            <v>RQ</v>
          </cell>
          <cell r="E73" t="str">
            <v>Inventario</v>
          </cell>
          <cell r="F73" t="str">
            <v>Pz / Herramental</v>
          </cell>
          <cell r="G73" t="str">
            <v>Tiempo Entrega</v>
          </cell>
          <cell r="H73" t="str">
            <v>Mín</v>
          </cell>
          <cell r="I73" t="str">
            <v>Pto. Reorden</v>
          </cell>
          <cell r="J73" t="str">
            <v>Máx</v>
          </cell>
          <cell r="K73" t="str">
            <v>Mín</v>
          </cell>
          <cell r="L73" t="str">
            <v>Pto. Reorden</v>
          </cell>
          <cell r="M73" t="str">
            <v>Máx</v>
          </cell>
          <cell r="N73" t="str">
            <v>STATUS</v>
          </cell>
        </row>
        <row r="74">
          <cell r="C74" t="str">
            <v>HTJA030026</v>
          </cell>
          <cell r="D74">
            <v>529869.80000000005</v>
          </cell>
          <cell r="E74">
            <v>2</v>
          </cell>
          <cell r="F74">
            <v>500000</v>
          </cell>
          <cell r="G74">
            <v>10</v>
          </cell>
          <cell r="H74">
            <v>1</v>
          </cell>
          <cell r="I74">
            <v>1</v>
          </cell>
          <cell r="J74">
            <v>1</v>
          </cell>
          <cell r="K74">
            <v>1</v>
          </cell>
          <cell r="L74">
            <v>2</v>
          </cell>
          <cell r="M74">
            <v>3</v>
          </cell>
          <cell r="N74" t="str">
            <v>PEDIR</v>
          </cell>
        </row>
        <row r="75">
          <cell r="C75" t="str">
            <v>HTJA030174</v>
          </cell>
          <cell r="D75">
            <v>717399.73771294043</v>
          </cell>
          <cell r="E75">
            <v>4</v>
          </cell>
          <cell r="F75">
            <v>500000</v>
          </cell>
          <cell r="G75">
            <v>10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2</v>
          </cell>
          <cell r="M75">
            <v>3</v>
          </cell>
          <cell r="N75" t="str">
            <v>SOBREINVENTARIO</v>
          </cell>
        </row>
        <row r="76">
          <cell r="C76" t="str">
            <v>HTJA030027</v>
          </cell>
          <cell r="D76">
            <v>353868.60000000003</v>
          </cell>
          <cell r="E76">
            <v>10</v>
          </cell>
          <cell r="F76">
            <v>500000</v>
          </cell>
          <cell r="G76">
            <v>10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2</v>
          </cell>
          <cell r="M76">
            <v>3</v>
          </cell>
          <cell r="N76" t="str">
            <v>SOBREINVENTARIO</v>
          </cell>
        </row>
        <row r="77">
          <cell r="C77" t="str">
            <v>HTJA030033</v>
          </cell>
          <cell r="D77">
            <v>529869.80000000005</v>
          </cell>
          <cell r="E77">
            <v>11</v>
          </cell>
          <cell r="F77">
            <v>500000</v>
          </cell>
          <cell r="G77">
            <v>10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2</v>
          </cell>
          <cell r="M77">
            <v>3</v>
          </cell>
          <cell r="N77" t="str">
            <v>SOBREINVENTARIO</v>
          </cell>
        </row>
        <row r="78">
          <cell r="C78" t="str">
            <v>HTJA030054</v>
          </cell>
          <cell r="D78">
            <v>529869.80000000005</v>
          </cell>
          <cell r="E78">
            <v>6</v>
          </cell>
          <cell r="F78">
            <v>500000</v>
          </cell>
          <cell r="G78">
            <v>10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2</v>
          </cell>
          <cell r="M78">
            <v>3</v>
          </cell>
          <cell r="N78" t="str">
            <v>SOBREINVENTARIO</v>
          </cell>
        </row>
        <row r="79">
          <cell r="C79" t="str">
            <v>HTJA030029</v>
          </cell>
          <cell r="D79">
            <v>529869.80000000005</v>
          </cell>
          <cell r="E79">
            <v>21</v>
          </cell>
          <cell r="F79">
            <v>500000</v>
          </cell>
          <cell r="G79">
            <v>10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2</v>
          </cell>
          <cell r="M79">
            <v>3</v>
          </cell>
          <cell r="N79" t="str">
            <v>SOBREINVENTARIO</v>
          </cell>
        </row>
        <row r="80">
          <cell r="C80" t="str">
            <v>HTJA030028</v>
          </cell>
          <cell r="D80">
            <v>529869.80000000005</v>
          </cell>
          <cell r="E80">
            <v>1</v>
          </cell>
          <cell r="F80">
            <v>500000</v>
          </cell>
          <cell r="G80">
            <v>10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2</v>
          </cell>
          <cell r="M80">
            <v>3</v>
          </cell>
          <cell r="N80" t="str">
            <v>PEDIR</v>
          </cell>
        </row>
        <row r="81">
          <cell r="C81" t="str">
            <v>HTJA030032</v>
          </cell>
          <cell r="D81">
            <v>529869.80000000005</v>
          </cell>
          <cell r="E81">
            <v>14</v>
          </cell>
          <cell r="F81">
            <v>500000</v>
          </cell>
          <cell r="G81">
            <v>10</v>
          </cell>
          <cell r="H81">
            <v>1</v>
          </cell>
          <cell r="I81">
            <v>1</v>
          </cell>
          <cell r="J81">
            <v>1</v>
          </cell>
          <cell r="K81">
            <v>1</v>
          </cell>
          <cell r="L81">
            <v>2</v>
          </cell>
          <cell r="M81">
            <v>3</v>
          </cell>
          <cell r="N81" t="str">
            <v>SOBREINVENTARIO</v>
          </cell>
        </row>
        <row r="82">
          <cell r="C82" t="str">
            <v>HTJA030090</v>
          </cell>
          <cell r="D82">
            <v>529869.80000000005</v>
          </cell>
          <cell r="E82">
            <v>1</v>
          </cell>
          <cell r="F82">
            <v>500000</v>
          </cell>
          <cell r="G82">
            <v>10</v>
          </cell>
          <cell r="H82">
            <v>1</v>
          </cell>
          <cell r="I82">
            <v>1</v>
          </cell>
          <cell r="J82">
            <v>1</v>
          </cell>
          <cell r="K82">
            <v>1</v>
          </cell>
          <cell r="L82">
            <v>2</v>
          </cell>
          <cell r="M82">
            <v>3</v>
          </cell>
          <cell r="N82" t="str">
            <v>PEDIR</v>
          </cell>
        </row>
        <row r="83">
          <cell r="C83" t="str">
            <v>HTJA030022</v>
          </cell>
          <cell r="D83">
            <v>543670.53771294048</v>
          </cell>
          <cell r="E83">
            <v>50</v>
          </cell>
          <cell r="F83">
            <v>300000</v>
          </cell>
          <cell r="G83">
            <v>30</v>
          </cell>
          <cell r="H83">
            <v>3</v>
          </cell>
          <cell r="I83">
            <v>1</v>
          </cell>
          <cell r="J83">
            <v>1</v>
          </cell>
          <cell r="K83">
            <v>3</v>
          </cell>
          <cell r="L83">
            <v>4</v>
          </cell>
          <cell r="M83">
            <v>5</v>
          </cell>
          <cell r="N83" t="str">
            <v>SOBREINVENTARIO</v>
          </cell>
        </row>
        <row r="84">
          <cell r="C84" t="str">
            <v>HTJA030024</v>
          </cell>
          <cell r="D84">
            <v>543670.53771294048</v>
          </cell>
          <cell r="E84">
            <v>1</v>
          </cell>
          <cell r="F84">
            <v>50000</v>
          </cell>
          <cell r="G84">
            <v>8</v>
          </cell>
          <cell r="H84">
            <v>4</v>
          </cell>
          <cell r="I84">
            <v>1</v>
          </cell>
          <cell r="J84">
            <v>1</v>
          </cell>
          <cell r="K84">
            <v>4</v>
          </cell>
          <cell r="L84">
            <v>5</v>
          </cell>
          <cell r="M84">
            <v>6</v>
          </cell>
          <cell r="N84" t="str">
            <v>URGENTE</v>
          </cell>
        </row>
        <row r="85">
          <cell r="C85" t="str">
            <v>HTJA030130</v>
          </cell>
          <cell r="D85">
            <v>505443.13771294052</v>
          </cell>
          <cell r="E85">
            <v>3</v>
          </cell>
          <cell r="F85">
            <v>30000</v>
          </cell>
          <cell r="G85">
            <v>8</v>
          </cell>
          <cell r="H85">
            <v>6</v>
          </cell>
          <cell r="I85">
            <v>1</v>
          </cell>
          <cell r="J85">
            <v>1</v>
          </cell>
          <cell r="K85">
            <v>6</v>
          </cell>
          <cell r="L85">
            <v>7</v>
          </cell>
          <cell r="M85">
            <v>8</v>
          </cell>
          <cell r="N85" t="str">
            <v>URGENTE</v>
          </cell>
        </row>
        <row r="86">
          <cell r="C86" t="str">
            <v>HTJA030095</v>
          </cell>
          <cell r="D86">
            <v>543670.53771294048</v>
          </cell>
          <cell r="E86">
            <v>5</v>
          </cell>
          <cell r="F86">
            <v>30000</v>
          </cell>
          <cell r="G86">
            <v>10</v>
          </cell>
          <cell r="H86">
            <v>8</v>
          </cell>
          <cell r="I86">
            <v>1</v>
          </cell>
          <cell r="J86">
            <v>1</v>
          </cell>
          <cell r="K86">
            <v>8</v>
          </cell>
          <cell r="L86">
            <v>9</v>
          </cell>
          <cell r="M86">
            <v>10</v>
          </cell>
          <cell r="N86" t="str">
            <v>URGENTE</v>
          </cell>
        </row>
        <row r="87">
          <cell r="C87" t="str">
            <v>HTJA030140</v>
          </cell>
          <cell r="D87">
            <v>543670.53771294048</v>
          </cell>
          <cell r="E87">
            <v>5</v>
          </cell>
          <cell r="F87">
            <v>20000</v>
          </cell>
          <cell r="G87">
            <v>10</v>
          </cell>
          <cell r="H87">
            <v>12</v>
          </cell>
          <cell r="I87">
            <v>1</v>
          </cell>
          <cell r="J87">
            <v>1</v>
          </cell>
          <cell r="K87">
            <v>12</v>
          </cell>
          <cell r="L87">
            <v>13</v>
          </cell>
          <cell r="M87">
            <v>14</v>
          </cell>
          <cell r="N87" t="str">
            <v>URGENTE</v>
          </cell>
        </row>
        <row r="88">
          <cell r="C88" t="str">
            <v>HTJA030176</v>
          </cell>
          <cell r="D88">
            <v>543670.53771294048</v>
          </cell>
          <cell r="E88">
            <v>10</v>
          </cell>
          <cell r="F88">
            <v>50000</v>
          </cell>
          <cell r="G88">
            <v>30</v>
          </cell>
          <cell r="H88">
            <v>15</v>
          </cell>
          <cell r="I88">
            <v>1</v>
          </cell>
          <cell r="J88">
            <v>1</v>
          </cell>
          <cell r="K88">
            <v>15</v>
          </cell>
          <cell r="L88">
            <v>16</v>
          </cell>
          <cell r="M88">
            <v>17</v>
          </cell>
          <cell r="N88" t="str">
            <v>URGENTE</v>
          </cell>
        </row>
        <row r="89">
          <cell r="C89" t="str">
            <v>HTJA030097</v>
          </cell>
          <cell r="D89">
            <v>543670.53771294048</v>
          </cell>
          <cell r="E89">
            <v>10</v>
          </cell>
          <cell r="F89">
            <v>300000</v>
          </cell>
          <cell r="G89">
            <v>30</v>
          </cell>
          <cell r="H89">
            <v>3</v>
          </cell>
          <cell r="I89">
            <v>1</v>
          </cell>
          <cell r="J89">
            <v>1</v>
          </cell>
          <cell r="K89">
            <v>3</v>
          </cell>
          <cell r="L89">
            <v>4</v>
          </cell>
          <cell r="M89">
            <v>5</v>
          </cell>
          <cell r="N89" t="str">
            <v>SOBREINVENTARIO</v>
          </cell>
        </row>
        <row r="90">
          <cell r="C90" t="str">
            <v>HTJA030014</v>
          </cell>
          <cell r="D90">
            <v>543670.53771294048</v>
          </cell>
          <cell r="E90">
            <v>2</v>
          </cell>
          <cell r="F90">
            <v>300000</v>
          </cell>
          <cell r="G90">
            <v>30</v>
          </cell>
          <cell r="H90">
            <v>3</v>
          </cell>
          <cell r="I90">
            <v>1</v>
          </cell>
          <cell r="J90">
            <v>1</v>
          </cell>
          <cell r="K90">
            <v>3</v>
          </cell>
          <cell r="L90">
            <v>4</v>
          </cell>
          <cell r="M90">
            <v>5</v>
          </cell>
          <cell r="N90" t="str">
            <v>URGENTE</v>
          </cell>
        </row>
        <row r="91">
          <cell r="C91" t="str">
            <v>HTJA030025</v>
          </cell>
          <cell r="D91">
            <v>543670.53771294048</v>
          </cell>
          <cell r="E91">
            <v>5</v>
          </cell>
          <cell r="F91">
            <v>300000</v>
          </cell>
          <cell r="G91">
            <v>30</v>
          </cell>
          <cell r="H91">
            <v>3</v>
          </cell>
          <cell r="I91">
            <v>1</v>
          </cell>
          <cell r="J91">
            <v>1</v>
          </cell>
          <cell r="K91">
            <v>3</v>
          </cell>
          <cell r="L91">
            <v>4</v>
          </cell>
          <cell r="M91">
            <v>5</v>
          </cell>
          <cell r="N91" t="str">
            <v>OK</v>
          </cell>
        </row>
        <row r="92">
          <cell r="C92" t="str">
            <v>HTJA030186</v>
          </cell>
          <cell r="D92">
            <v>543670.53771294048</v>
          </cell>
          <cell r="E92">
            <v>3</v>
          </cell>
          <cell r="F92">
            <v>300000</v>
          </cell>
          <cell r="G92">
            <v>30</v>
          </cell>
          <cell r="H92">
            <v>3</v>
          </cell>
          <cell r="I92">
            <v>1</v>
          </cell>
          <cell r="J92">
            <v>1</v>
          </cell>
          <cell r="K92">
            <v>3</v>
          </cell>
          <cell r="L92">
            <v>4</v>
          </cell>
          <cell r="M92">
            <v>5</v>
          </cell>
          <cell r="N92" t="str">
            <v>PEDIR</v>
          </cell>
        </row>
        <row r="93">
          <cell r="C93" t="str">
            <v>HTJA030015</v>
          </cell>
          <cell r="D93">
            <v>543670.53771294048</v>
          </cell>
          <cell r="E93">
            <v>2</v>
          </cell>
          <cell r="F93">
            <v>300000</v>
          </cell>
          <cell r="G93">
            <v>30</v>
          </cell>
          <cell r="H93">
            <v>3</v>
          </cell>
          <cell r="I93">
            <v>1</v>
          </cell>
          <cell r="J93">
            <v>1</v>
          </cell>
          <cell r="K93">
            <v>3</v>
          </cell>
          <cell r="L93">
            <v>4</v>
          </cell>
          <cell r="M93">
            <v>5</v>
          </cell>
          <cell r="N93" t="str">
            <v>URGENTE</v>
          </cell>
        </row>
        <row r="94">
          <cell r="C94" t="str">
            <v>HTJA030069</v>
          </cell>
          <cell r="D94">
            <v>543670.53771294048</v>
          </cell>
          <cell r="E94">
            <v>10</v>
          </cell>
          <cell r="F94">
            <v>100000</v>
          </cell>
          <cell r="G94">
            <v>30</v>
          </cell>
          <cell r="H94">
            <v>8</v>
          </cell>
          <cell r="I94">
            <v>1</v>
          </cell>
          <cell r="J94">
            <v>1</v>
          </cell>
          <cell r="K94">
            <v>8</v>
          </cell>
          <cell r="L94">
            <v>9</v>
          </cell>
          <cell r="M94">
            <v>10</v>
          </cell>
          <cell r="N94" t="str">
            <v>OK</v>
          </cell>
        </row>
        <row r="95">
          <cell r="C95" t="str">
            <v>HTJA030064</v>
          </cell>
          <cell r="D95">
            <v>543670.53771294048</v>
          </cell>
          <cell r="E95">
            <v>4</v>
          </cell>
          <cell r="F95">
            <v>50000</v>
          </cell>
          <cell r="G95">
            <v>30</v>
          </cell>
          <cell r="H95">
            <v>15</v>
          </cell>
          <cell r="I95">
            <v>1</v>
          </cell>
          <cell r="J95">
            <v>1</v>
          </cell>
          <cell r="K95">
            <v>15</v>
          </cell>
          <cell r="L95">
            <v>16</v>
          </cell>
          <cell r="M95">
            <v>17</v>
          </cell>
          <cell r="N95" t="str">
            <v>URGENTE</v>
          </cell>
        </row>
        <row r="96">
          <cell r="C96" t="str">
            <v>HTJA030163</v>
          </cell>
          <cell r="D96">
            <v>543670.53771294048</v>
          </cell>
          <cell r="E96">
            <v>7</v>
          </cell>
          <cell r="F96">
            <v>100000</v>
          </cell>
          <cell r="G96">
            <v>30</v>
          </cell>
          <cell r="H96">
            <v>8</v>
          </cell>
          <cell r="I96">
            <v>1</v>
          </cell>
          <cell r="J96">
            <v>1</v>
          </cell>
          <cell r="K96">
            <v>8</v>
          </cell>
          <cell r="L96">
            <v>9</v>
          </cell>
          <cell r="M96">
            <v>10</v>
          </cell>
          <cell r="N96" t="str">
            <v>URGENTE</v>
          </cell>
        </row>
        <row r="97">
          <cell r="C97" t="str">
            <v>HTJA030091</v>
          </cell>
          <cell r="D97">
            <v>543670.53771294048</v>
          </cell>
          <cell r="E97">
            <v>6</v>
          </cell>
          <cell r="F97">
            <v>100000</v>
          </cell>
          <cell r="G97">
            <v>30</v>
          </cell>
          <cell r="H97">
            <v>8</v>
          </cell>
          <cell r="I97">
            <v>1</v>
          </cell>
          <cell r="J97">
            <v>1</v>
          </cell>
          <cell r="K97">
            <v>8</v>
          </cell>
          <cell r="L97">
            <v>9</v>
          </cell>
          <cell r="M97">
            <v>10</v>
          </cell>
          <cell r="N97" t="str">
            <v>URGENTE</v>
          </cell>
        </row>
        <row r="98">
          <cell r="C98" t="str">
            <v>HTJA030188</v>
          </cell>
          <cell r="D98">
            <v>543670.53771294048</v>
          </cell>
          <cell r="E98">
            <v>1</v>
          </cell>
          <cell r="F98">
            <v>100000</v>
          </cell>
          <cell r="G98">
            <v>30</v>
          </cell>
          <cell r="H98">
            <v>8</v>
          </cell>
          <cell r="I98">
            <v>1</v>
          </cell>
          <cell r="J98">
            <v>1</v>
          </cell>
          <cell r="K98">
            <v>8</v>
          </cell>
          <cell r="L98">
            <v>9</v>
          </cell>
          <cell r="M98">
            <v>10</v>
          </cell>
          <cell r="N98" t="str">
            <v>URGENTE</v>
          </cell>
        </row>
        <row r="99">
          <cell r="C99" t="str">
            <v>HTJA030103</v>
          </cell>
          <cell r="D99">
            <v>543670.53771294048</v>
          </cell>
          <cell r="E99">
            <v>10</v>
          </cell>
          <cell r="F99">
            <v>300000</v>
          </cell>
          <cell r="G99">
            <v>30</v>
          </cell>
          <cell r="H99">
            <v>3</v>
          </cell>
          <cell r="I99">
            <v>1</v>
          </cell>
          <cell r="J99">
            <v>1</v>
          </cell>
          <cell r="K99">
            <v>3</v>
          </cell>
          <cell r="L99">
            <v>4</v>
          </cell>
          <cell r="M99">
            <v>5</v>
          </cell>
          <cell r="N99" t="str">
            <v>SOBREINVENTARIO</v>
          </cell>
        </row>
        <row r="100">
          <cell r="C100" t="str">
            <v>HTJA030047</v>
          </cell>
          <cell r="D100">
            <v>543670.53771294048</v>
          </cell>
          <cell r="E100">
            <v>6</v>
          </cell>
          <cell r="F100">
            <v>500000</v>
          </cell>
          <cell r="G100">
            <v>30</v>
          </cell>
          <cell r="H100">
            <v>2</v>
          </cell>
          <cell r="I100">
            <v>1</v>
          </cell>
          <cell r="J100">
            <v>1</v>
          </cell>
          <cell r="K100">
            <v>2</v>
          </cell>
          <cell r="L100">
            <v>3</v>
          </cell>
          <cell r="M100">
            <v>4</v>
          </cell>
          <cell r="N100" t="str">
            <v>SOBREINVENTARIO</v>
          </cell>
        </row>
        <row r="101">
          <cell r="C101" t="str">
            <v>HTJA030048</v>
          </cell>
          <cell r="D101">
            <v>543670.53771294048</v>
          </cell>
          <cell r="E101">
            <v>2</v>
          </cell>
          <cell r="F101">
            <v>500000</v>
          </cell>
          <cell r="G101">
            <v>30</v>
          </cell>
          <cell r="H101">
            <v>2</v>
          </cell>
          <cell r="I101">
            <v>1</v>
          </cell>
          <cell r="J101">
            <v>1</v>
          </cell>
          <cell r="K101">
            <v>2</v>
          </cell>
          <cell r="L101">
            <v>3</v>
          </cell>
          <cell r="M101">
            <v>4</v>
          </cell>
          <cell r="N101" t="str">
            <v>PEDIR</v>
          </cell>
        </row>
        <row r="102">
          <cell r="C102" t="str">
            <v>HTJA030187</v>
          </cell>
          <cell r="D102">
            <v>543670.53771294048</v>
          </cell>
          <cell r="E102">
            <v>2</v>
          </cell>
          <cell r="F102">
            <v>300000</v>
          </cell>
          <cell r="G102">
            <v>30</v>
          </cell>
          <cell r="H102">
            <v>3</v>
          </cell>
          <cell r="I102">
            <v>1</v>
          </cell>
          <cell r="J102">
            <v>1</v>
          </cell>
          <cell r="K102">
            <v>3</v>
          </cell>
          <cell r="L102">
            <v>4</v>
          </cell>
          <cell r="M102">
            <v>5</v>
          </cell>
          <cell r="N102" t="str">
            <v>URGENTE</v>
          </cell>
        </row>
        <row r="103">
          <cell r="D103">
            <v>0</v>
          </cell>
          <cell r="F103" t="e">
            <v>#N/A</v>
          </cell>
          <cell r="G103" t="e">
            <v>#N/A</v>
          </cell>
          <cell r="H103" t="e">
            <v>#N/A</v>
          </cell>
          <cell r="I103">
            <v>1</v>
          </cell>
          <cell r="J103">
            <v>1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</row>
        <row r="104">
          <cell r="D104">
            <v>0</v>
          </cell>
          <cell r="F104" t="e">
            <v>#N/A</v>
          </cell>
          <cell r="G104" t="e">
            <v>#N/A</v>
          </cell>
          <cell r="H104" t="e">
            <v>#N/A</v>
          </cell>
          <cell r="I104">
            <v>1</v>
          </cell>
          <cell r="J104">
            <v>1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</row>
        <row r="105">
          <cell r="D105">
            <v>0</v>
          </cell>
          <cell r="F105" t="e">
            <v>#N/A</v>
          </cell>
          <cell r="G105" t="e">
            <v>#N/A</v>
          </cell>
          <cell r="H105" t="e">
            <v>#N/A</v>
          </cell>
          <cell r="I105">
            <v>1</v>
          </cell>
          <cell r="J105">
            <v>1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</row>
        <row r="107">
          <cell r="C107" t="str">
            <v>No. Parte Htal:</v>
          </cell>
          <cell r="D107" t="str">
            <v>RQ</v>
          </cell>
          <cell r="E107" t="str">
            <v>Inventario</v>
          </cell>
          <cell r="F107" t="str">
            <v>Pz / Herramental</v>
          </cell>
          <cell r="G107" t="str">
            <v>Tiempo Entrega</v>
          </cell>
          <cell r="H107" t="str">
            <v>Mín</v>
          </cell>
          <cell r="I107" t="str">
            <v>Pto. Reorden</v>
          </cell>
          <cell r="J107" t="str">
            <v>Máx</v>
          </cell>
          <cell r="K107" t="str">
            <v>Mín</v>
          </cell>
          <cell r="L107" t="str">
            <v>Pto. Reorden</v>
          </cell>
          <cell r="M107" t="str">
            <v>Máx</v>
          </cell>
          <cell r="N107" t="str">
            <v>STATUS</v>
          </cell>
        </row>
        <row r="108">
          <cell r="C108" t="str">
            <v>HTJA030083</v>
          </cell>
          <cell r="D108">
            <v>173729.2</v>
          </cell>
          <cell r="E108">
            <v>0</v>
          </cell>
          <cell r="F108">
            <v>100000</v>
          </cell>
          <cell r="G108">
            <v>10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2</v>
          </cell>
          <cell r="M108">
            <v>3</v>
          </cell>
          <cell r="N108" t="str">
            <v>URGENTE</v>
          </cell>
        </row>
        <row r="109">
          <cell r="C109" t="str">
            <v>HTJA030019</v>
          </cell>
          <cell r="D109">
            <v>173729.2</v>
          </cell>
          <cell r="E109">
            <v>2</v>
          </cell>
          <cell r="F109">
            <v>20000</v>
          </cell>
          <cell r="G109">
            <v>8</v>
          </cell>
          <cell r="H109">
            <v>4</v>
          </cell>
          <cell r="I109">
            <v>1</v>
          </cell>
          <cell r="J109">
            <v>1</v>
          </cell>
          <cell r="K109">
            <v>4</v>
          </cell>
          <cell r="L109">
            <v>5</v>
          </cell>
          <cell r="M109">
            <v>6</v>
          </cell>
          <cell r="N109" t="str">
            <v>URGENTE</v>
          </cell>
        </row>
        <row r="110">
          <cell r="C110" t="str">
            <v>HTJA030018</v>
          </cell>
          <cell r="D110">
            <v>176001.2</v>
          </cell>
          <cell r="E110">
            <v>5</v>
          </cell>
          <cell r="F110">
            <v>40000</v>
          </cell>
          <cell r="G110">
            <v>8</v>
          </cell>
          <cell r="H110">
            <v>2</v>
          </cell>
          <cell r="I110">
            <v>1</v>
          </cell>
          <cell r="J110">
            <v>1</v>
          </cell>
          <cell r="K110">
            <v>2</v>
          </cell>
          <cell r="L110">
            <v>3</v>
          </cell>
          <cell r="M110">
            <v>4</v>
          </cell>
          <cell r="N110" t="str">
            <v>SOBREINVENTARIO</v>
          </cell>
        </row>
        <row r="111">
          <cell r="C111" t="str">
            <v>N/HT</v>
          </cell>
          <cell r="D111">
            <v>0</v>
          </cell>
          <cell r="F111" t="e">
            <v>#N/A</v>
          </cell>
          <cell r="G111" t="e">
            <v>#N/A</v>
          </cell>
          <cell r="H111" t="e">
            <v>#N/A</v>
          </cell>
          <cell r="I111">
            <v>1</v>
          </cell>
          <cell r="J111">
            <v>1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</row>
        <row r="112">
          <cell r="C112" t="str">
            <v>N/HT</v>
          </cell>
          <cell r="D112">
            <v>0</v>
          </cell>
          <cell r="F112" t="e">
            <v>#N/A</v>
          </cell>
          <cell r="G112" t="e">
            <v>#N/A</v>
          </cell>
          <cell r="H112" t="e">
            <v>#N/A</v>
          </cell>
          <cell r="I112">
            <v>1</v>
          </cell>
          <cell r="J112">
            <v>1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</row>
        <row r="113">
          <cell r="C113" t="str">
            <v>N/HT</v>
          </cell>
          <cell r="D113">
            <v>0</v>
          </cell>
          <cell r="F113" t="e">
            <v>#N/A</v>
          </cell>
          <cell r="G113" t="e">
            <v>#N/A</v>
          </cell>
          <cell r="H113" t="e">
            <v>#N/A</v>
          </cell>
          <cell r="I113">
            <v>1</v>
          </cell>
          <cell r="J113">
            <v>1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</row>
        <row r="114">
          <cell r="C114" t="str">
            <v>N/HT</v>
          </cell>
          <cell r="D114">
            <v>0</v>
          </cell>
          <cell r="F114" t="e">
            <v>#N/A</v>
          </cell>
          <cell r="G114" t="e">
            <v>#N/A</v>
          </cell>
          <cell r="H114" t="e">
            <v>#N/A</v>
          </cell>
          <cell r="I114">
            <v>1</v>
          </cell>
          <cell r="J114">
            <v>1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</row>
        <row r="115">
          <cell r="C115" t="str">
            <v>N/HT</v>
          </cell>
          <cell r="D115">
            <v>0</v>
          </cell>
          <cell r="F115" t="e">
            <v>#N/A</v>
          </cell>
          <cell r="G115" t="e">
            <v>#N/A</v>
          </cell>
          <cell r="H115" t="e">
            <v>#N/A</v>
          </cell>
          <cell r="I115">
            <v>1</v>
          </cell>
          <cell r="J115">
            <v>1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</row>
        <row r="116">
          <cell r="C116" t="str">
            <v>N/HT</v>
          </cell>
          <cell r="D116">
            <v>0</v>
          </cell>
          <cell r="F116" t="e">
            <v>#N/A</v>
          </cell>
          <cell r="G116" t="e">
            <v>#N/A</v>
          </cell>
          <cell r="H116" t="e">
            <v>#N/A</v>
          </cell>
          <cell r="I116">
            <v>1</v>
          </cell>
          <cell r="J116">
            <v>1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</row>
        <row r="117">
          <cell r="C117" t="str">
            <v>N/HT</v>
          </cell>
          <cell r="D117">
            <v>0</v>
          </cell>
          <cell r="F117" t="e">
            <v>#N/A</v>
          </cell>
          <cell r="G117" t="e">
            <v>#N/A</v>
          </cell>
          <cell r="H117" t="e">
            <v>#N/A</v>
          </cell>
          <cell r="I117">
            <v>1</v>
          </cell>
          <cell r="J117">
            <v>1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</row>
        <row r="118">
          <cell r="C118" t="str">
            <v>N/HT</v>
          </cell>
          <cell r="D118">
            <v>0</v>
          </cell>
          <cell r="F118" t="e">
            <v>#N/A</v>
          </cell>
          <cell r="G118" t="e">
            <v>#N/A</v>
          </cell>
          <cell r="H118" t="e">
            <v>#N/A</v>
          </cell>
          <cell r="I118">
            <v>1</v>
          </cell>
          <cell r="J118">
            <v>1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</row>
        <row r="119">
          <cell r="C119" t="str">
            <v>N/HT</v>
          </cell>
          <cell r="D119">
            <v>0</v>
          </cell>
          <cell r="F119" t="e">
            <v>#N/A</v>
          </cell>
          <cell r="G119" t="e">
            <v>#N/A</v>
          </cell>
          <cell r="H119" t="e">
            <v>#N/A</v>
          </cell>
          <cell r="I119">
            <v>1</v>
          </cell>
          <cell r="J119">
            <v>1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</row>
        <row r="120">
          <cell r="C120" t="str">
            <v>N/HT</v>
          </cell>
          <cell r="D120">
            <v>0</v>
          </cell>
          <cell r="F120" t="e">
            <v>#N/A</v>
          </cell>
          <cell r="G120" t="e">
            <v>#N/A</v>
          </cell>
          <cell r="H120" t="e">
            <v>#N/A</v>
          </cell>
          <cell r="I120">
            <v>1</v>
          </cell>
          <cell r="J120">
            <v>1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</row>
        <row r="121">
          <cell r="C121" t="str">
            <v>N/HT</v>
          </cell>
          <cell r="D121">
            <v>0</v>
          </cell>
          <cell r="F121" t="e">
            <v>#N/A</v>
          </cell>
          <cell r="G121" t="e">
            <v>#N/A</v>
          </cell>
          <cell r="H121" t="e">
            <v>#N/A</v>
          </cell>
          <cell r="I121">
            <v>1</v>
          </cell>
          <cell r="J121">
            <v>1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</row>
        <row r="122">
          <cell r="C122" t="str">
            <v>N/HT</v>
          </cell>
          <cell r="D122">
            <v>0</v>
          </cell>
          <cell r="F122" t="e">
            <v>#N/A</v>
          </cell>
          <cell r="G122" t="e">
            <v>#N/A</v>
          </cell>
          <cell r="H122" t="e">
            <v>#N/A</v>
          </cell>
          <cell r="I122">
            <v>1</v>
          </cell>
          <cell r="J122">
            <v>1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</row>
        <row r="123">
          <cell r="C123" t="str">
            <v>N/HT</v>
          </cell>
          <cell r="D123">
            <v>0</v>
          </cell>
          <cell r="F123" t="e">
            <v>#N/A</v>
          </cell>
          <cell r="G123" t="e">
            <v>#N/A</v>
          </cell>
          <cell r="H123" t="e">
            <v>#N/A</v>
          </cell>
          <cell r="I123">
            <v>1</v>
          </cell>
          <cell r="J123">
            <v>1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</row>
        <row r="124">
          <cell r="C124" t="str">
            <v>N/HT</v>
          </cell>
          <cell r="D124">
            <v>0</v>
          </cell>
          <cell r="F124" t="e">
            <v>#N/A</v>
          </cell>
          <cell r="G124" t="e">
            <v>#N/A</v>
          </cell>
          <cell r="H124" t="e">
            <v>#N/A</v>
          </cell>
          <cell r="I124">
            <v>1</v>
          </cell>
          <cell r="J124">
            <v>1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</row>
        <row r="125">
          <cell r="C125" t="str">
            <v>N/HT</v>
          </cell>
          <cell r="D125">
            <v>0</v>
          </cell>
          <cell r="F125" t="e">
            <v>#N/A</v>
          </cell>
          <cell r="G125" t="e">
            <v>#N/A</v>
          </cell>
          <cell r="H125" t="e">
            <v>#N/A</v>
          </cell>
          <cell r="I125">
            <v>1</v>
          </cell>
          <cell r="J125">
            <v>1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</row>
        <row r="126">
          <cell r="C126" t="str">
            <v>N/HT</v>
          </cell>
          <cell r="D126">
            <v>0</v>
          </cell>
          <cell r="F126" t="e">
            <v>#N/A</v>
          </cell>
          <cell r="G126" t="e">
            <v>#N/A</v>
          </cell>
          <cell r="H126" t="e">
            <v>#N/A</v>
          </cell>
          <cell r="I126">
            <v>1</v>
          </cell>
          <cell r="J126">
            <v>1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</row>
        <row r="127">
          <cell r="C127" t="str">
            <v>N/HT</v>
          </cell>
          <cell r="D127">
            <v>0</v>
          </cell>
          <cell r="F127" t="e">
            <v>#N/A</v>
          </cell>
          <cell r="G127" t="e">
            <v>#N/A</v>
          </cell>
          <cell r="H127" t="e">
            <v>#N/A</v>
          </cell>
          <cell r="I127">
            <v>1</v>
          </cell>
          <cell r="J127">
            <v>1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</row>
        <row r="128">
          <cell r="C128" t="str">
            <v>N/HT</v>
          </cell>
          <cell r="D128">
            <v>0</v>
          </cell>
          <cell r="F128" t="e">
            <v>#N/A</v>
          </cell>
          <cell r="G128" t="e">
            <v>#N/A</v>
          </cell>
          <cell r="H128" t="e">
            <v>#N/A</v>
          </cell>
          <cell r="I128">
            <v>1</v>
          </cell>
          <cell r="J128">
            <v>1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</row>
        <row r="129">
          <cell r="C129" t="str">
            <v>N/HT</v>
          </cell>
          <cell r="D129">
            <v>0</v>
          </cell>
          <cell r="F129" t="e">
            <v>#N/A</v>
          </cell>
          <cell r="G129" t="e">
            <v>#N/A</v>
          </cell>
          <cell r="H129" t="e">
            <v>#N/A</v>
          </cell>
          <cell r="I129">
            <v>1</v>
          </cell>
          <cell r="J129">
            <v>1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</row>
        <row r="130">
          <cell r="C130" t="str">
            <v>N/HT</v>
          </cell>
          <cell r="D130">
            <v>0</v>
          </cell>
          <cell r="F130" t="e">
            <v>#N/A</v>
          </cell>
          <cell r="G130" t="e">
            <v>#N/A</v>
          </cell>
          <cell r="H130" t="e">
            <v>#N/A</v>
          </cell>
          <cell r="I130">
            <v>1</v>
          </cell>
          <cell r="J130">
            <v>1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</row>
        <row r="131">
          <cell r="C131" t="str">
            <v>N/HT</v>
          </cell>
          <cell r="D131">
            <v>0</v>
          </cell>
          <cell r="F131" t="e">
            <v>#N/A</v>
          </cell>
          <cell r="G131" t="e">
            <v>#N/A</v>
          </cell>
          <cell r="H131" t="e">
            <v>#N/A</v>
          </cell>
          <cell r="I131">
            <v>1</v>
          </cell>
          <cell r="J131">
            <v>1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</row>
        <row r="132">
          <cell r="C132" t="str">
            <v>N/HT</v>
          </cell>
          <cell r="D132">
            <v>0</v>
          </cell>
          <cell r="F132" t="e">
            <v>#N/A</v>
          </cell>
          <cell r="G132" t="e">
            <v>#N/A</v>
          </cell>
          <cell r="H132" t="e">
            <v>#N/A</v>
          </cell>
          <cell r="I132">
            <v>1</v>
          </cell>
          <cell r="J132">
            <v>1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</row>
        <row r="133">
          <cell r="C133" t="str">
            <v>N/HT</v>
          </cell>
          <cell r="D133">
            <v>0</v>
          </cell>
          <cell r="F133" t="e">
            <v>#N/A</v>
          </cell>
          <cell r="G133" t="e">
            <v>#N/A</v>
          </cell>
          <cell r="H133" t="e">
            <v>#N/A</v>
          </cell>
          <cell r="I133">
            <v>1</v>
          </cell>
          <cell r="J133">
            <v>1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</row>
        <row r="134">
          <cell r="C134" t="str">
            <v>N/HT</v>
          </cell>
          <cell r="D134">
            <v>0</v>
          </cell>
          <cell r="F134" t="e">
            <v>#N/A</v>
          </cell>
          <cell r="G134" t="e">
            <v>#N/A</v>
          </cell>
          <cell r="H134" t="e">
            <v>#N/A</v>
          </cell>
          <cell r="I134">
            <v>1</v>
          </cell>
          <cell r="J134">
            <v>1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</row>
        <row r="135">
          <cell r="C135" t="str">
            <v>N/HT</v>
          </cell>
          <cell r="D135">
            <v>0</v>
          </cell>
          <cell r="F135" t="e">
            <v>#N/A</v>
          </cell>
          <cell r="G135" t="e">
            <v>#N/A</v>
          </cell>
          <cell r="H135" t="e">
            <v>#N/A</v>
          </cell>
          <cell r="I135">
            <v>1</v>
          </cell>
          <cell r="J135">
            <v>1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</row>
        <row r="136">
          <cell r="C136" t="str">
            <v>N/HT</v>
          </cell>
          <cell r="D136">
            <v>0</v>
          </cell>
          <cell r="F136" t="e">
            <v>#N/A</v>
          </cell>
          <cell r="G136" t="e">
            <v>#N/A</v>
          </cell>
          <cell r="H136" t="e">
            <v>#N/A</v>
          </cell>
          <cell r="I136">
            <v>1</v>
          </cell>
          <cell r="J136">
            <v>1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</row>
        <row r="137">
          <cell r="C137" t="str">
            <v>N/HT</v>
          </cell>
          <cell r="D137">
            <v>0</v>
          </cell>
          <cell r="F137" t="e">
            <v>#N/A</v>
          </cell>
          <cell r="G137" t="e">
            <v>#N/A</v>
          </cell>
          <cell r="H137" t="e">
            <v>#N/A</v>
          </cell>
          <cell r="I137">
            <v>1</v>
          </cell>
          <cell r="J137">
            <v>1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</row>
        <row r="138">
          <cell r="C138" t="str">
            <v>N/HT</v>
          </cell>
          <cell r="D138">
            <v>0</v>
          </cell>
          <cell r="F138" t="e">
            <v>#N/A</v>
          </cell>
          <cell r="G138" t="e">
            <v>#N/A</v>
          </cell>
          <cell r="H138" t="e">
            <v>#N/A</v>
          </cell>
          <cell r="I138">
            <v>1</v>
          </cell>
          <cell r="J138">
            <v>1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</row>
        <row r="140">
          <cell r="C140" t="str">
            <v>No. Parte Htal:</v>
          </cell>
          <cell r="D140" t="str">
            <v>RQ</v>
          </cell>
          <cell r="E140" t="str">
            <v>Inventario</v>
          </cell>
          <cell r="F140" t="str">
            <v>Pz / Herramental</v>
          </cell>
          <cell r="G140" t="str">
            <v>Tiempo Entrega</v>
          </cell>
          <cell r="H140" t="str">
            <v>Mín</v>
          </cell>
          <cell r="I140" t="str">
            <v>Pto. Reorden</v>
          </cell>
          <cell r="J140" t="str">
            <v>Máx</v>
          </cell>
          <cell r="K140" t="str">
            <v>Mín</v>
          </cell>
          <cell r="L140" t="str">
            <v>Pto. Reorden</v>
          </cell>
          <cell r="M140" t="str">
            <v>Máx</v>
          </cell>
          <cell r="N140" t="str">
            <v>STATUS</v>
          </cell>
        </row>
        <row r="141">
          <cell r="C141" t="str">
            <v>HTJA030004</v>
          </cell>
          <cell r="D141">
            <v>111022.20000000001</v>
          </cell>
          <cell r="E141">
            <v>3</v>
          </cell>
          <cell r="F141">
            <v>20000</v>
          </cell>
          <cell r="G141">
            <v>8</v>
          </cell>
          <cell r="H141">
            <v>2</v>
          </cell>
          <cell r="I141">
            <v>1</v>
          </cell>
          <cell r="J141">
            <v>1</v>
          </cell>
          <cell r="K141">
            <v>2</v>
          </cell>
          <cell r="L141">
            <v>3</v>
          </cell>
          <cell r="M141">
            <v>4</v>
          </cell>
          <cell r="N141" t="str">
            <v>PEDIR</v>
          </cell>
        </row>
        <row r="142">
          <cell r="C142" t="str">
            <v>HTJA030003</v>
          </cell>
          <cell r="D142">
            <v>94152.200000000012</v>
          </cell>
          <cell r="E142">
            <v>5</v>
          </cell>
          <cell r="F142">
            <v>50000</v>
          </cell>
          <cell r="G142">
            <v>8</v>
          </cell>
          <cell r="H142">
            <v>1</v>
          </cell>
          <cell r="I142">
            <v>1</v>
          </cell>
          <cell r="J142">
            <v>1</v>
          </cell>
          <cell r="K142">
            <v>1</v>
          </cell>
          <cell r="L142">
            <v>2</v>
          </cell>
          <cell r="M142">
            <v>3</v>
          </cell>
          <cell r="N142" t="str">
            <v>SOBREINVENTARIO</v>
          </cell>
        </row>
        <row r="143">
          <cell r="C143" t="str">
            <v>n/a</v>
          </cell>
          <cell r="D143">
            <v>0</v>
          </cell>
          <cell r="F143" t="e">
            <v>#N/A</v>
          </cell>
          <cell r="G143" t="e">
            <v>#N/A</v>
          </cell>
          <cell r="H143" t="e">
            <v>#N/A</v>
          </cell>
          <cell r="I143">
            <v>1</v>
          </cell>
          <cell r="J143">
            <v>1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</row>
        <row r="144">
          <cell r="C144" t="str">
            <v>n/a</v>
          </cell>
          <cell r="D144">
            <v>0</v>
          </cell>
          <cell r="F144" t="e">
            <v>#N/A</v>
          </cell>
          <cell r="G144" t="e">
            <v>#N/A</v>
          </cell>
          <cell r="H144" t="e">
            <v>#N/A</v>
          </cell>
          <cell r="I144">
            <v>1</v>
          </cell>
          <cell r="J144">
            <v>1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</row>
        <row r="145">
          <cell r="C145" t="str">
            <v>N/HT</v>
          </cell>
          <cell r="D145">
            <v>0</v>
          </cell>
          <cell r="F145" t="e">
            <v>#N/A</v>
          </cell>
          <cell r="G145" t="e">
            <v>#N/A</v>
          </cell>
          <cell r="H145" t="e">
            <v>#N/A</v>
          </cell>
          <cell r="I145">
            <v>1</v>
          </cell>
          <cell r="J145">
            <v>1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</row>
        <row r="146">
          <cell r="C146" t="str">
            <v>N/HT</v>
          </cell>
          <cell r="D146">
            <v>0</v>
          </cell>
          <cell r="F146" t="e">
            <v>#N/A</v>
          </cell>
          <cell r="G146" t="e">
            <v>#N/A</v>
          </cell>
          <cell r="H146" t="e">
            <v>#N/A</v>
          </cell>
          <cell r="I146">
            <v>1</v>
          </cell>
          <cell r="J146">
            <v>1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</row>
        <row r="147">
          <cell r="C147" t="str">
            <v>N/HT</v>
          </cell>
          <cell r="D147">
            <v>0</v>
          </cell>
          <cell r="F147" t="e">
            <v>#N/A</v>
          </cell>
          <cell r="G147" t="e">
            <v>#N/A</v>
          </cell>
          <cell r="H147" t="e">
            <v>#N/A</v>
          </cell>
          <cell r="I147">
            <v>1</v>
          </cell>
          <cell r="J147">
            <v>1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</row>
        <row r="148">
          <cell r="C148" t="str">
            <v>N/HT</v>
          </cell>
          <cell r="D148">
            <v>0</v>
          </cell>
          <cell r="F148" t="e">
            <v>#N/A</v>
          </cell>
          <cell r="G148" t="e">
            <v>#N/A</v>
          </cell>
          <cell r="H148" t="e">
            <v>#N/A</v>
          </cell>
          <cell r="I148">
            <v>1</v>
          </cell>
          <cell r="J148">
            <v>1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</row>
        <row r="149">
          <cell r="C149" t="str">
            <v>N/HT</v>
          </cell>
          <cell r="D149">
            <v>0</v>
          </cell>
          <cell r="F149" t="e">
            <v>#N/A</v>
          </cell>
          <cell r="G149" t="e">
            <v>#N/A</v>
          </cell>
          <cell r="H149" t="e">
            <v>#N/A</v>
          </cell>
          <cell r="I149">
            <v>1</v>
          </cell>
          <cell r="J149">
            <v>1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</row>
        <row r="150">
          <cell r="C150" t="str">
            <v>N/HT</v>
          </cell>
          <cell r="D150">
            <v>0</v>
          </cell>
          <cell r="F150" t="e">
            <v>#N/A</v>
          </cell>
          <cell r="G150" t="e">
            <v>#N/A</v>
          </cell>
          <cell r="H150" t="e">
            <v>#N/A</v>
          </cell>
          <cell r="I150">
            <v>1</v>
          </cell>
          <cell r="J150">
            <v>1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</row>
        <row r="151">
          <cell r="C151" t="str">
            <v>N/HT</v>
          </cell>
          <cell r="D151">
            <v>0</v>
          </cell>
          <cell r="F151" t="e">
            <v>#N/A</v>
          </cell>
          <cell r="G151" t="e">
            <v>#N/A</v>
          </cell>
          <cell r="H151" t="e">
            <v>#N/A</v>
          </cell>
          <cell r="I151">
            <v>1</v>
          </cell>
          <cell r="J151">
            <v>1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</row>
        <row r="152">
          <cell r="C152" t="str">
            <v>N/HT</v>
          </cell>
          <cell r="D152">
            <v>0</v>
          </cell>
          <cell r="F152" t="e">
            <v>#N/A</v>
          </cell>
          <cell r="G152" t="e">
            <v>#N/A</v>
          </cell>
          <cell r="H152" t="e">
            <v>#N/A</v>
          </cell>
          <cell r="I152">
            <v>1</v>
          </cell>
          <cell r="J152">
            <v>1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</row>
        <row r="153">
          <cell r="C153" t="str">
            <v>N/HT</v>
          </cell>
          <cell r="D153">
            <v>0</v>
          </cell>
          <cell r="F153" t="e">
            <v>#N/A</v>
          </cell>
          <cell r="G153" t="e">
            <v>#N/A</v>
          </cell>
          <cell r="H153" t="e">
            <v>#N/A</v>
          </cell>
          <cell r="I153">
            <v>1</v>
          </cell>
          <cell r="J153">
            <v>1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</row>
        <row r="154">
          <cell r="C154" t="str">
            <v>N/HT</v>
          </cell>
          <cell r="D154">
            <v>0</v>
          </cell>
          <cell r="F154" t="e">
            <v>#N/A</v>
          </cell>
          <cell r="G154" t="e">
            <v>#N/A</v>
          </cell>
          <cell r="H154" t="e">
            <v>#N/A</v>
          </cell>
          <cell r="I154">
            <v>1</v>
          </cell>
          <cell r="J154">
            <v>1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</row>
        <row r="155">
          <cell r="C155" t="str">
            <v>N/HT</v>
          </cell>
          <cell r="D155">
            <v>0</v>
          </cell>
          <cell r="F155" t="e">
            <v>#N/A</v>
          </cell>
          <cell r="G155" t="e">
            <v>#N/A</v>
          </cell>
          <cell r="H155" t="e">
            <v>#N/A</v>
          </cell>
          <cell r="I155">
            <v>1</v>
          </cell>
          <cell r="J155">
            <v>1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</row>
        <row r="156">
          <cell r="C156" t="str">
            <v>N/HT</v>
          </cell>
          <cell r="D156">
            <v>0</v>
          </cell>
          <cell r="F156" t="e">
            <v>#N/A</v>
          </cell>
          <cell r="G156" t="e">
            <v>#N/A</v>
          </cell>
          <cell r="H156" t="e">
            <v>#N/A</v>
          </cell>
          <cell r="I156">
            <v>1</v>
          </cell>
          <cell r="J156">
            <v>1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</row>
        <row r="157">
          <cell r="C157" t="str">
            <v>N/HT</v>
          </cell>
          <cell r="D157">
            <v>0</v>
          </cell>
          <cell r="F157" t="e">
            <v>#N/A</v>
          </cell>
          <cell r="G157" t="e">
            <v>#N/A</v>
          </cell>
          <cell r="H157" t="e">
            <v>#N/A</v>
          </cell>
          <cell r="I157">
            <v>1</v>
          </cell>
          <cell r="J157">
            <v>1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</row>
        <row r="158">
          <cell r="C158" t="str">
            <v>N/HT</v>
          </cell>
          <cell r="D158">
            <v>0</v>
          </cell>
          <cell r="F158" t="e">
            <v>#N/A</v>
          </cell>
          <cell r="G158" t="e">
            <v>#N/A</v>
          </cell>
          <cell r="H158" t="e">
            <v>#N/A</v>
          </cell>
          <cell r="I158">
            <v>1</v>
          </cell>
          <cell r="J158">
            <v>1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</row>
        <row r="159">
          <cell r="C159" t="str">
            <v>N/HT</v>
          </cell>
          <cell r="D159">
            <v>0</v>
          </cell>
          <cell r="F159" t="e">
            <v>#N/A</v>
          </cell>
          <cell r="G159" t="e">
            <v>#N/A</v>
          </cell>
          <cell r="H159" t="e">
            <v>#N/A</v>
          </cell>
          <cell r="I159">
            <v>1</v>
          </cell>
          <cell r="J159">
            <v>1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</row>
        <row r="160">
          <cell r="C160" t="str">
            <v>N/HT</v>
          </cell>
          <cell r="D160">
            <v>0</v>
          </cell>
          <cell r="F160" t="e">
            <v>#N/A</v>
          </cell>
          <cell r="G160" t="e">
            <v>#N/A</v>
          </cell>
          <cell r="H160" t="e">
            <v>#N/A</v>
          </cell>
          <cell r="I160">
            <v>1</v>
          </cell>
          <cell r="J160">
            <v>1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</row>
        <row r="161">
          <cell r="C161" t="str">
            <v>N/HT</v>
          </cell>
          <cell r="D161">
            <v>0</v>
          </cell>
          <cell r="F161" t="e">
            <v>#N/A</v>
          </cell>
          <cell r="G161" t="e">
            <v>#N/A</v>
          </cell>
          <cell r="H161" t="e">
            <v>#N/A</v>
          </cell>
          <cell r="I161">
            <v>1</v>
          </cell>
          <cell r="J161">
            <v>1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</row>
        <row r="162">
          <cell r="C162" t="str">
            <v>N/HT</v>
          </cell>
          <cell r="D162">
            <v>0</v>
          </cell>
          <cell r="F162" t="e">
            <v>#N/A</v>
          </cell>
          <cell r="G162" t="e">
            <v>#N/A</v>
          </cell>
          <cell r="H162" t="e">
            <v>#N/A</v>
          </cell>
          <cell r="I162">
            <v>1</v>
          </cell>
          <cell r="J162">
            <v>1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</row>
        <row r="163">
          <cell r="C163" t="str">
            <v>N/HT</v>
          </cell>
          <cell r="D163">
            <v>0</v>
          </cell>
          <cell r="F163" t="e">
            <v>#N/A</v>
          </cell>
          <cell r="G163" t="e">
            <v>#N/A</v>
          </cell>
          <cell r="H163" t="e">
            <v>#N/A</v>
          </cell>
          <cell r="I163">
            <v>1</v>
          </cell>
          <cell r="J163">
            <v>1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</row>
        <row r="164">
          <cell r="C164" t="str">
            <v>N/HT</v>
          </cell>
          <cell r="D164">
            <v>0</v>
          </cell>
          <cell r="F164" t="e">
            <v>#N/A</v>
          </cell>
          <cell r="G164" t="e">
            <v>#N/A</v>
          </cell>
          <cell r="H164" t="e">
            <v>#N/A</v>
          </cell>
          <cell r="I164">
            <v>1</v>
          </cell>
          <cell r="J164">
            <v>1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</row>
        <row r="165">
          <cell r="C165" t="str">
            <v>N/HT</v>
          </cell>
          <cell r="D165">
            <v>0</v>
          </cell>
          <cell r="F165" t="e">
            <v>#N/A</v>
          </cell>
          <cell r="G165" t="e">
            <v>#N/A</v>
          </cell>
          <cell r="H165" t="e">
            <v>#N/A</v>
          </cell>
          <cell r="I165">
            <v>1</v>
          </cell>
          <cell r="J165">
            <v>1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</row>
        <row r="166">
          <cell r="C166" t="str">
            <v>N/HT</v>
          </cell>
          <cell r="D166">
            <v>0</v>
          </cell>
          <cell r="F166" t="e">
            <v>#N/A</v>
          </cell>
          <cell r="G166" t="e">
            <v>#N/A</v>
          </cell>
          <cell r="H166" t="e">
            <v>#N/A</v>
          </cell>
          <cell r="I166">
            <v>1</v>
          </cell>
          <cell r="J166">
            <v>1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</row>
        <row r="167">
          <cell r="C167" t="str">
            <v>N/HT</v>
          </cell>
          <cell r="D167">
            <v>0</v>
          </cell>
          <cell r="F167" t="e">
            <v>#N/A</v>
          </cell>
          <cell r="G167" t="e">
            <v>#N/A</v>
          </cell>
          <cell r="H167" t="e">
            <v>#N/A</v>
          </cell>
          <cell r="I167">
            <v>1</v>
          </cell>
          <cell r="J167">
            <v>1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</row>
        <row r="168">
          <cell r="C168" t="str">
            <v>N/HT</v>
          </cell>
          <cell r="D168">
            <v>0</v>
          </cell>
          <cell r="F168" t="e">
            <v>#N/A</v>
          </cell>
          <cell r="G168" t="e">
            <v>#N/A</v>
          </cell>
          <cell r="H168" t="e">
            <v>#N/A</v>
          </cell>
          <cell r="I168">
            <v>1</v>
          </cell>
          <cell r="J168">
            <v>1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</row>
        <row r="169">
          <cell r="C169" t="str">
            <v>N/HT</v>
          </cell>
          <cell r="D169">
            <v>0</v>
          </cell>
          <cell r="F169" t="e">
            <v>#N/A</v>
          </cell>
          <cell r="G169" t="e">
            <v>#N/A</v>
          </cell>
          <cell r="H169" t="e">
            <v>#N/A</v>
          </cell>
          <cell r="I169">
            <v>1</v>
          </cell>
          <cell r="J169">
            <v>1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</row>
        <row r="170">
          <cell r="C170" t="str">
            <v>N/HT</v>
          </cell>
          <cell r="D170">
            <v>0</v>
          </cell>
          <cell r="F170" t="e">
            <v>#N/A</v>
          </cell>
          <cell r="G170" t="e">
            <v>#N/A</v>
          </cell>
          <cell r="H170" t="e">
            <v>#N/A</v>
          </cell>
          <cell r="I170">
            <v>1</v>
          </cell>
          <cell r="J170">
            <v>1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</row>
        <row r="171">
          <cell r="C171" t="str">
            <v>N/HT</v>
          </cell>
          <cell r="D171">
            <v>0</v>
          </cell>
          <cell r="F171" t="e">
            <v>#N/A</v>
          </cell>
          <cell r="G171" t="e">
            <v>#N/A</v>
          </cell>
          <cell r="H171" t="e">
            <v>#N/A</v>
          </cell>
          <cell r="I171">
            <v>1</v>
          </cell>
          <cell r="J171">
            <v>1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</row>
        <row r="172">
          <cell r="C172" t="str">
            <v>N/HT</v>
          </cell>
          <cell r="D172">
            <v>0</v>
          </cell>
          <cell r="F172" t="e">
            <v>#N/A</v>
          </cell>
          <cell r="G172" t="e">
            <v>#N/A</v>
          </cell>
          <cell r="H172" t="e">
            <v>#N/A</v>
          </cell>
          <cell r="I172">
            <v>1</v>
          </cell>
          <cell r="J172">
            <v>1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</row>
        <row r="174">
          <cell r="C174" t="str">
            <v>No. Parte Htal:</v>
          </cell>
          <cell r="D174" t="str">
            <v>RQ</v>
          </cell>
          <cell r="E174" t="str">
            <v>Inventario</v>
          </cell>
          <cell r="F174" t="str">
            <v>Pz / Herramental</v>
          </cell>
          <cell r="G174" t="str">
            <v>Tiempo Entrega</v>
          </cell>
          <cell r="H174" t="str">
            <v>Mín</v>
          </cell>
          <cell r="I174" t="str">
            <v>Pto. Reorden</v>
          </cell>
          <cell r="J174" t="str">
            <v>Máx</v>
          </cell>
          <cell r="K174" t="str">
            <v>Mín</v>
          </cell>
          <cell r="L174" t="str">
            <v>Pto. Reorden</v>
          </cell>
          <cell r="M174" t="str">
            <v>Máx</v>
          </cell>
          <cell r="N174" t="str">
            <v>STATUS</v>
          </cell>
        </row>
        <row r="175">
          <cell r="C175" t="str">
            <v>HTJA030164</v>
          </cell>
          <cell r="D175">
            <v>118243.2</v>
          </cell>
          <cell r="E175">
            <v>0</v>
          </cell>
          <cell r="F175">
            <v>50000</v>
          </cell>
          <cell r="G175">
            <v>8</v>
          </cell>
          <cell r="H175">
            <v>1</v>
          </cell>
          <cell r="I175">
            <v>1</v>
          </cell>
          <cell r="J175">
            <v>1</v>
          </cell>
          <cell r="K175">
            <v>1</v>
          </cell>
          <cell r="L175">
            <v>2</v>
          </cell>
          <cell r="M175">
            <v>3</v>
          </cell>
          <cell r="N175" t="str">
            <v>URGENTE</v>
          </cell>
        </row>
        <row r="176">
          <cell r="C176" t="str">
            <v>HTJA030165</v>
          </cell>
          <cell r="D176">
            <v>128720.2</v>
          </cell>
          <cell r="E176">
            <v>6</v>
          </cell>
          <cell r="F176">
            <v>25000</v>
          </cell>
          <cell r="G176">
            <v>8</v>
          </cell>
          <cell r="H176">
            <v>2</v>
          </cell>
          <cell r="I176">
            <v>1</v>
          </cell>
          <cell r="J176">
            <v>1</v>
          </cell>
          <cell r="K176">
            <v>2</v>
          </cell>
          <cell r="L176">
            <v>3</v>
          </cell>
          <cell r="M176">
            <v>4</v>
          </cell>
          <cell r="N176" t="str">
            <v>SOBREINVENTARIO</v>
          </cell>
        </row>
        <row r="177">
          <cell r="D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>
            <v>1</v>
          </cell>
          <cell r="J177">
            <v>1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</row>
        <row r="178">
          <cell r="D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>
            <v>1</v>
          </cell>
          <cell r="J178">
            <v>1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</row>
        <row r="179">
          <cell r="C179" t="str">
            <v>N/HT</v>
          </cell>
          <cell r="D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>
            <v>1</v>
          </cell>
          <cell r="J179">
            <v>1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</row>
        <row r="180">
          <cell r="C180" t="str">
            <v>N/HT</v>
          </cell>
          <cell r="D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>
            <v>1</v>
          </cell>
          <cell r="J180">
            <v>1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</row>
        <row r="181">
          <cell r="C181" t="str">
            <v>N/HT</v>
          </cell>
          <cell r="D181">
            <v>0</v>
          </cell>
          <cell r="F181" t="e">
            <v>#N/A</v>
          </cell>
          <cell r="G181" t="e">
            <v>#N/A</v>
          </cell>
          <cell r="H181" t="e">
            <v>#N/A</v>
          </cell>
          <cell r="I181">
            <v>1</v>
          </cell>
          <cell r="J181">
            <v>1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</row>
        <row r="182">
          <cell r="C182" t="str">
            <v>N/HT</v>
          </cell>
          <cell r="D182">
            <v>0</v>
          </cell>
          <cell r="F182" t="e">
            <v>#N/A</v>
          </cell>
          <cell r="G182" t="e">
            <v>#N/A</v>
          </cell>
          <cell r="H182" t="e">
            <v>#N/A</v>
          </cell>
          <cell r="I182">
            <v>1</v>
          </cell>
          <cell r="J182">
            <v>1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</row>
        <row r="183">
          <cell r="C183" t="str">
            <v>N/HT</v>
          </cell>
          <cell r="D183">
            <v>0</v>
          </cell>
          <cell r="F183" t="e">
            <v>#N/A</v>
          </cell>
          <cell r="G183" t="e">
            <v>#N/A</v>
          </cell>
          <cell r="H183" t="e">
            <v>#N/A</v>
          </cell>
          <cell r="I183">
            <v>1</v>
          </cell>
          <cell r="J183">
            <v>1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</row>
        <row r="184">
          <cell r="C184" t="str">
            <v>N/HT</v>
          </cell>
          <cell r="D184">
            <v>0</v>
          </cell>
          <cell r="F184" t="e">
            <v>#N/A</v>
          </cell>
          <cell r="G184" t="e">
            <v>#N/A</v>
          </cell>
          <cell r="H184" t="e">
            <v>#N/A</v>
          </cell>
          <cell r="I184">
            <v>1</v>
          </cell>
          <cell r="J184">
            <v>1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</row>
        <row r="185">
          <cell r="C185" t="str">
            <v>N/HT</v>
          </cell>
          <cell r="D185">
            <v>0</v>
          </cell>
          <cell r="F185" t="e">
            <v>#N/A</v>
          </cell>
          <cell r="G185" t="e">
            <v>#N/A</v>
          </cell>
          <cell r="H185" t="e">
            <v>#N/A</v>
          </cell>
          <cell r="I185">
            <v>1</v>
          </cell>
          <cell r="J185">
            <v>1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</row>
        <row r="186">
          <cell r="C186" t="str">
            <v>N/HT</v>
          </cell>
          <cell r="D186">
            <v>0</v>
          </cell>
          <cell r="F186" t="e">
            <v>#N/A</v>
          </cell>
          <cell r="G186" t="e">
            <v>#N/A</v>
          </cell>
          <cell r="H186" t="e">
            <v>#N/A</v>
          </cell>
          <cell r="I186">
            <v>1</v>
          </cell>
          <cell r="J186">
            <v>1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</row>
        <row r="187">
          <cell r="C187" t="str">
            <v>N/HT</v>
          </cell>
          <cell r="D187">
            <v>0</v>
          </cell>
          <cell r="F187" t="e">
            <v>#N/A</v>
          </cell>
          <cell r="G187" t="e">
            <v>#N/A</v>
          </cell>
          <cell r="H187" t="e">
            <v>#N/A</v>
          </cell>
          <cell r="I187">
            <v>1</v>
          </cell>
          <cell r="J187">
            <v>1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</row>
        <row r="188">
          <cell r="C188" t="str">
            <v>N/HT</v>
          </cell>
          <cell r="D188">
            <v>0</v>
          </cell>
          <cell r="F188" t="e">
            <v>#N/A</v>
          </cell>
          <cell r="G188" t="e">
            <v>#N/A</v>
          </cell>
          <cell r="H188" t="e">
            <v>#N/A</v>
          </cell>
          <cell r="I188">
            <v>1</v>
          </cell>
          <cell r="J188">
            <v>1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</row>
        <row r="189">
          <cell r="C189" t="str">
            <v>N/HT</v>
          </cell>
          <cell r="D189">
            <v>0</v>
          </cell>
          <cell r="F189" t="e">
            <v>#N/A</v>
          </cell>
          <cell r="G189" t="e">
            <v>#N/A</v>
          </cell>
          <cell r="H189" t="e">
            <v>#N/A</v>
          </cell>
          <cell r="I189">
            <v>1</v>
          </cell>
          <cell r="J189">
            <v>1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</row>
        <row r="190">
          <cell r="C190" t="str">
            <v>N/HT</v>
          </cell>
          <cell r="D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>
            <v>1</v>
          </cell>
          <cell r="J190">
            <v>1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</row>
        <row r="191">
          <cell r="C191" t="str">
            <v>N/HT</v>
          </cell>
          <cell r="D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>
            <v>1</v>
          </cell>
          <cell r="J191">
            <v>1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</row>
        <row r="192">
          <cell r="C192" t="str">
            <v>N/HT</v>
          </cell>
          <cell r="D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>
            <v>1</v>
          </cell>
          <cell r="J192">
            <v>1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</row>
        <row r="193">
          <cell r="C193" t="str">
            <v>N/HT</v>
          </cell>
          <cell r="D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>
            <v>1</v>
          </cell>
          <cell r="J193">
            <v>1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</row>
        <row r="194">
          <cell r="C194" t="str">
            <v>N/HT</v>
          </cell>
          <cell r="D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>
            <v>1</v>
          </cell>
          <cell r="J194">
            <v>1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</row>
        <row r="195">
          <cell r="C195" t="str">
            <v>N/HT</v>
          </cell>
          <cell r="D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>
            <v>1</v>
          </cell>
          <cell r="J195">
            <v>1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</row>
        <row r="196">
          <cell r="C196" t="str">
            <v>N/HT</v>
          </cell>
          <cell r="D196">
            <v>0</v>
          </cell>
          <cell r="F196" t="e">
            <v>#N/A</v>
          </cell>
          <cell r="G196" t="e">
            <v>#N/A</v>
          </cell>
          <cell r="H196" t="e">
            <v>#N/A</v>
          </cell>
          <cell r="I196">
            <v>1</v>
          </cell>
          <cell r="J196">
            <v>1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</row>
        <row r="197">
          <cell r="C197" t="str">
            <v>N/HT</v>
          </cell>
          <cell r="D197">
            <v>0</v>
          </cell>
          <cell r="F197" t="e">
            <v>#N/A</v>
          </cell>
          <cell r="G197" t="e">
            <v>#N/A</v>
          </cell>
          <cell r="H197" t="e">
            <v>#N/A</v>
          </cell>
          <cell r="I197">
            <v>1</v>
          </cell>
          <cell r="J197">
            <v>1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</row>
        <row r="198">
          <cell r="C198" t="str">
            <v>N/HT</v>
          </cell>
          <cell r="D198">
            <v>0</v>
          </cell>
          <cell r="F198" t="e">
            <v>#N/A</v>
          </cell>
          <cell r="G198" t="e">
            <v>#N/A</v>
          </cell>
          <cell r="H198" t="e">
            <v>#N/A</v>
          </cell>
          <cell r="I198">
            <v>1</v>
          </cell>
          <cell r="J198">
            <v>1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</row>
        <row r="199">
          <cell r="C199" t="str">
            <v>N/HT</v>
          </cell>
          <cell r="D199">
            <v>0</v>
          </cell>
          <cell r="F199" t="e">
            <v>#N/A</v>
          </cell>
          <cell r="G199" t="e">
            <v>#N/A</v>
          </cell>
          <cell r="H199" t="e">
            <v>#N/A</v>
          </cell>
          <cell r="I199">
            <v>1</v>
          </cell>
          <cell r="J199">
            <v>1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</row>
        <row r="200">
          <cell r="C200" t="str">
            <v>N/HT</v>
          </cell>
          <cell r="D200">
            <v>0</v>
          </cell>
          <cell r="F200" t="e">
            <v>#N/A</v>
          </cell>
          <cell r="G200" t="e">
            <v>#N/A</v>
          </cell>
          <cell r="H200" t="e">
            <v>#N/A</v>
          </cell>
          <cell r="I200">
            <v>1</v>
          </cell>
          <cell r="J200">
            <v>1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</row>
        <row r="201">
          <cell r="C201" t="str">
            <v>N/HT</v>
          </cell>
          <cell r="D201">
            <v>0</v>
          </cell>
          <cell r="F201" t="e">
            <v>#N/A</v>
          </cell>
          <cell r="G201" t="e">
            <v>#N/A</v>
          </cell>
          <cell r="H201" t="e">
            <v>#N/A</v>
          </cell>
          <cell r="I201">
            <v>1</v>
          </cell>
          <cell r="J201">
            <v>1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</row>
        <row r="202">
          <cell r="C202" t="str">
            <v>N/HT</v>
          </cell>
          <cell r="D202">
            <v>0</v>
          </cell>
          <cell r="F202" t="e">
            <v>#N/A</v>
          </cell>
          <cell r="G202" t="e">
            <v>#N/A</v>
          </cell>
          <cell r="H202" t="e">
            <v>#N/A</v>
          </cell>
          <cell r="I202">
            <v>1</v>
          </cell>
          <cell r="J202">
            <v>1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</row>
        <row r="203">
          <cell r="C203" t="str">
            <v>N/HT</v>
          </cell>
          <cell r="D203">
            <v>0</v>
          </cell>
          <cell r="E203">
            <v>1</v>
          </cell>
          <cell r="F203" t="e">
            <v>#N/A</v>
          </cell>
          <cell r="G203" t="e">
            <v>#N/A</v>
          </cell>
          <cell r="H203" t="e">
            <v>#N/A</v>
          </cell>
          <cell r="I203">
            <v>1</v>
          </cell>
          <cell r="J203">
            <v>1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</row>
        <row r="204">
          <cell r="C204" t="str">
            <v>N/HT</v>
          </cell>
          <cell r="D204">
            <v>0</v>
          </cell>
          <cell r="F204" t="e">
            <v>#N/A</v>
          </cell>
          <cell r="G204" t="e">
            <v>#N/A</v>
          </cell>
          <cell r="H204" t="e">
            <v>#N/A</v>
          </cell>
          <cell r="I204">
            <v>1</v>
          </cell>
          <cell r="J204">
            <v>1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</row>
        <row r="205">
          <cell r="C205" t="str">
            <v>N/HT</v>
          </cell>
          <cell r="D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>
            <v>1</v>
          </cell>
          <cell r="J205">
            <v>1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</row>
        <row r="206">
          <cell r="C206" t="str">
            <v>N/HT</v>
          </cell>
          <cell r="D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>
            <v>1</v>
          </cell>
          <cell r="J206">
            <v>1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</row>
        <row r="208">
          <cell r="C208" t="str">
            <v>No. Parte Htal:</v>
          </cell>
          <cell r="D208" t="str">
            <v>RQ</v>
          </cell>
          <cell r="E208" t="str">
            <v>Inventario</v>
          </cell>
          <cell r="F208" t="str">
            <v>Pz / Herramental</v>
          </cell>
          <cell r="G208" t="str">
            <v>Tiempo Entrega</v>
          </cell>
          <cell r="H208" t="str">
            <v>Mín</v>
          </cell>
          <cell r="I208" t="str">
            <v>Pto. Reorden</v>
          </cell>
          <cell r="J208" t="str">
            <v>Máx</v>
          </cell>
          <cell r="K208" t="str">
            <v>Mín</v>
          </cell>
          <cell r="L208" t="str">
            <v>Pto. Reorden</v>
          </cell>
          <cell r="M208" t="str">
            <v>Máx</v>
          </cell>
          <cell r="N208" t="str">
            <v>STATUS</v>
          </cell>
        </row>
        <row r="209">
          <cell r="C209" t="str">
            <v>HTJA030073</v>
          </cell>
          <cell r="D209">
            <v>36385</v>
          </cell>
          <cell r="E209">
            <v>4</v>
          </cell>
          <cell r="F209">
            <v>25000</v>
          </cell>
          <cell r="G209">
            <v>8</v>
          </cell>
          <cell r="H209">
            <v>1</v>
          </cell>
          <cell r="I209">
            <v>1</v>
          </cell>
          <cell r="J209">
            <v>1</v>
          </cell>
          <cell r="K209">
            <v>1</v>
          </cell>
          <cell r="L209">
            <v>2</v>
          </cell>
          <cell r="M209">
            <v>3</v>
          </cell>
          <cell r="N209" t="str">
            <v>SOBREINVENTARIO</v>
          </cell>
        </row>
        <row r="210">
          <cell r="C210" t="str">
            <v>HTJA030072</v>
          </cell>
          <cell r="D210">
            <v>36385</v>
          </cell>
          <cell r="E210">
            <v>4</v>
          </cell>
          <cell r="F210">
            <v>60000</v>
          </cell>
          <cell r="G210">
            <v>8</v>
          </cell>
          <cell r="H210">
            <v>1</v>
          </cell>
          <cell r="I210">
            <v>1</v>
          </cell>
          <cell r="J210">
            <v>1</v>
          </cell>
          <cell r="K210">
            <v>1</v>
          </cell>
          <cell r="L210">
            <v>2</v>
          </cell>
          <cell r="M210">
            <v>3</v>
          </cell>
          <cell r="N210" t="str">
            <v>SOBREINVENTARIO</v>
          </cell>
        </row>
        <row r="211">
          <cell r="C211" t="str">
            <v>N/HT</v>
          </cell>
          <cell r="D211">
            <v>0</v>
          </cell>
          <cell r="F211" t="e">
            <v>#N/A</v>
          </cell>
          <cell r="G211" t="e">
            <v>#N/A</v>
          </cell>
          <cell r="H211" t="e">
            <v>#N/A</v>
          </cell>
          <cell r="I211">
            <v>1</v>
          </cell>
          <cell r="J211">
            <v>1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</row>
        <row r="212">
          <cell r="C212" t="str">
            <v>N/HT</v>
          </cell>
          <cell r="D212">
            <v>0</v>
          </cell>
          <cell r="F212" t="e">
            <v>#N/A</v>
          </cell>
          <cell r="G212" t="e">
            <v>#N/A</v>
          </cell>
          <cell r="H212" t="e">
            <v>#N/A</v>
          </cell>
          <cell r="I212">
            <v>1</v>
          </cell>
          <cell r="J212">
            <v>1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</row>
        <row r="213">
          <cell r="C213" t="str">
            <v>N/HT</v>
          </cell>
          <cell r="D213">
            <v>0</v>
          </cell>
          <cell r="F213" t="e">
            <v>#N/A</v>
          </cell>
          <cell r="G213" t="e">
            <v>#N/A</v>
          </cell>
          <cell r="H213" t="e">
            <v>#N/A</v>
          </cell>
          <cell r="I213">
            <v>1</v>
          </cell>
          <cell r="J213">
            <v>1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</row>
        <row r="214">
          <cell r="C214" t="str">
            <v>N/HT</v>
          </cell>
          <cell r="D214">
            <v>0</v>
          </cell>
          <cell r="F214" t="e">
            <v>#N/A</v>
          </cell>
          <cell r="G214" t="e">
            <v>#N/A</v>
          </cell>
          <cell r="H214" t="e">
            <v>#N/A</v>
          </cell>
          <cell r="I214">
            <v>1</v>
          </cell>
          <cell r="J214">
            <v>1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</row>
        <row r="215">
          <cell r="C215" t="str">
            <v>N/HT</v>
          </cell>
          <cell r="D215">
            <v>0</v>
          </cell>
          <cell r="F215" t="e">
            <v>#N/A</v>
          </cell>
          <cell r="G215" t="e">
            <v>#N/A</v>
          </cell>
          <cell r="H215" t="e">
            <v>#N/A</v>
          </cell>
          <cell r="I215">
            <v>1</v>
          </cell>
          <cell r="J215">
            <v>1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</row>
        <row r="216">
          <cell r="C216" t="str">
            <v>N/HT</v>
          </cell>
          <cell r="D216">
            <v>0</v>
          </cell>
          <cell r="F216" t="e">
            <v>#N/A</v>
          </cell>
          <cell r="G216" t="e">
            <v>#N/A</v>
          </cell>
          <cell r="H216" t="e">
            <v>#N/A</v>
          </cell>
          <cell r="I216">
            <v>1</v>
          </cell>
          <cell r="J216">
            <v>1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</row>
        <row r="217">
          <cell r="C217" t="str">
            <v>N/HT</v>
          </cell>
          <cell r="D217">
            <v>0</v>
          </cell>
          <cell r="F217" t="e">
            <v>#N/A</v>
          </cell>
          <cell r="G217" t="e">
            <v>#N/A</v>
          </cell>
          <cell r="H217" t="e">
            <v>#N/A</v>
          </cell>
          <cell r="I217">
            <v>1</v>
          </cell>
          <cell r="J217">
            <v>1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</row>
        <row r="218">
          <cell r="C218" t="str">
            <v>N/HT</v>
          </cell>
          <cell r="D218">
            <v>0</v>
          </cell>
          <cell r="F218" t="e">
            <v>#N/A</v>
          </cell>
          <cell r="G218" t="e">
            <v>#N/A</v>
          </cell>
          <cell r="H218" t="e">
            <v>#N/A</v>
          </cell>
          <cell r="I218">
            <v>1</v>
          </cell>
          <cell r="J218">
            <v>1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</row>
        <row r="219">
          <cell r="C219" t="str">
            <v>N/HT</v>
          </cell>
          <cell r="D219">
            <v>0</v>
          </cell>
          <cell r="F219" t="e">
            <v>#N/A</v>
          </cell>
          <cell r="G219" t="e">
            <v>#N/A</v>
          </cell>
          <cell r="H219" t="e">
            <v>#N/A</v>
          </cell>
          <cell r="I219">
            <v>1</v>
          </cell>
          <cell r="J219">
            <v>1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</row>
        <row r="220">
          <cell r="C220" t="str">
            <v>N/HT</v>
          </cell>
          <cell r="D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>
            <v>1</v>
          </cell>
          <cell r="J220">
            <v>1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</row>
        <row r="221">
          <cell r="C221" t="str">
            <v>N/HT</v>
          </cell>
          <cell r="D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>
            <v>1</v>
          </cell>
          <cell r="J221">
            <v>1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</row>
        <row r="222">
          <cell r="C222" t="str">
            <v>N/HT</v>
          </cell>
          <cell r="D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>
            <v>1</v>
          </cell>
          <cell r="J222">
            <v>1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</row>
        <row r="223">
          <cell r="C223" t="str">
            <v>N/HT</v>
          </cell>
          <cell r="D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>
            <v>1</v>
          </cell>
          <cell r="J223">
            <v>1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</row>
        <row r="224">
          <cell r="C224" t="str">
            <v>N/HT</v>
          </cell>
          <cell r="D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>
            <v>1</v>
          </cell>
          <cell r="J224">
            <v>1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</row>
        <row r="225">
          <cell r="C225" t="str">
            <v>N/HT</v>
          </cell>
          <cell r="D225">
            <v>0</v>
          </cell>
          <cell r="F225" t="e">
            <v>#N/A</v>
          </cell>
          <cell r="G225" t="e">
            <v>#N/A</v>
          </cell>
          <cell r="H225" t="e">
            <v>#N/A</v>
          </cell>
          <cell r="I225">
            <v>1</v>
          </cell>
          <cell r="J225">
            <v>1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</row>
        <row r="226">
          <cell r="C226" t="str">
            <v>N/HT</v>
          </cell>
          <cell r="D226">
            <v>0</v>
          </cell>
          <cell r="F226" t="e">
            <v>#N/A</v>
          </cell>
          <cell r="G226" t="e">
            <v>#N/A</v>
          </cell>
          <cell r="H226" t="e">
            <v>#N/A</v>
          </cell>
          <cell r="I226">
            <v>1</v>
          </cell>
          <cell r="J226">
            <v>1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</row>
        <row r="227">
          <cell r="C227" t="str">
            <v>N/HT</v>
          </cell>
          <cell r="D227">
            <v>0</v>
          </cell>
          <cell r="F227" t="e">
            <v>#N/A</v>
          </cell>
          <cell r="G227" t="e">
            <v>#N/A</v>
          </cell>
          <cell r="H227" t="e">
            <v>#N/A</v>
          </cell>
          <cell r="I227">
            <v>1</v>
          </cell>
          <cell r="J227">
            <v>1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</row>
        <row r="228">
          <cell r="C228" t="str">
            <v>N/HT</v>
          </cell>
          <cell r="D228">
            <v>0</v>
          </cell>
          <cell r="F228" t="e">
            <v>#N/A</v>
          </cell>
          <cell r="G228" t="e">
            <v>#N/A</v>
          </cell>
          <cell r="H228" t="e">
            <v>#N/A</v>
          </cell>
          <cell r="I228">
            <v>1</v>
          </cell>
          <cell r="J228">
            <v>1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</row>
        <row r="229">
          <cell r="C229" t="str">
            <v>N/HT</v>
          </cell>
          <cell r="D229">
            <v>0</v>
          </cell>
          <cell r="F229" t="e">
            <v>#N/A</v>
          </cell>
          <cell r="G229" t="e">
            <v>#N/A</v>
          </cell>
          <cell r="H229" t="e">
            <v>#N/A</v>
          </cell>
          <cell r="I229">
            <v>1</v>
          </cell>
          <cell r="J229">
            <v>1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</row>
        <row r="230">
          <cell r="C230" t="str">
            <v>N/HT</v>
          </cell>
          <cell r="D230">
            <v>0</v>
          </cell>
          <cell r="F230" t="e">
            <v>#N/A</v>
          </cell>
          <cell r="G230" t="e">
            <v>#N/A</v>
          </cell>
          <cell r="H230" t="e">
            <v>#N/A</v>
          </cell>
          <cell r="I230">
            <v>1</v>
          </cell>
          <cell r="J230">
            <v>1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</row>
        <row r="231">
          <cell r="C231" t="str">
            <v>N/HT</v>
          </cell>
          <cell r="D231">
            <v>0</v>
          </cell>
          <cell r="F231" t="e">
            <v>#N/A</v>
          </cell>
          <cell r="G231" t="e">
            <v>#N/A</v>
          </cell>
          <cell r="H231" t="e">
            <v>#N/A</v>
          </cell>
          <cell r="I231">
            <v>1</v>
          </cell>
          <cell r="J231">
            <v>1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</row>
        <row r="232">
          <cell r="C232" t="str">
            <v>N/HT</v>
          </cell>
          <cell r="D232">
            <v>0</v>
          </cell>
          <cell r="F232" t="e">
            <v>#N/A</v>
          </cell>
          <cell r="G232" t="e">
            <v>#N/A</v>
          </cell>
          <cell r="H232" t="e">
            <v>#N/A</v>
          </cell>
          <cell r="I232">
            <v>1</v>
          </cell>
          <cell r="J232">
            <v>1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</row>
        <row r="233">
          <cell r="C233" t="str">
            <v>N/HT</v>
          </cell>
          <cell r="D233">
            <v>0</v>
          </cell>
          <cell r="F233" t="e">
            <v>#N/A</v>
          </cell>
          <cell r="G233" t="e">
            <v>#N/A</v>
          </cell>
          <cell r="H233" t="e">
            <v>#N/A</v>
          </cell>
          <cell r="I233">
            <v>1</v>
          </cell>
          <cell r="J233">
            <v>1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</row>
        <row r="234">
          <cell r="C234" t="str">
            <v>N/HT</v>
          </cell>
          <cell r="D234">
            <v>0</v>
          </cell>
          <cell r="F234" t="e">
            <v>#N/A</v>
          </cell>
          <cell r="G234" t="e">
            <v>#N/A</v>
          </cell>
          <cell r="H234" t="e">
            <v>#N/A</v>
          </cell>
          <cell r="I234">
            <v>1</v>
          </cell>
          <cell r="J234">
            <v>1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</row>
        <row r="235">
          <cell r="C235" t="str">
            <v>N/HT</v>
          </cell>
          <cell r="D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>
            <v>1</v>
          </cell>
          <cell r="J235">
            <v>1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</row>
        <row r="236">
          <cell r="C236" t="str">
            <v>N/HT</v>
          </cell>
          <cell r="D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>
            <v>1</v>
          </cell>
          <cell r="J236">
            <v>1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</row>
        <row r="237">
          <cell r="C237" t="str">
            <v>N/HT</v>
          </cell>
          <cell r="D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>
            <v>1</v>
          </cell>
          <cell r="J237">
            <v>1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</row>
        <row r="238">
          <cell r="C238" t="str">
            <v>N/HT</v>
          </cell>
          <cell r="D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>
            <v>1</v>
          </cell>
          <cell r="J238">
            <v>1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</row>
        <row r="239">
          <cell r="C239" t="str">
            <v>N/HT</v>
          </cell>
          <cell r="D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>
            <v>1</v>
          </cell>
          <cell r="J239">
            <v>1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</row>
        <row r="240">
          <cell r="C240" t="str">
            <v>N/HT</v>
          </cell>
          <cell r="D240">
            <v>0</v>
          </cell>
          <cell r="F240" t="e">
            <v>#N/A</v>
          </cell>
          <cell r="G240" t="e">
            <v>#N/A</v>
          </cell>
          <cell r="H240" t="e">
            <v>#N/A</v>
          </cell>
          <cell r="I240">
            <v>1</v>
          </cell>
          <cell r="J240">
            <v>1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</row>
        <row r="242">
          <cell r="C242" t="str">
            <v>No. Parte Htal:</v>
          </cell>
          <cell r="D242" t="str">
            <v>RQ</v>
          </cell>
          <cell r="E242" t="str">
            <v>Inventario</v>
          </cell>
          <cell r="F242" t="str">
            <v>Pz / Herramental</v>
          </cell>
          <cell r="G242" t="str">
            <v>Tiempo Entrega</v>
          </cell>
          <cell r="H242" t="str">
            <v>Mín</v>
          </cell>
          <cell r="I242" t="str">
            <v>Pto. Reorden</v>
          </cell>
          <cell r="J242" t="str">
            <v>Máx</v>
          </cell>
          <cell r="K242" t="str">
            <v>Mín</v>
          </cell>
          <cell r="L242" t="str">
            <v>Pto. Reorden</v>
          </cell>
          <cell r="M242" t="str">
            <v>Máx</v>
          </cell>
          <cell r="N242" t="str">
            <v>STATUS</v>
          </cell>
        </row>
        <row r="243">
          <cell r="C243" t="str">
            <v>HTJA030166N</v>
          </cell>
          <cell r="D243">
            <v>38227.399999999994</v>
          </cell>
          <cell r="E243">
            <v>2</v>
          </cell>
          <cell r="F243">
            <v>20000</v>
          </cell>
          <cell r="G243">
            <v>30</v>
          </cell>
          <cell r="H243">
            <v>3</v>
          </cell>
          <cell r="I243">
            <v>1</v>
          </cell>
          <cell r="J243">
            <v>1</v>
          </cell>
          <cell r="K243">
            <v>3</v>
          </cell>
          <cell r="L243">
            <v>4</v>
          </cell>
          <cell r="M243">
            <v>5</v>
          </cell>
          <cell r="N243" t="str">
            <v>URGENTE</v>
          </cell>
        </row>
        <row r="244">
          <cell r="C244" t="str">
            <v>HTJA030184N</v>
          </cell>
          <cell r="D244">
            <v>76454.799999999988</v>
          </cell>
          <cell r="E244">
            <v>0</v>
          </cell>
          <cell r="F244">
            <v>500000</v>
          </cell>
          <cell r="G244">
            <v>30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2</v>
          </cell>
          <cell r="M244">
            <v>3</v>
          </cell>
          <cell r="N244" t="str">
            <v>URGENTE</v>
          </cell>
        </row>
        <row r="245">
          <cell r="C245" t="str">
            <v>HTJA030169N</v>
          </cell>
          <cell r="D245">
            <v>38227.399999999994</v>
          </cell>
          <cell r="E245">
            <v>1</v>
          </cell>
          <cell r="F245">
            <v>26000</v>
          </cell>
          <cell r="G245">
            <v>30</v>
          </cell>
          <cell r="H245">
            <v>2</v>
          </cell>
          <cell r="I245">
            <v>1</v>
          </cell>
          <cell r="J245">
            <v>1</v>
          </cell>
          <cell r="K245">
            <v>2</v>
          </cell>
          <cell r="L245">
            <v>3</v>
          </cell>
          <cell r="M245">
            <v>4</v>
          </cell>
          <cell r="N245" t="str">
            <v>URGENTE</v>
          </cell>
        </row>
        <row r="246">
          <cell r="C246" t="str">
            <v>HTJA030168N</v>
          </cell>
          <cell r="D246">
            <v>38227.399999999994</v>
          </cell>
          <cell r="E246">
            <v>1</v>
          </cell>
          <cell r="F246">
            <v>26000</v>
          </cell>
          <cell r="G246">
            <v>30</v>
          </cell>
          <cell r="H246">
            <v>2</v>
          </cell>
          <cell r="I246">
            <v>1</v>
          </cell>
          <cell r="J246">
            <v>1</v>
          </cell>
          <cell r="K246">
            <v>2</v>
          </cell>
          <cell r="L246">
            <v>3</v>
          </cell>
          <cell r="M246">
            <v>4</v>
          </cell>
          <cell r="N246" t="str">
            <v>URGENTE</v>
          </cell>
        </row>
        <row r="247">
          <cell r="C247" t="str">
            <v>HTJA030170N</v>
          </cell>
          <cell r="D247">
            <v>38227.399999999994</v>
          </cell>
          <cell r="E247">
            <v>1</v>
          </cell>
          <cell r="F247">
            <v>20000</v>
          </cell>
          <cell r="G247">
            <v>10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2</v>
          </cell>
          <cell r="M247">
            <v>3</v>
          </cell>
          <cell r="N247" t="str">
            <v>PEDIR</v>
          </cell>
        </row>
        <row r="248">
          <cell r="C248" t="str">
            <v>HTJA030020N</v>
          </cell>
          <cell r="D248">
            <v>38227.399999999994</v>
          </cell>
          <cell r="E248">
            <v>1</v>
          </cell>
          <cell r="F248">
            <v>40000</v>
          </cell>
          <cell r="G248">
            <v>30</v>
          </cell>
          <cell r="H248">
            <v>2</v>
          </cell>
          <cell r="I248">
            <v>1</v>
          </cell>
          <cell r="J248">
            <v>1</v>
          </cell>
          <cell r="K248">
            <v>2</v>
          </cell>
          <cell r="L248">
            <v>3</v>
          </cell>
          <cell r="M248">
            <v>4</v>
          </cell>
          <cell r="N248" t="str">
            <v>URGENTE</v>
          </cell>
        </row>
        <row r="249">
          <cell r="C249" t="str">
            <v>HTJA030167N</v>
          </cell>
          <cell r="D249">
            <v>38227.399999999994</v>
          </cell>
          <cell r="E249">
            <v>1</v>
          </cell>
          <cell r="F249">
            <v>40000</v>
          </cell>
          <cell r="G249">
            <v>10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2</v>
          </cell>
          <cell r="M249">
            <v>3</v>
          </cell>
          <cell r="N249" t="str">
            <v>PEDIR</v>
          </cell>
        </row>
        <row r="250">
          <cell r="C250" t="str">
            <v>N/HT</v>
          </cell>
          <cell r="D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>
            <v>1</v>
          </cell>
          <cell r="J250">
            <v>1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</row>
        <row r="251">
          <cell r="C251" t="str">
            <v>N/HT</v>
          </cell>
          <cell r="D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>
            <v>1</v>
          </cell>
          <cell r="J251">
            <v>1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</row>
        <row r="252">
          <cell r="C252" t="str">
            <v>N/HT</v>
          </cell>
          <cell r="D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>
            <v>1</v>
          </cell>
          <cell r="J252">
            <v>1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</row>
        <row r="253">
          <cell r="C253" t="str">
            <v>N/HT</v>
          </cell>
          <cell r="D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>
            <v>1</v>
          </cell>
          <cell r="J253">
            <v>1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</row>
        <row r="254">
          <cell r="C254" t="str">
            <v>N/HT</v>
          </cell>
          <cell r="D254">
            <v>0</v>
          </cell>
          <cell r="F254" t="e">
            <v>#N/A</v>
          </cell>
          <cell r="G254" t="e">
            <v>#N/A</v>
          </cell>
          <cell r="H254" t="e">
            <v>#N/A</v>
          </cell>
          <cell r="I254">
            <v>1</v>
          </cell>
          <cell r="J254">
            <v>1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</row>
        <row r="255">
          <cell r="C255" t="str">
            <v>N/HT</v>
          </cell>
          <cell r="D255">
            <v>0</v>
          </cell>
          <cell r="F255" t="e">
            <v>#N/A</v>
          </cell>
          <cell r="G255" t="e">
            <v>#N/A</v>
          </cell>
          <cell r="H255" t="e">
            <v>#N/A</v>
          </cell>
          <cell r="I255">
            <v>1</v>
          </cell>
          <cell r="J255">
            <v>1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</row>
        <row r="256">
          <cell r="C256" t="str">
            <v>N/HT</v>
          </cell>
          <cell r="D256">
            <v>0</v>
          </cell>
          <cell r="F256" t="e">
            <v>#N/A</v>
          </cell>
          <cell r="G256" t="e">
            <v>#N/A</v>
          </cell>
          <cell r="H256" t="e">
            <v>#N/A</v>
          </cell>
          <cell r="I256">
            <v>1</v>
          </cell>
          <cell r="J256">
            <v>1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</row>
        <row r="257">
          <cell r="C257" t="str">
            <v>N/HT</v>
          </cell>
          <cell r="D257">
            <v>0</v>
          </cell>
          <cell r="F257" t="e">
            <v>#N/A</v>
          </cell>
          <cell r="G257" t="e">
            <v>#N/A</v>
          </cell>
          <cell r="H257" t="e">
            <v>#N/A</v>
          </cell>
          <cell r="I257">
            <v>1</v>
          </cell>
          <cell r="J257">
            <v>1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</row>
        <row r="258">
          <cell r="C258" t="str">
            <v>N/HT</v>
          </cell>
          <cell r="D258">
            <v>0</v>
          </cell>
          <cell r="F258" t="e">
            <v>#N/A</v>
          </cell>
          <cell r="G258" t="e">
            <v>#N/A</v>
          </cell>
          <cell r="H258" t="e">
            <v>#N/A</v>
          </cell>
          <cell r="I258">
            <v>1</v>
          </cell>
          <cell r="J258">
            <v>1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</row>
        <row r="259">
          <cell r="C259" t="str">
            <v>N/HT</v>
          </cell>
          <cell r="D259">
            <v>0</v>
          </cell>
          <cell r="F259" t="e">
            <v>#N/A</v>
          </cell>
          <cell r="G259" t="e">
            <v>#N/A</v>
          </cell>
          <cell r="H259" t="e">
            <v>#N/A</v>
          </cell>
          <cell r="I259">
            <v>1</v>
          </cell>
          <cell r="J259">
            <v>1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</row>
        <row r="260">
          <cell r="C260" t="str">
            <v>N/HT</v>
          </cell>
          <cell r="D260">
            <v>0</v>
          </cell>
          <cell r="F260" t="e">
            <v>#N/A</v>
          </cell>
          <cell r="G260" t="e">
            <v>#N/A</v>
          </cell>
          <cell r="H260" t="e">
            <v>#N/A</v>
          </cell>
          <cell r="I260">
            <v>1</v>
          </cell>
          <cell r="J260">
            <v>1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</row>
        <row r="261">
          <cell r="C261" t="str">
            <v>N/HT</v>
          </cell>
          <cell r="D261">
            <v>0</v>
          </cell>
          <cell r="F261" t="e">
            <v>#N/A</v>
          </cell>
          <cell r="G261" t="e">
            <v>#N/A</v>
          </cell>
          <cell r="H261" t="e">
            <v>#N/A</v>
          </cell>
          <cell r="I261">
            <v>1</v>
          </cell>
          <cell r="J261">
            <v>1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</row>
        <row r="262">
          <cell r="C262" t="str">
            <v>N/HT</v>
          </cell>
          <cell r="D262">
            <v>0</v>
          </cell>
          <cell r="F262" t="e">
            <v>#N/A</v>
          </cell>
          <cell r="G262" t="e">
            <v>#N/A</v>
          </cell>
          <cell r="H262" t="e">
            <v>#N/A</v>
          </cell>
          <cell r="I262">
            <v>1</v>
          </cell>
          <cell r="J262">
            <v>1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</row>
        <row r="263">
          <cell r="C263" t="str">
            <v>N/HT</v>
          </cell>
          <cell r="D263">
            <v>0</v>
          </cell>
          <cell r="F263" t="e">
            <v>#N/A</v>
          </cell>
          <cell r="G263" t="e">
            <v>#N/A</v>
          </cell>
          <cell r="H263" t="e">
            <v>#N/A</v>
          </cell>
          <cell r="I263">
            <v>1</v>
          </cell>
          <cell r="J263">
            <v>1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</row>
        <row r="264">
          <cell r="C264" t="str">
            <v>N/HT</v>
          </cell>
          <cell r="D264">
            <v>0</v>
          </cell>
          <cell r="F264" t="e">
            <v>#N/A</v>
          </cell>
          <cell r="G264" t="e">
            <v>#N/A</v>
          </cell>
          <cell r="H264" t="e">
            <v>#N/A</v>
          </cell>
          <cell r="I264">
            <v>1</v>
          </cell>
          <cell r="J264">
            <v>1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</row>
        <row r="265">
          <cell r="C265" t="str">
            <v>N/HT</v>
          </cell>
          <cell r="D265">
            <v>0</v>
          </cell>
          <cell r="F265" t="e">
            <v>#N/A</v>
          </cell>
          <cell r="G265" t="e">
            <v>#N/A</v>
          </cell>
          <cell r="H265" t="e">
            <v>#N/A</v>
          </cell>
          <cell r="I265">
            <v>1</v>
          </cell>
          <cell r="J265">
            <v>1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</row>
        <row r="266">
          <cell r="C266" t="str">
            <v>N/HT</v>
          </cell>
          <cell r="D266">
            <v>0</v>
          </cell>
          <cell r="F266" t="e">
            <v>#N/A</v>
          </cell>
          <cell r="G266" t="e">
            <v>#N/A</v>
          </cell>
          <cell r="H266" t="e">
            <v>#N/A</v>
          </cell>
          <cell r="I266">
            <v>1</v>
          </cell>
          <cell r="J266">
            <v>1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</row>
        <row r="267">
          <cell r="C267" t="str">
            <v>N/HT</v>
          </cell>
          <cell r="D267">
            <v>0</v>
          </cell>
          <cell r="F267" t="e">
            <v>#N/A</v>
          </cell>
          <cell r="G267" t="e">
            <v>#N/A</v>
          </cell>
          <cell r="H267" t="e">
            <v>#N/A</v>
          </cell>
          <cell r="I267">
            <v>1</v>
          </cell>
          <cell r="J267">
            <v>1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</row>
        <row r="268">
          <cell r="C268" t="str">
            <v>N/HT</v>
          </cell>
          <cell r="D268">
            <v>0</v>
          </cell>
          <cell r="F268" t="e">
            <v>#N/A</v>
          </cell>
          <cell r="G268" t="e">
            <v>#N/A</v>
          </cell>
          <cell r="H268" t="e">
            <v>#N/A</v>
          </cell>
          <cell r="I268">
            <v>1</v>
          </cell>
          <cell r="J268">
            <v>1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</row>
        <row r="269">
          <cell r="C269" t="str">
            <v>N/HT</v>
          </cell>
          <cell r="D269">
            <v>0</v>
          </cell>
          <cell r="F269" t="e">
            <v>#N/A</v>
          </cell>
          <cell r="G269" t="e">
            <v>#N/A</v>
          </cell>
          <cell r="H269" t="e">
            <v>#N/A</v>
          </cell>
          <cell r="I269">
            <v>1</v>
          </cell>
          <cell r="J269">
            <v>1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</row>
        <row r="270">
          <cell r="C270" t="str">
            <v>N/HT</v>
          </cell>
          <cell r="D270">
            <v>0</v>
          </cell>
          <cell r="F270" t="e">
            <v>#N/A</v>
          </cell>
          <cell r="G270" t="e">
            <v>#N/A</v>
          </cell>
          <cell r="H270" t="e">
            <v>#N/A</v>
          </cell>
          <cell r="I270">
            <v>1</v>
          </cell>
          <cell r="J270">
            <v>1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</row>
        <row r="271">
          <cell r="C271" t="str">
            <v>N/HT</v>
          </cell>
          <cell r="D271">
            <v>0</v>
          </cell>
          <cell r="F271" t="e">
            <v>#N/A</v>
          </cell>
          <cell r="G271" t="e">
            <v>#N/A</v>
          </cell>
          <cell r="H271" t="e">
            <v>#N/A</v>
          </cell>
          <cell r="I271">
            <v>1</v>
          </cell>
          <cell r="J271">
            <v>1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</row>
        <row r="272">
          <cell r="C272" t="str">
            <v>N/HT</v>
          </cell>
          <cell r="D272">
            <v>0</v>
          </cell>
          <cell r="F272" t="e">
            <v>#N/A</v>
          </cell>
          <cell r="G272" t="e">
            <v>#N/A</v>
          </cell>
          <cell r="H272" t="e">
            <v>#N/A</v>
          </cell>
          <cell r="I272">
            <v>1</v>
          </cell>
          <cell r="J272">
            <v>1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</row>
        <row r="273">
          <cell r="C273" t="str">
            <v>N/HT</v>
          </cell>
          <cell r="D273">
            <v>0</v>
          </cell>
          <cell r="F273" t="e">
            <v>#N/A</v>
          </cell>
          <cell r="G273" t="e">
            <v>#N/A</v>
          </cell>
          <cell r="H273" t="e">
            <v>#N/A</v>
          </cell>
          <cell r="I273">
            <v>1</v>
          </cell>
          <cell r="J273">
            <v>1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</row>
        <row r="274">
          <cell r="C274" t="str">
            <v>N/HT</v>
          </cell>
          <cell r="D274">
            <v>0</v>
          </cell>
          <cell r="F274" t="e">
            <v>#N/A</v>
          </cell>
          <cell r="G274" t="e">
            <v>#N/A</v>
          </cell>
          <cell r="H274" t="e">
            <v>#N/A</v>
          </cell>
          <cell r="I274">
            <v>1</v>
          </cell>
          <cell r="J274">
            <v>1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</row>
        <row r="276">
          <cell r="C276" t="str">
            <v>No. Parte Htal:</v>
          </cell>
          <cell r="D276" t="str">
            <v>RQ</v>
          </cell>
          <cell r="E276" t="str">
            <v>Inventario</v>
          </cell>
          <cell r="F276" t="str">
            <v>Pz / Herramental</v>
          </cell>
          <cell r="G276" t="str">
            <v>Tiempo Entrega</v>
          </cell>
          <cell r="H276" t="str">
            <v>Mín</v>
          </cell>
          <cell r="I276" t="str">
            <v>Pto. Reorden</v>
          </cell>
          <cell r="J276" t="str">
            <v>Máx</v>
          </cell>
          <cell r="K276" t="str">
            <v>Mín</v>
          </cell>
          <cell r="L276" t="str">
            <v>Pto. Reorden</v>
          </cell>
          <cell r="M276" t="str">
            <v>Máx</v>
          </cell>
          <cell r="N276" t="str">
            <v>STATUS</v>
          </cell>
        </row>
        <row r="277">
          <cell r="D277">
            <v>0</v>
          </cell>
          <cell r="F277" t="e">
            <v>#N/A</v>
          </cell>
          <cell r="G277" t="e">
            <v>#N/A</v>
          </cell>
          <cell r="H277" t="e">
            <v>#N/A</v>
          </cell>
          <cell r="I277">
            <v>1</v>
          </cell>
          <cell r="J277">
            <v>1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</row>
        <row r="278">
          <cell r="D278">
            <v>0</v>
          </cell>
          <cell r="F278" t="e">
            <v>#N/A</v>
          </cell>
          <cell r="G278" t="e">
            <v>#N/A</v>
          </cell>
          <cell r="H278" t="e">
            <v>#N/A</v>
          </cell>
          <cell r="I278">
            <v>1</v>
          </cell>
          <cell r="J278">
            <v>1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</row>
        <row r="279">
          <cell r="C279" t="str">
            <v>N/HT</v>
          </cell>
          <cell r="D279">
            <v>0</v>
          </cell>
          <cell r="F279" t="e">
            <v>#N/A</v>
          </cell>
          <cell r="G279" t="e">
            <v>#N/A</v>
          </cell>
          <cell r="H279" t="e">
            <v>#N/A</v>
          </cell>
          <cell r="I279">
            <v>1</v>
          </cell>
          <cell r="J279">
            <v>1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</row>
        <row r="280">
          <cell r="C280" t="str">
            <v>N/HT</v>
          </cell>
          <cell r="D280">
            <v>0</v>
          </cell>
          <cell r="F280" t="e">
            <v>#N/A</v>
          </cell>
          <cell r="G280" t="e">
            <v>#N/A</v>
          </cell>
          <cell r="H280" t="e">
            <v>#N/A</v>
          </cell>
          <cell r="I280">
            <v>1</v>
          </cell>
          <cell r="J280">
            <v>1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</row>
        <row r="281">
          <cell r="C281" t="str">
            <v>N/HT</v>
          </cell>
          <cell r="D281">
            <v>0</v>
          </cell>
          <cell r="F281" t="e">
            <v>#N/A</v>
          </cell>
          <cell r="G281" t="e">
            <v>#N/A</v>
          </cell>
          <cell r="H281" t="e">
            <v>#N/A</v>
          </cell>
          <cell r="I281">
            <v>1</v>
          </cell>
          <cell r="J281">
            <v>1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</row>
        <row r="282">
          <cell r="C282" t="str">
            <v>N/HT</v>
          </cell>
          <cell r="D282">
            <v>0</v>
          </cell>
          <cell r="F282" t="e">
            <v>#N/A</v>
          </cell>
          <cell r="G282" t="e">
            <v>#N/A</v>
          </cell>
          <cell r="H282" t="e">
            <v>#N/A</v>
          </cell>
          <cell r="I282">
            <v>1</v>
          </cell>
          <cell r="J282">
            <v>1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</row>
        <row r="283">
          <cell r="C283" t="str">
            <v>N/HT</v>
          </cell>
          <cell r="D283">
            <v>0</v>
          </cell>
          <cell r="F283" t="e">
            <v>#N/A</v>
          </cell>
          <cell r="G283" t="e">
            <v>#N/A</v>
          </cell>
          <cell r="H283" t="e">
            <v>#N/A</v>
          </cell>
          <cell r="I283">
            <v>1</v>
          </cell>
          <cell r="J283">
            <v>1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</row>
        <row r="284">
          <cell r="C284" t="str">
            <v>N/HT</v>
          </cell>
          <cell r="D284">
            <v>0</v>
          </cell>
          <cell r="F284" t="e">
            <v>#N/A</v>
          </cell>
          <cell r="G284" t="e">
            <v>#N/A</v>
          </cell>
          <cell r="H284" t="e">
            <v>#N/A</v>
          </cell>
          <cell r="I284">
            <v>1</v>
          </cell>
          <cell r="J284">
            <v>1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</row>
        <row r="285">
          <cell r="C285" t="str">
            <v>N/HT</v>
          </cell>
          <cell r="D285">
            <v>0</v>
          </cell>
          <cell r="F285" t="e">
            <v>#N/A</v>
          </cell>
          <cell r="G285" t="e">
            <v>#N/A</v>
          </cell>
          <cell r="H285" t="e">
            <v>#N/A</v>
          </cell>
          <cell r="I285">
            <v>1</v>
          </cell>
          <cell r="J285">
            <v>1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</row>
        <row r="286">
          <cell r="C286" t="str">
            <v>N/HT</v>
          </cell>
          <cell r="D286">
            <v>0</v>
          </cell>
          <cell r="F286" t="e">
            <v>#N/A</v>
          </cell>
          <cell r="G286" t="e">
            <v>#N/A</v>
          </cell>
          <cell r="H286" t="e">
            <v>#N/A</v>
          </cell>
          <cell r="I286">
            <v>1</v>
          </cell>
          <cell r="J286">
            <v>1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</row>
        <row r="287">
          <cell r="C287" t="str">
            <v>N/HT</v>
          </cell>
          <cell r="D287">
            <v>0</v>
          </cell>
          <cell r="F287" t="e">
            <v>#N/A</v>
          </cell>
          <cell r="G287" t="e">
            <v>#N/A</v>
          </cell>
          <cell r="H287" t="e">
            <v>#N/A</v>
          </cell>
          <cell r="I287">
            <v>1</v>
          </cell>
          <cell r="J287">
            <v>1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</row>
        <row r="288">
          <cell r="C288" t="str">
            <v>N/HT</v>
          </cell>
          <cell r="D288">
            <v>0</v>
          </cell>
          <cell r="F288" t="e">
            <v>#N/A</v>
          </cell>
          <cell r="G288" t="e">
            <v>#N/A</v>
          </cell>
          <cell r="H288" t="e">
            <v>#N/A</v>
          </cell>
          <cell r="I288">
            <v>1</v>
          </cell>
          <cell r="J288">
            <v>1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</row>
        <row r="289">
          <cell r="C289" t="str">
            <v>N/HT</v>
          </cell>
          <cell r="D289">
            <v>0</v>
          </cell>
          <cell r="F289" t="e">
            <v>#N/A</v>
          </cell>
          <cell r="G289" t="e">
            <v>#N/A</v>
          </cell>
          <cell r="H289" t="e">
            <v>#N/A</v>
          </cell>
          <cell r="I289">
            <v>1</v>
          </cell>
          <cell r="J289">
            <v>1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</row>
        <row r="290">
          <cell r="C290" t="str">
            <v>N/HT</v>
          </cell>
          <cell r="D290">
            <v>0</v>
          </cell>
          <cell r="F290" t="e">
            <v>#N/A</v>
          </cell>
          <cell r="G290" t="e">
            <v>#N/A</v>
          </cell>
          <cell r="H290" t="e">
            <v>#N/A</v>
          </cell>
          <cell r="I290">
            <v>1</v>
          </cell>
          <cell r="J290">
            <v>1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</row>
        <row r="291">
          <cell r="C291" t="str">
            <v>N/HT</v>
          </cell>
          <cell r="D291">
            <v>0</v>
          </cell>
          <cell r="F291" t="e">
            <v>#N/A</v>
          </cell>
          <cell r="G291" t="e">
            <v>#N/A</v>
          </cell>
          <cell r="H291" t="e">
            <v>#N/A</v>
          </cell>
          <cell r="I291">
            <v>1</v>
          </cell>
          <cell r="J291">
            <v>1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</row>
        <row r="292">
          <cell r="C292" t="str">
            <v>N/HT</v>
          </cell>
          <cell r="D292">
            <v>0</v>
          </cell>
          <cell r="F292" t="e">
            <v>#N/A</v>
          </cell>
          <cell r="G292" t="e">
            <v>#N/A</v>
          </cell>
          <cell r="H292" t="e">
            <v>#N/A</v>
          </cell>
          <cell r="I292">
            <v>1</v>
          </cell>
          <cell r="J292">
            <v>1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</row>
        <row r="293">
          <cell r="C293" t="str">
            <v>N/HT</v>
          </cell>
          <cell r="D293">
            <v>0</v>
          </cell>
          <cell r="F293" t="e">
            <v>#N/A</v>
          </cell>
          <cell r="G293" t="e">
            <v>#N/A</v>
          </cell>
          <cell r="H293" t="e">
            <v>#N/A</v>
          </cell>
          <cell r="I293">
            <v>1</v>
          </cell>
          <cell r="J293">
            <v>1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</row>
        <row r="294">
          <cell r="C294" t="str">
            <v>N/HT</v>
          </cell>
          <cell r="D294">
            <v>0</v>
          </cell>
          <cell r="F294" t="e">
            <v>#N/A</v>
          </cell>
          <cell r="G294" t="e">
            <v>#N/A</v>
          </cell>
          <cell r="H294" t="e">
            <v>#N/A</v>
          </cell>
          <cell r="I294">
            <v>1</v>
          </cell>
          <cell r="J294">
            <v>1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</row>
        <row r="295">
          <cell r="C295" t="str">
            <v>N/HT</v>
          </cell>
          <cell r="D295">
            <v>0</v>
          </cell>
          <cell r="F295" t="e">
            <v>#N/A</v>
          </cell>
          <cell r="G295" t="e">
            <v>#N/A</v>
          </cell>
          <cell r="H295" t="e">
            <v>#N/A</v>
          </cell>
          <cell r="I295">
            <v>1</v>
          </cell>
          <cell r="J295">
            <v>1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</row>
        <row r="296">
          <cell r="C296" t="str">
            <v>N/HT</v>
          </cell>
          <cell r="D296">
            <v>0</v>
          </cell>
          <cell r="F296" t="e">
            <v>#N/A</v>
          </cell>
          <cell r="G296" t="e">
            <v>#N/A</v>
          </cell>
          <cell r="H296" t="e">
            <v>#N/A</v>
          </cell>
          <cell r="I296">
            <v>1</v>
          </cell>
          <cell r="J296">
            <v>1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</row>
        <row r="297">
          <cell r="C297" t="str">
            <v>N/HT</v>
          </cell>
          <cell r="D297">
            <v>0</v>
          </cell>
          <cell r="F297" t="e">
            <v>#N/A</v>
          </cell>
          <cell r="G297" t="e">
            <v>#N/A</v>
          </cell>
          <cell r="H297" t="e">
            <v>#N/A</v>
          </cell>
          <cell r="I297">
            <v>1</v>
          </cell>
          <cell r="J297">
            <v>1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</row>
        <row r="298">
          <cell r="C298" t="str">
            <v>N/HT</v>
          </cell>
          <cell r="D298">
            <v>0</v>
          </cell>
          <cell r="F298" t="e">
            <v>#N/A</v>
          </cell>
          <cell r="G298" t="e">
            <v>#N/A</v>
          </cell>
          <cell r="H298" t="e">
            <v>#N/A</v>
          </cell>
          <cell r="I298">
            <v>1</v>
          </cell>
          <cell r="J298">
            <v>1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</row>
        <row r="299">
          <cell r="C299" t="str">
            <v>N/HT</v>
          </cell>
          <cell r="D299">
            <v>0</v>
          </cell>
          <cell r="F299" t="e">
            <v>#N/A</v>
          </cell>
          <cell r="G299" t="e">
            <v>#N/A</v>
          </cell>
          <cell r="H299" t="e">
            <v>#N/A</v>
          </cell>
          <cell r="I299">
            <v>1</v>
          </cell>
          <cell r="J299">
            <v>1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</row>
        <row r="300">
          <cell r="C300" t="str">
            <v>N/HT</v>
          </cell>
          <cell r="D300">
            <v>0</v>
          </cell>
          <cell r="F300" t="e">
            <v>#N/A</v>
          </cell>
          <cell r="G300" t="e">
            <v>#N/A</v>
          </cell>
          <cell r="H300" t="e">
            <v>#N/A</v>
          </cell>
          <cell r="I300">
            <v>1</v>
          </cell>
          <cell r="J300">
            <v>1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</row>
        <row r="301">
          <cell r="C301" t="str">
            <v>N/HT</v>
          </cell>
          <cell r="D301">
            <v>0</v>
          </cell>
          <cell r="F301" t="e">
            <v>#N/A</v>
          </cell>
          <cell r="G301" t="e">
            <v>#N/A</v>
          </cell>
          <cell r="H301" t="e">
            <v>#N/A</v>
          </cell>
          <cell r="I301">
            <v>1</v>
          </cell>
          <cell r="J301">
            <v>1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</row>
        <row r="302">
          <cell r="C302" t="str">
            <v>N/HT</v>
          </cell>
          <cell r="D302">
            <v>0</v>
          </cell>
          <cell r="F302" t="e">
            <v>#N/A</v>
          </cell>
          <cell r="G302" t="e">
            <v>#N/A</v>
          </cell>
          <cell r="H302" t="e">
            <v>#N/A</v>
          </cell>
          <cell r="I302">
            <v>1</v>
          </cell>
          <cell r="J302">
            <v>1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</row>
        <row r="303">
          <cell r="C303" t="str">
            <v>N/HT</v>
          </cell>
          <cell r="D303">
            <v>0</v>
          </cell>
          <cell r="F303" t="e">
            <v>#N/A</v>
          </cell>
          <cell r="G303" t="e">
            <v>#N/A</v>
          </cell>
          <cell r="H303" t="e">
            <v>#N/A</v>
          </cell>
          <cell r="I303">
            <v>1</v>
          </cell>
          <cell r="J303">
            <v>1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</row>
        <row r="304">
          <cell r="C304" t="str">
            <v>N/HT</v>
          </cell>
          <cell r="D304">
            <v>0</v>
          </cell>
          <cell r="F304" t="e">
            <v>#N/A</v>
          </cell>
          <cell r="G304" t="e">
            <v>#N/A</v>
          </cell>
          <cell r="H304" t="e">
            <v>#N/A</v>
          </cell>
          <cell r="I304">
            <v>1</v>
          </cell>
          <cell r="J304">
            <v>1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</row>
        <row r="305">
          <cell r="C305" t="str">
            <v>N/HT</v>
          </cell>
          <cell r="D305">
            <v>0</v>
          </cell>
          <cell r="F305" t="e">
            <v>#N/A</v>
          </cell>
          <cell r="G305" t="e">
            <v>#N/A</v>
          </cell>
          <cell r="H305" t="e">
            <v>#N/A</v>
          </cell>
          <cell r="I305">
            <v>1</v>
          </cell>
          <cell r="J305">
            <v>1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</row>
        <row r="306">
          <cell r="C306" t="str">
            <v>N/HT</v>
          </cell>
          <cell r="D306">
            <v>0</v>
          </cell>
          <cell r="F306" t="e">
            <v>#N/A</v>
          </cell>
          <cell r="G306" t="e">
            <v>#N/A</v>
          </cell>
          <cell r="H306" t="e">
            <v>#N/A</v>
          </cell>
          <cell r="I306">
            <v>1</v>
          </cell>
          <cell r="J306">
            <v>1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</row>
        <row r="307">
          <cell r="C307" t="str">
            <v>N/HT</v>
          </cell>
          <cell r="D307">
            <v>0</v>
          </cell>
          <cell r="F307" t="e">
            <v>#N/A</v>
          </cell>
          <cell r="G307" t="e">
            <v>#N/A</v>
          </cell>
          <cell r="H307" t="e">
            <v>#N/A</v>
          </cell>
          <cell r="I307">
            <v>1</v>
          </cell>
          <cell r="J307">
            <v>1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</row>
        <row r="308">
          <cell r="C308" t="str">
            <v>N/HT</v>
          </cell>
          <cell r="D308">
            <v>0</v>
          </cell>
          <cell r="F308" t="e">
            <v>#N/A</v>
          </cell>
          <cell r="G308" t="e">
            <v>#N/A</v>
          </cell>
          <cell r="H308" t="e">
            <v>#N/A</v>
          </cell>
          <cell r="I308">
            <v>1</v>
          </cell>
          <cell r="J308">
            <v>1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</row>
        <row r="310">
          <cell r="C310" t="str">
            <v>No. Parte Htal:</v>
          </cell>
          <cell r="D310" t="str">
            <v>RQ</v>
          </cell>
          <cell r="E310" t="str">
            <v>Inventario</v>
          </cell>
          <cell r="F310" t="str">
            <v>Pz / Herramental</v>
          </cell>
          <cell r="G310" t="str">
            <v>Tiempo Entrega</v>
          </cell>
          <cell r="H310" t="str">
            <v>Mín</v>
          </cell>
          <cell r="I310" t="str">
            <v>Pto. Reorden</v>
          </cell>
          <cell r="J310" t="str">
            <v>Máx</v>
          </cell>
          <cell r="K310" t="str">
            <v>Mín</v>
          </cell>
          <cell r="L310" t="str">
            <v>Pto. Reorden</v>
          </cell>
          <cell r="M310" t="str">
            <v>Máx</v>
          </cell>
          <cell r="N310" t="str">
            <v>STATUS</v>
          </cell>
        </row>
        <row r="311">
          <cell r="C311" t="str">
            <v>HTJA030166P</v>
          </cell>
          <cell r="D311">
            <v>38227.399999999994</v>
          </cell>
          <cell r="E311">
            <v>10</v>
          </cell>
          <cell r="F311">
            <v>20000</v>
          </cell>
          <cell r="G311">
            <v>30</v>
          </cell>
          <cell r="H311">
            <v>3</v>
          </cell>
          <cell r="I311">
            <v>1</v>
          </cell>
          <cell r="J311">
            <v>1</v>
          </cell>
          <cell r="K311">
            <v>3</v>
          </cell>
          <cell r="L311">
            <v>4</v>
          </cell>
          <cell r="M311">
            <v>5</v>
          </cell>
          <cell r="N311" t="str">
            <v>SOBREINVENTARIO</v>
          </cell>
        </row>
        <row r="312">
          <cell r="C312" t="str">
            <v>HTJA030184P</v>
          </cell>
          <cell r="D312">
            <v>76454.799999999988</v>
          </cell>
          <cell r="E312">
            <v>0</v>
          </cell>
          <cell r="F312">
            <v>500000</v>
          </cell>
          <cell r="G312">
            <v>30</v>
          </cell>
          <cell r="H312">
            <v>1</v>
          </cell>
          <cell r="I312">
            <v>1</v>
          </cell>
          <cell r="J312">
            <v>1</v>
          </cell>
          <cell r="K312">
            <v>1</v>
          </cell>
          <cell r="L312">
            <v>2</v>
          </cell>
          <cell r="M312">
            <v>3</v>
          </cell>
          <cell r="N312" t="str">
            <v>URGENTE</v>
          </cell>
        </row>
        <row r="313">
          <cell r="C313" t="str">
            <v>HTJA030169P</v>
          </cell>
          <cell r="D313">
            <v>38227.399999999994</v>
          </cell>
          <cell r="E313">
            <v>2</v>
          </cell>
          <cell r="F313">
            <v>26000</v>
          </cell>
          <cell r="G313">
            <v>30</v>
          </cell>
          <cell r="H313">
            <v>2</v>
          </cell>
          <cell r="I313">
            <v>1</v>
          </cell>
          <cell r="J313">
            <v>1</v>
          </cell>
          <cell r="K313">
            <v>2</v>
          </cell>
          <cell r="L313">
            <v>3</v>
          </cell>
          <cell r="M313">
            <v>4</v>
          </cell>
          <cell r="N313" t="str">
            <v>PEDIR</v>
          </cell>
        </row>
        <row r="314">
          <cell r="C314" t="str">
            <v>HTJA030168P</v>
          </cell>
          <cell r="D314">
            <v>38227.399999999994</v>
          </cell>
          <cell r="E314">
            <v>5</v>
          </cell>
          <cell r="F314">
            <v>26000</v>
          </cell>
          <cell r="G314">
            <v>30</v>
          </cell>
          <cell r="H314">
            <v>2</v>
          </cell>
          <cell r="I314">
            <v>1</v>
          </cell>
          <cell r="J314">
            <v>1</v>
          </cell>
          <cell r="K314">
            <v>2</v>
          </cell>
          <cell r="L314">
            <v>3</v>
          </cell>
          <cell r="M314">
            <v>4</v>
          </cell>
          <cell r="N314" t="str">
            <v>SOBREINVENTARIO</v>
          </cell>
        </row>
        <row r="315">
          <cell r="C315" t="str">
            <v>HTJA030170P</v>
          </cell>
          <cell r="D315">
            <v>38227.399999999994</v>
          </cell>
          <cell r="E315">
            <v>6</v>
          </cell>
          <cell r="F315">
            <v>20000</v>
          </cell>
          <cell r="G315">
            <v>10</v>
          </cell>
          <cell r="H315">
            <v>1</v>
          </cell>
          <cell r="I315">
            <v>1</v>
          </cell>
          <cell r="J315">
            <v>1</v>
          </cell>
          <cell r="K315">
            <v>1</v>
          </cell>
          <cell r="L315">
            <v>2</v>
          </cell>
          <cell r="M315">
            <v>3</v>
          </cell>
          <cell r="N315" t="str">
            <v>SOBREINVENTARIO</v>
          </cell>
        </row>
        <row r="316">
          <cell r="C316" t="str">
            <v>HTJA030020P</v>
          </cell>
          <cell r="D316">
            <v>38227.399999999994</v>
          </cell>
          <cell r="E316">
            <v>2</v>
          </cell>
          <cell r="F316">
            <v>40000</v>
          </cell>
          <cell r="G316">
            <v>30</v>
          </cell>
          <cell r="H316">
            <v>2</v>
          </cell>
          <cell r="I316">
            <v>1</v>
          </cell>
          <cell r="J316">
            <v>1</v>
          </cell>
          <cell r="K316">
            <v>2</v>
          </cell>
          <cell r="L316">
            <v>3</v>
          </cell>
          <cell r="M316">
            <v>4</v>
          </cell>
          <cell r="N316" t="str">
            <v>PEDIR</v>
          </cell>
        </row>
        <row r="317">
          <cell r="C317" t="str">
            <v>HTJA030167P</v>
          </cell>
          <cell r="D317">
            <v>38227.399999999994</v>
          </cell>
          <cell r="E317">
            <v>3</v>
          </cell>
          <cell r="F317">
            <v>40000</v>
          </cell>
          <cell r="G317">
            <v>10</v>
          </cell>
          <cell r="H317">
            <v>1</v>
          </cell>
          <cell r="I317">
            <v>1</v>
          </cell>
          <cell r="J317">
            <v>1</v>
          </cell>
          <cell r="K317">
            <v>1</v>
          </cell>
          <cell r="L317">
            <v>2</v>
          </cell>
          <cell r="M317">
            <v>3</v>
          </cell>
          <cell r="N317" t="str">
            <v>OK</v>
          </cell>
        </row>
        <row r="318">
          <cell r="C318" t="str">
            <v>N/HT</v>
          </cell>
          <cell r="D318">
            <v>0</v>
          </cell>
          <cell r="F318" t="e">
            <v>#N/A</v>
          </cell>
          <cell r="G318" t="e">
            <v>#N/A</v>
          </cell>
          <cell r="H318" t="e">
            <v>#N/A</v>
          </cell>
          <cell r="I318">
            <v>1</v>
          </cell>
          <cell r="J318">
            <v>1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</row>
        <row r="319">
          <cell r="C319" t="str">
            <v>N/HT</v>
          </cell>
          <cell r="D319">
            <v>0</v>
          </cell>
          <cell r="F319" t="e">
            <v>#N/A</v>
          </cell>
          <cell r="G319" t="e">
            <v>#N/A</v>
          </cell>
          <cell r="H319" t="e">
            <v>#N/A</v>
          </cell>
          <cell r="I319">
            <v>1</v>
          </cell>
          <cell r="J319">
            <v>1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</row>
        <row r="320">
          <cell r="C320" t="str">
            <v>N/HT</v>
          </cell>
          <cell r="D320">
            <v>0</v>
          </cell>
          <cell r="F320" t="e">
            <v>#N/A</v>
          </cell>
          <cell r="G320" t="e">
            <v>#N/A</v>
          </cell>
          <cell r="H320" t="e">
            <v>#N/A</v>
          </cell>
          <cell r="I320">
            <v>1</v>
          </cell>
          <cell r="J320">
            <v>1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</row>
        <row r="321">
          <cell r="C321" t="str">
            <v>N/HT</v>
          </cell>
          <cell r="D321">
            <v>0</v>
          </cell>
          <cell r="F321" t="e">
            <v>#N/A</v>
          </cell>
          <cell r="G321" t="e">
            <v>#N/A</v>
          </cell>
          <cell r="H321" t="e">
            <v>#N/A</v>
          </cell>
          <cell r="I321">
            <v>1</v>
          </cell>
          <cell r="J321">
            <v>1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</row>
        <row r="322">
          <cell r="C322" t="str">
            <v>N/HT</v>
          </cell>
          <cell r="D322">
            <v>0</v>
          </cell>
          <cell r="F322" t="e">
            <v>#N/A</v>
          </cell>
          <cell r="G322" t="e">
            <v>#N/A</v>
          </cell>
          <cell r="H322" t="e">
            <v>#N/A</v>
          </cell>
          <cell r="I322">
            <v>1</v>
          </cell>
          <cell r="J322">
            <v>1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</row>
        <row r="323">
          <cell r="C323" t="str">
            <v>N/HT</v>
          </cell>
          <cell r="D323">
            <v>0</v>
          </cell>
          <cell r="F323" t="e">
            <v>#N/A</v>
          </cell>
          <cell r="G323" t="e">
            <v>#N/A</v>
          </cell>
          <cell r="H323" t="e">
            <v>#N/A</v>
          </cell>
          <cell r="I323">
            <v>1</v>
          </cell>
          <cell r="J323">
            <v>1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</row>
        <row r="324">
          <cell r="C324" t="str">
            <v>N/HT</v>
          </cell>
          <cell r="D324">
            <v>0</v>
          </cell>
          <cell r="F324" t="e">
            <v>#N/A</v>
          </cell>
          <cell r="G324" t="e">
            <v>#N/A</v>
          </cell>
          <cell r="H324" t="e">
            <v>#N/A</v>
          </cell>
          <cell r="I324">
            <v>1</v>
          </cell>
          <cell r="J324">
            <v>1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</row>
        <row r="325">
          <cell r="C325" t="str">
            <v>N/HT</v>
          </cell>
          <cell r="D325">
            <v>0</v>
          </cell>
          <cell r="F325" t="e">
            <v>#N/A</v>
          </cell>
          <cell r="G325" t="e">
            <v>#N/A</v>
          </cell>
          <cell r="H325" t="e">
            <v>#N/A</v>
          </cell>
          <cell r="I325">
            <v>1</v>
          </cell>
          <cell r="J325">
            <v>1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</row>
        <row r="326">
          <cell r="C326" t="str">
            <v>N/HT</v>
          </cell>
          <cell r="D326">
            <v>0</v>
          </cell>
          <cell r="F326" t="e">
            <v>#N/A</v>
          </cell>
          <cell r="G326" t="e">
            <v>#N/A</v>
          </cell>
          <cell r="H326" t="e">
            <v>#N/A</v>
          </cell>
          <cell r="I326">
            <v>1</v>
          </cell>
          <cell r="J326">
            <v>1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</row>
        <row r="327">
          <cell r="C327" t="str">
            <v>N/HT</v>
          </cell>
          <cell r="D327">
            <v>0</v>
          </cell>
          <cell r="F327" t="e">
            <v>#N/A</v>
          </cell>
          <cell r="G327" t="e">
            <v>#N/A</v>
          </cell>
          <cell r="H327" t="e">
            <v>#N/A</v>
          </cell>
          <cell r="I327">
            <v>1</v>
          </cell>
          <cell r="J327">
            <v>1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</row>
        <row r="328">
          <cell r="C328" t="str">
            <v>N/HT</v>
          </cell>
          <cell r="D328">
            <v>0</v>
          </cell>
          <cell r="F328" t="e">
            <v>#N/A</v>
          </cell>
          <cell r="G328" t="e">
            <v>#N/A</v>
          </cell>
          <cell r="H328" t="e">
            <v>#N/A</v>
          </cell>
          <cell r="I328">
            <v>1</v>
          </cell>
          <cell r="J328">
            <v>1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</row>
        <row r="329">
          <cell r="C329" t="str">
            <v>N/HT</v>
          </cell>
          <cell r="D329">
            <v>0</v>
          </cell>
          <cell r="F329" t="e">
            <v>#N/A</v>
          </cell>
          <cell r="G329" t="e">
            <v>#N/A</v>
          </cell>
          <cell r="H329" t="e">
            <v>#N/A</v>
          </cell>
          <cell r="I329">
            <v>1</v>
          </cell>
          <cell r="J329">
            <v>1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</row>
        <row r="330">
          <cell r="C330" t="str">
            <v>N/HT</v>
          </cell>
          <cell r="D330">
            <v>0</v>
          </cell>
          <cell r="F330" t="e">
            <v>#N/A</v>
          </cell>
          <cell r="G330" t="e">
            <v>#N/A</v>
          </cell>
          <cell r="H330" t="e">
            <v>#N/A</v>
          </cell>
          <cell r="I330">
            <v>1</v>
          </cell>
          <cell r="J330">
            <v>1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</row>
        <row r="331">
          <cell r="C331" t="str">
            <v>N/HT</v>
          </cell>
          <cell r="D331">
            <v>0</v>
          </cell>
          <cell r="F331" t="e">
            <v>#N/A</v>
          </cell>
          <cell r="G331" t="e">
            <v>#N/A</v>
          </cell>
          <cell r="H331" t="e">
            <v>#N/A</v>
          </cell>
          <cell r="I331">
            <v>1</v>
          </cell>
          <cell r="J331">
            <v>1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</row>
        <row r="332">
          <cell r="C332" t="str">
            <v>N/HT</v>
          </cell>
          <cell r="D332">
            <v>0</v>
          </cell>
          <cell r="F332" t="e">
            <v>#N/A</v>
          </cell>
          <cell r="G332" t="e">
            <v>#N/A</v>
          </cell>
          <cell r="H332" t="e">
            <v>#N/A</v>
          </cell>
          <cell r="I332">
            <v>1</v>
          </cell>
          <cell r="J332">
            <v>1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</row>
        <row r="333">
          <cell r="C333" t="str">
            <v>N/HT</v>
          </cell>
          <cell r="D333">
            <v>0</v>
          </cell>
          <cell r="F333" t="e">
            <v>#N/A</v>
          </cell>
          <cell r="G333" t="e">
            <v>#N/A</v>
          </cell>
          <cell r="H333" t="e">
            <v>#N/A</v>
          </cell>
          <cell r="I333">
            <v>1</v>
          </cell>
          <cell r="J333">
            <v>1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</row>
        <row r="334">
          <cell r="C334" t="str">
            <v>N/HT</v>
          </cell>
          <cell r="D334">
            <v>0</v>
          </cell>
          <cell r="F334" t="e">
            <v>#N/A</v>
          </cell>
          <cell r="G334" t="e">
            <v>#N/A</v>
          </cell>
          <cell r="H334" t="e">
            <v>#N/A</v>
          </cell>
          <cell r="I334">
            <v>1</v>
          </cell>
          <cell r="J334">
            <v>1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</row>
        <row r="335">
          <cell r="C335" t="str">
            <v>N/HT</v>
          </cell>
          <cell r="D335">
            <v>0</v>
          </cell>
          <cell r="F335" t="e">
            <v>#N/A</v>
          </cell>
          <cell r="G335" t="e">
            <v>#N/A</v>
          </cell>
          <cell r="H335" t="e">
            <v>#N/A</v>
          </cell>
          <cell r="I335">
            <v>1</v>
          </cell>
          <cell r="J335">
            <v>1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</row>
        <row r="336">
          <cell r="C336" t="str">
            <v>N/HT</v>
          </cell>
          <cell r="D336">
            <v>0</v>
          </cell>
          <cell r="F336" t="e">
            <v>#N/A</v>
          </cell>
          <cell r="G336" t="e">
            <v>#N/A</v>
          </cell>
          <cell r="H336" t="e">
            <v>#N/A</v>
          </cell>
          <cell r="I336">
            <v>1</v>
          </cell>
          <cell r="J336">
            <v>1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</row>
        <row r="337">
          <cell r="C337" t="str">
            <v>N/HT</v>
          </cell>
          <cell r="D337">
            <v>0</v>
          </cell>
          <cell r="F337" t="e">
            <v>#N/A</v>
          </cell>
          <cell r="G337" t="e">
            <v>#N/A</v>
          </cell>
          <cell r="H337" t="e">
            <v>#N/A</v>
          </cell>
          <cell r="I337">
            <v>1</v>
          </cell>
          <cell r="J337">
            <v>1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</row>
        <row r="338">
          <cell r="C338" t="str">
            <v>N/HT</v>
          </cell>
          <cell r="D338">
            <v>0</v>
          </cell>
          <cell r="F338" t="e">
            <v>#N/A</v>
          </cell>
          <cell r="G338" t="e">
            <v>#N/A</v>
          </cell>
          <cell r="H338" t="e">
            <v>#N/A</v>
          </cell>
          <cell r="I338">
            <v>1</v>
          </cell>
          <cell r="J338">
            <v>1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</row>
        <row r="339">
          <cell r="C339" t="str">
            <v>N/HT</v>
          </cell>
          <cell r="D339">
            <v>0</v>
          </cell>
          <cell r="F339" t="e">
            <v>#N/A</v>
          </cell>
          <cell r="G339" t="e">
            <v>#N/A</v>
          </cell>
          <cell r="H339" t="e">
            <v>#N/A</v>
          </cell>
          <cell r="I339">
            <v>1</v>
          </cell>
          <cell r="J339">
            <v>1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</row>
        <row r="340">
          <cell r="C340" t="str">
            <v>N/HT</v>
          </cell>
          <cell r="D340">
            <v>0</v>
          </cell>
          <cell r="F340" t="e">
            <v>#N/A</v>
          </cell>
          <cell r="G340" t="e">
            <v>#N/A</v>
          </cell>
          <cell r="H340" t="e">
            <v>#N/A</v>
          </cell>
          <cell r="I340">
            <v>1</v>
          </cell>
          <cell r="J340">
            <v>1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</row>
        <row r="341">
          <cell r="C341" t="str">
            <v>N/HT</v>
          </cell>
          <cell r="D341">
            <v>0</v>
          </cell>
          <cell r="F341" t="e">
            <v>#N/A</v>
          </cell>
          <cell r="G341" t="e">
            <v>#N/A</v>
          </cell>
          <cell r="H341" t="e">
            <v>#N/A</v>
          </cell>
          <cell r="I341">
            <v>1</v>
          </cell>
          <cell r="J341">
            <v>1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</row>
        <row r="342">
          <cell r="C342" t="str">
            <v>N/HT</v>
          </cell>
          <cell r="D342">
            <v>0</v>
          </cell>
          <cell r="F342" t="e">
            <v>#N/A</v>
          </cell>
          <cell r="G342" t="e">
            <v>#N/A</v>
          </cell>
          <cell r="H342" t="e">
            <v>#N/A</v>
          </cell>
          <cell r="I342">
            <v>1</v>
          </cell>
          <cell r="J342">
            <v>1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</row>
        <row r="344">
          <cell r="C344" t="str">
            <v>No. Parte Htal:</v>
          </cell>
          <cell r="D344" t="str">
            <v>RQ</v>
          </cell>
          <cell r="E344" t="str">
            <v>Inventario</v>
          </cell>
          <cell r="F344" t="str">
            <v>Pz / Herramental</v>
          </cell>
          <cell r="G344" t="str">
            <v>Tiempo Entrega</v>
          </cell>
          <cell r="H344" t="str">
            <v>Mín</v>
          </cell>
          <cell r="I344" t="str">
            <v>Pto. Reorden</v>
          </cell>
          <cell r="J344" t="str">
            <v>Máx</v>
          </cell>
          <cell r="K344" t="str">
            <v>Mín</v>
          </cell>
          <cell r="L344" t="str">
            <v>Pto. Reorden</v>
          </cell>
          <cell r="M344" t="str">
            <v>Máx</v>
          </cell>
          <cell r="N344" t="str">
            <v>STATUS</v>
          </cell>
        </row>
        <row r="345">
          <cell r="C345" t="str">
            <v>HTJA030104</v>
          </cell>
          <cell r="D345">
            <v>13520.454678603319</v>
          </cell>
          <cell r="E345">
            <v>2</v>
          </cell>
          <cell r="F345">
            <v>20000</v>
          </cell>
          <cell r="G345">
            <v>30</v>
          </cell>
          <cell r="H345">
            <v>1</v>
          </cell>
          <cell r="I345">
            <v>1</v>
          </cell>
          <cell r="J345">
            <v>1</v>
          </cell>
          <cell r="K345">
            <v>1</v>
          </cell>
          <cell r="L345">
            <v>2</v>
          </cell>
          <cell r="M345">
            <v>3</v>
          </cell>
          <cell r="N345" t="str">
            <v>PEDIR</v>
          </cell>
        </row>
        <row r="346">
          <cell r="C346" t="str">
            <v>HTJA030105</v>
          </cell>
          <cell r="D346">
            <v>13520.454678603319</v>
          </cell>
          <cell r="E346">
            <v>5</v>
          </cell>
          <cell r="F346">
            <v>40000</v>
          </cell>
          <cell r="G346">
            <v>30</v>
          </cell>
          <cell r="H346">
            <v>1</v>
          </cell>
          <cell r="I346">
            <v>1</v>
          </cell>
          <cell r="J346">
            <v>1</v>
          </cell>
          <cell r="K346">
            <v>1</v>
          </cell>
          <cell r="L346">
            <v>2</v>
          </cell>
          <cell r="M346">
            <v>3</v>
          </cell>
          <cell r="N346" t="str">
            <v>SOBREINVENTARIO</v>
          </cell>
        </row>
        <row r="347">
          <cell r="C347" t="str">
            <v>n/HT</v>
          </cell>
          <cell r="D347">
            <v>0</v>
          </cell>
          <cell r="F347" t="e">
            <v>#N/A</v>
          </cell>
          <cell r="G347" t="e">
            <v>#N/A</v>
          </cell>
          <cell r="H347" t="e">
            <v>#N/A</v>
          </cell>
          <cell r="I347">
            <v>1</v>
          </cell>
          <cell r="J347">
            <v>1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</row>
        <row r="348">
          <cell r="C348" t="str">
            <v>N/HT</v>
          </cell>
          <cell r="D348">
            <v>0</v>
          </cell>
          <cell r="F348" t="e">
            <v>#N/A</v>
          </cell>
          <cell r="G348" t="e">
            <v>#N/A</v>
          </cell>
          <cell r="H348" t="e">
            <v>#N/A</v>
          </cell>
          <cell r="I348">
            <v>1</v>
          </cell>
          <cell r="J348">
            <v>1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</row>
        <row r="349">
          <cell r="C349" t="str">
            <v>N/HT</v>
          </cell>
          <cell r="D349">
            <v>0</v>
          </cell>
          <cell r="F349" t="e">
            <v>#N/A</v>
          </cell>
          <cell r="G349" t="e">
            <v>#N/A</v>
          </cell>
          <cell r="H349" t="e">
            <v>#N/A</v>
          </cell>
          <cell r="I349">
            <v>1</v>
          </cell>
          <cell r="J349">
            <v>1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</row>
        <row r="350">
          <cell r="C350" t="str">
            <v>N/HT</v>
          </cell>
          <cell r="D350">
            <v>0</v>
          </cell>
          <cell r="F350" t="e">
            <v>#N/A</v>
          </cell>
          <cell r="G350" t="e">
            <v>#N/A</v>
          </cell>
          <cell r="H350" t="e">
            <v>#N/A</v>
          </cell>
          <cell r="I350">
            <v>1</v>
          </cell>
          <cell r="J350">
            <v>1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</row>
        <row r="351">
          <cell r="C351" t="str">
            <v>N/HT</v>
          </cell>
          <cell r="D351">
            <v>0</v>
          </cell>
          <cell r="F351" t="e">
            <v>#N/A</v>
          </cell>
          <cell r="G351" t="e">
            <v>#N/A</v>
          </cell>
          <cell r="H351" t="e">
            <v>#N/A</v>
          </cell>
          <cell r="I351">
            <v>1</v>
          </cell>
          <cell r="J351">
            <v>1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</row>
        <row r="352">
          <cell r="C352" t="str">
            <v>N/HT</v>
          </cell>
          <cell r="D352">
            <v>0</v>
          </cell>
          <cell r="F352" t="e">
            <v>#N/A</v>
          </cell>
          <cell r="G352" t="e">
            <v>#N/A</v>
          </cell>
          <cell r="H352" t="e">
            <v>#N/A</v>
          </cell>
          <cell r="I352">
            <v>1</v>
          </cell>
          <cell r="J352">
            <v>1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</row>
        <row r="353">
          <cell r="C353" t="str">
            <v>N/HT</v>
          </cell>
          <cell r="D353">
            <v>0</v>
          </cell>
          <cell r="F353" t="e">
            <v>#N/A</v>
          </cell>
          <cell r="G353" t="e">
            <v>#N/A</v>
          </cell>
          <cell r="H353" t="e">
            <v>#N/A</v>
          </cell>
          <cell r="I353">
            <v>1</v>
          </cell>
          <cell r="J353">
            <v>1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</row>
        <row r="354">
          <cell r="C354" t="str">
            <v>N/HT</v>
          </cell>
          <cell r="D354">
            <v>0</v>
          </cell>
          <cell r="F354" t="e">
            <v>#N/A</v>
          </cell>
          <cell r="G354" t="e">
            <v>#N/A</v>
          </cell>
          <cell r="H354" t="e">
            <v>#N/A</v>
          </cell>
          <cell r="I354">
            <v>1</v>
          </cell>
          <cell r="J354">
            <v>1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</row>
        <row r="355">
          <cell r="C355" t="str">
            <v>N/HT</v>
          </cell>
          <cell r="D355">
            <v>0</v>
          </cell>
          <cell r="F355" t="e">
            <v>#N/A</v>
          </cell>
          <cell r="G355" t="e">
            <v>#N/A</v>
          </cell>
          <cell r="H355" t="e">
            <v>#N/A</v>
          </cell>
          <cell r="I355">
            <v>1</v>
          </cell>
          <cell r="J355">
            <v>1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</row>
        <row r="356">
          <cell r="C356" t="str">
            <v>N/HT</v>
          </cell>
          <cell r="D356">
            <v>0</v>
          </cell>
          <cell r="F356" t="e">
            <v>#N/A</v>
          </cell>
          <cell r="G356" t="e">
            <v>#N/A</v>
          </cell>
          <cell r="H356" t="e">
            <v>#N/A</v>
          </cell>
          <cell r="I356">
            <v>1</v>
          </cell>
          <cell r="J356">
            <v>1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</row>
        <row r="357">
          <cell r="C357" t="str">
            <v>N/HT</v>
          </cell>
          <cell r="D357">
            <v>0</v>
          </cell>
          <cell r="F357" t="e">
            <v>#N/A</v>
          </cell>
          <cell r="G357" t="e">
            <v>#N/A</v>
          </cell>
          <cell r="H357" t="e">
            <v>#N/A</v>
          </cell>
          <cell r="I357">
            <v>1</v>
          </cell>
          <cell r="J357">
            <v>1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</row>
        <row r="358">
          <cell r="C358" t="str">
            <v>N/HT</v>
          </cell>
          <cell r="D358">
            <v>0</v>
          </cell>
          <cell r="F358" t="e">
            <v>#N/A</v>
          </cell>
          <cell r="G358" t="e">
            <v>#N/A</v>
          </cell>
          <cell r="H358" t="e">
            <v>#N/A</v>
          </cell>
          <cell r="I358">
            <v>1</v>
          </cell>
          <cell r="J358">
            <v>1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</row>
        <row r="359">
          <cell r="C359" t="str">
            <v>N/HT</v>
          </cell>
          <cell r="D359">
            <v>0</v>
          </cell>
          <cell r="F359" t="e">
            <v>#N/A</v>
          </cell>
          <cell r="G359" t="e">
            <v>#N/A</v>
          </cell>
          <cell r="H359" t="e">
            <v>#N/A</v>
          </cell>
          <cell r="I359">
            <v>1</v>
          </cell>
          <cell r="J359">
            <v>1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</row>
        <row r="360">
          <cell r="C360" t="str">
            <v>N/HT</v>
          </cell>
          <cell r="D360">
            <v>0</v>
          </cell>
          <cell r="F360" t="e">
            <v>#N/A</v>
          </cell>
          <cell r="G360" t="e">
            <v>#N/A</v>
          </cell>
          <cell r="H360" t="e">
            <v>#N/A</v>
          </cell>
          <cell r="I360">
            <v>1</v>
          </cell>
          <cell r="J360">
            <v>1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</row>
        <row r="361">
          <cell r="C361" t="str">
            <v>N/HT</v>
          </cell>
          <cell r="D361">
            <v>0</v>
          </cell>
          <cell r="F361" t="e">
            <v>#N/A</v>
          </cell>
          <cell r="G361" t="e">
            <v>#N/A</v>
          </cell>
          <cell r="H361" t="e">
            <v>#N/A</v>
          </cell>
          <cell r="I361">
            <v>1</v>
          </cell>
          <cell r="J361">
            <v>1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</row>
        <row r="362">
          <cell r="C362" t="str">
            <v>N/HT</v>
          </cell>
          <cell r="D362">
            <v>0</v>
          </cell>
          <cell r="F362" t="e">
            <v>#N/A</v>
          </cell>
          <cell r="G362" t="e">
            <v>#N/A</v>
          </cell>
          <cell r="H362" t="e">
            <v>#N/A</v>
          </cell>
          <cell r="I362">
            <v>1</v>
          </cell>
          <cell r="J362">
            <v>1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</row>
        <row r="363">
          <cell r="C363" t="str">
            <v>N/HT</v>
          </cell>
          <cell r="D363">
            <v>0</v>
          </cell>
          <cell r="F363" t="e">
            <v>#N/A</v>
          </cell>
          <cell r="G363" t="e">
            <v>#N/A</v>
          </cell>
          <cell r="H363" t="e">
            <v>#N/A</v>
          </cell>
          <cell r="I363">
            <v>1</v>
          </cell>
          <cell r="J363">
            <v>1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</row>
        <row r="364">
          <cell r="C364" t="str">
            <v>N/HT</v>
          </cell>
          <cell r="D364">
            <v>0</v>
          </cell>
          <cell r="F364" t="e">
            <v>#N/A</v>
          </cell>
          <cell r="G364" t="e">
            <v>#N/A</v>
          </cell>
          <cell r="H364" t="e">
            <v>#N/A</v>
          </cell>
          <cell r="I364">
            <v>1</v>
          </cell>
          <cell r="J364">
            <v>1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</row>
        <row r="365">
          <cell r="C365" t="str">
            <v>N/HT</v>
          </cell>
          <cell r="D365">
            <v>0</v>
          </cell>
          <cell r="F365" t="e">
            <v>#N/A</v>
          </cell>
          <cell r="G365" t="e">
            <v>#N/A</v>
          </cell>
          <cell r="H365" t="e">
            <v>#N/A</v>
          </cell>
          <cell r="I365">
            <v>1</v>
          </cell>
          <cell r="J365">
            <v>1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</row>
        <row r="366">
          <cell r="C366" t="str">
            <v>N/HT</v>
          </cell>
          <cell r="D366">
            <v>0</v>
          </cell>
          <cell r="F366" t="e">
            <v>#N/A</v>
          </cell>
          <cell r="G366" t="e">
            <v>#N/A</v>
          </cell>
          <cell r="H366" t="e">
            <v>#N/A</v>
          </cell>
          <cell r="I366">
            <v>1</v>
          </cell>
          <cell r="J366">
            <v>1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</row>
        <row r="367">
          <cell r="C367" t="str">
            <v>N/HT</v>
          </cell>
          <cell r="D367">
            <v>0</v>
          </cell>
          <cell r="F367" t="e">
            <v>#N/A</v>
          </cell>
          <cell r="G367" t="e">
            <v>#N/A</v>
          </cell>
          <cell r="H367" t="e">
            <v>#N/A</v>
          </cell>
          <cell r="I367">
            <v>1</v>
          </cell>
          <cell r="J367">
            <v>1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</row>
        <row r="368">
          <cell r="C368" t="str">
            <v>N/HT</v>
          </cell>
          <cell r="D368">
            <v>0</v>
          </cell>
          <cell r="F368" t="e">
            <v>#N/A</v>
          </cell>
          <cell r="G368" t="e">
            <v>#N/A</v>
          </cell>
          <cell r="H368" t="e">
            <v>#N/A</v>
          </cell>
          <cell r="I368">
            <v>1</v>
          </cell>
          <cell r="J368">
            <v>1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</row>
        <row r="369">
          <cell r="C369" t="str">
            <v>N/HT</v>
          </cell>
          <cell r="D369">
            <v>0</v>
          </cell>
          <cell r="F369" t="e">
            <v>#N/A</v>
          </cell>
          <cell r="G369" t="e">
            <v>#N/A</v>
          </cell>
          <cell r="H369" t="e">
            <v>#N/A</v>
          </cell>
          <cell r="I369">
            <v>1</v>
          </cell>
          <cell r="J369">
            <v>1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</row>
        <row r="370">
          <cell r="C370" t="str">
            <v>N/HT</v>
          </cell>
          <cell r="D370">
            <v>0</v>
          </cell>
          <cell r="F370" t="e">
            <v>#N/A</v>
          </cell>
          <cell r="G370" t="e">
            <v>#N/A</v>
          </cell>
          <cell r="H370" t="e">
            <v>#N/A</v>
          </cell>
          <cell r="I370">
            <v>1</v>
          </cell>
          <cell r="J370">
            <v>1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</row>
        <row r="371">
          <cell r="C371" t="str">
            <v>N/HT</v>
          </cell>
          <cell r="D371">
            <v>0</v>
          </cell>
          <cell r="F371" t="e">
            <v>#N/A</v>
          </cell>
          <cell r="G371" t="e">
            <v>#N/A</v>
          </cell>
          <cell r="H371" t="e">
            <v>#N/A</v>
          </cell>
          <cell r="I371">
            <v>1</v>
          </cell>
          <cell r="J371">
            <v>1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</row>
        <row r="372">
          <cell r="C372" t="str">
            <v>N/HT</v>
          </cell>
          <cell r="D372">
            <v>0</v>
          </cell>
          <cell r="F372" t="e">
            <v>#N/A</v>
          </cell>
          <cell r="G372" t="e">
            <v>#N/A</v>
          </cell>
          <cell r="H372" t="e">
            <v>#N/A</v>
          </cell>
          <cell r="I372">
            <v>1</v>
          </cell>
          <cell r="J372">
            <v>1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</row>
        <row r="373">
          <cell r="C373" t="str">
            <v>N/HT</v>
          </cell>
          <cell r="D373">
            <v>0</v>
          </cell>
          <cell r="F373" t="e">
            <v>#N/A</v>
          </cell>
          <cell r="G373" t="e">
            <v>#N/A</v>
          </cell>
          <cell r="H373" t="e">
            <v>#N/A</v>
          </cell>
          <cell r="I373">
            <v>1</v>
          </cell>
          <cell r="J373">
            <v>1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</row>
        <row r="374">
          <cell r="C374" t="str">
            <v>N/HT</v>
          </cell>
          <cell r="D374">
            <v>0</v>
          </cell>
          <cell r="F374" t="e">
            <v>#N/A</v>
          </cell>
          <cell r="G374" t="e">
            <v>#N/A</v>
          </cell>
          <cell r="H374" t="e">
            <v>#N/A</v>
          </cell>
          <cell r="I374">
            <v>1</v>
          </cell>
          <cell r="J374">
            <v>1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</row>
        <row r="375">
          <cell r="C375" t="str">
            <v>N/HT</v>
          </cell>
          <cell r="D375">
            <v>0</v>
          </cell>
          <cell r="F375" t="e">
            <v>#N/A</v>
          </cell>
          <cell r="G375" t="e">
            <v>#N/A</v>
          </cell>
          <cell r="H375" t="e">
            <v>#N/A</v>
          </cell>
          <cell r="I375">
            <v>1</v>
          </cell>
          <cell r="J375">
            <v>1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</row>
        <row r="376">
          <cell r="C376" t="str">
            <v>N/HT</v>
          </cell>
          <cell r="D376">
            <v>0</v>
          </cell>
          <cell r="F376" t="e">
            <v>#N/A</v>
          </cell>
          <cell r="G376" t="e">
            <v>#N/A</v>
          </cell>
          <cell r="H376" t="e">
            <v>#N/A</v>
          </cell>
          <cell r="I376">
            <v>1</v>
          </cell>
          <cell r="J376">
            <v>1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</row>
        <row r="378">
          <cell r="C378" t="str">
            <v>No. Parte Htal:</v>
          </cell>
          <cell r="D378" t="str">
            <v>RQ</v>
          </cell>
          <cell r="E378" t="str">
            <v>Inventario</v>
          </cell>
          <cell r="F378" t="str">
            <v>Pz / Herramental</v>
          </cell>
          <cell r="G378" t="str">
            <v>Tiempo Entrega</v>
          </cell>
          <cell r="H378" t="str">
            <v>Mín</v>
          </cell>
          <cell r="I378" t="str">
            <v>Pto. Reorden</v>
          </cell>
          <cell r="J378" t="str">
            <v>Máx</v>
          </cell>
          <cell r="K378" t="str">
            <v>Mín</v>
          </cell>
          <cell r="L378" t="str">
            <v>Pto. Reorden</v>
          </cell>
          <cell r="M378" t="str">
            <v>Máx</v>
          </cell>
          <cell r="N378" t="str">
            <v>STATUS</v>
          </cell>
        </row>
        <row r="379">
          <cell r="C379" t="str">
            <v>HTJA030106</v>
          </cell>
          <cell r="D379">
            <v>26461.240903134531</v>
          </cell>
          <cell r="E379">
            <v>0</v>
          </cell>
          <cell r="F379" t="str">
            <v>PENDIENTE</v>
          </cell>
          <cell r="G379">
            <v>0</v>
          </cell>
          <cell r="H379" t="e">
            <v>#VALUE!</v>
          </cell>
          <cell r="I379">
            <v>1</v>
          </cell>
          <cell r="J379">
            <v>1</v>
          </cell>
          <cell r="K379" t="e">
            <v>#VALUE!</v>
          </cell>
          <cell r="L379" t="e">
            <v>#VALUE!</v>
          </cell>
          <cell r="M379" t="e">
            <v>#VALUE!</v>
          </cell>
          <cell r="N379" t="e">
            <v>#VALUE!</v>
          </cell>
        </row>
        <row r="380">
          <cell r="C380" t="str">
            <v>HTJA030107</v>
          </cell>
          <cell r="D380">
            <v>26461.240903134531</v>
          </cell>
          <cell r="E380">
            <v>0</v>
          </cell>
          <cell r="F380" t="str">
            <v>PENDIENTE</v>
          </cell>
          <cell r="G380">
            <v>0</v>
          </cell>
          <cell r="H380" t="e">
            <v>#VALUE!</v>
          </cell>
          <cell r="I380">
            <v>1</v>
          </cell>
          <cell r="J380">
            <v>1</v>
          </cell>
          <cell r="K380" t="e">
            <v>#VALUE!</v>
          </cell>
          <cell r="L380" t="e">
            <v>#VALUE!</v>
          </cell>
          <cell r="M380" t="e">
            <v>#VALUE!</v>
          </cell>
          <cell r="N380" t="e">
            <v>#VALUE!</v>
          </cell>
        </row>
        <row r="381">
          <cell r="C381" t="str">
            <v>N/HT</v>
          </cell>
          <cell r="D381">
            <v>0</v>
          </cell>
          <cell r="F381" t="e">
            <v>#N/A</v>
          </cell>
          <cell r="G381" t="e">
            <v>#N/A</v>
          </cell>
          <cell r="H381" t="e">
            <v>#N/A</v>
          </cell>
          <cell r="I381">
            <v>1</v>
          </cell>
          <cell r="J381">
            <v>1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</row>
        <row r="382">
          <cell r="C382" t="str">
            <v>N/HT</v>
          </cell>
          <cell r="D382">
            <v>0</v>
          </cell>
          <cell r="F382" t="e">
            <v>#N/A</v>
          </cell>
          <cell r="G382" t="e">
            <v>#N/A</v>
          </cell>
          <cell r="H382" t="e">
            <v>#N/A</v>
          </cell>
          <cell r="I382">
            <v>1</v>
          </cell>
          <cell r="J382">
            <v>1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</row>
        <row r="383">
          <cell r="C383" t="str">
            <v>N/HT</v>
          </cell>
          <cell r="D383">
            <v>0</v>
          </cell>
          <cell r="F383" t="e">
            <v>#N/A</v>
          </cell>
          <cell r="G383" t="e">
            <v>#N/A</v>
          </cell>
          <cell r="H383" t="e">
            <v>#N/A</v>
          </cell>
          <cell r="I383">
            <v>1</v>
          </cell>
          <cell r="J383">
            <v>1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</row>
        <row r="384">
          <cell r="C384" t="str">
            <v>N/HT</v>
          </cell>
          <cell r="D384">
            <v>0</v>
          </cell>
          <cell r="F384" t="e">
            <v>#N/A</v>
          </cell>
          <cell r="G384" t="e">
            <v>#N/A</v>
          </cell>
          <cell r="H384" t="e">
            <v>#N/A</v>
          </cell>
          <cell r="I384">
            <v>1</v>
          </cell>
          <cell r="J384">
            <v>1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</row>
        <row r="385">
          <cell r="C385" t="str">
            <v>N/HT</v>
          </cell>
          <cell r="D385">
            <v>0</v>
          </cell>
          <cell r="F385" t="e">
            <v>#N/A</v>
          </cell>
          <cell r="G385" t="e">
            <v>#N/A</v>
          </cell>
          <cell r="H385" t="e">
            <v>#N/A</v>
          </cell>
          <cell r="I385">
            <v>1</v>
          </cell>
          <cell r="J385">
            <v>1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</row>
        <row r="386">
          <cell r="C386" t="str">
            <v>N/HT</v>
          </cell>
          <cell r="D386">
            <v>0</v>
          </cell>
          <cell r="F386" t="e">
            <v>#N/A</v>
          </cell>
          <cell r="G386" t="e">
            <v>#N/A</v>
          </cell>
          <cell r="H386" t="e">
            <v>#N/A</v>
          </cell>
          <cell r="I386">
            <v>1</v>
          </cell>
          <cell r="J386">
            <v>1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</row>
        <row r="387">
          <cell r="C387" t="str">
            <v>N/HT</v>
          </cell>
          <cell r="D387">
            <v>0</v>
          </cell>
          <cell r="F387" t="e">
            <v>#N/A</v>
          </cell>
          <cell r="G387" t="e">
            <v>#N/A</v>
          </cell>
          <cell r="H387" t="e">
            <v>#N/A</v>
          </cell>
          <cell r="I387">
            <v>1</v>
          </cell>
          <cell r="J387">
            <v>1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</row>
        <row r="388">
          <cell r="C388" t="str">
            <v>N/HT</v>
          </cell>
          <cell r="D388">
            <v>0</v>
          </cell>
          <cell r="F388" t="e">
            <v>#N/A</v>
          </cell>
          <cell r="G388" t="e">
            <v>#N/A</v>
          </cell>
          <cell r="H388" t="e">
            <v>#N/A</v>
          </cell>
          <cell r="I388">
            <v>1</v>
          </cell>
          <cell r="J388">
            <v>1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</row>
        <row r="389">
          <cell r="C389" t="str">
            <v>N/HT</v>
          </cell>
          <cell r="D389">
            <v>0</v>
          </cell>
          <cell r="F389" t="e">
            <v>#N/A</v>
          </cell>
          <cell r="G389" t="e">
            <v>#N/A</v>
          </cell>
          <cell r="H389" t="e">
            <v>#N/A</v>
          </cell>
          <cell r="I389">
            <v>1</v>
          </cell>
          <cell r="J389">
            <v>1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</row>
        <row r="390">
          <cell r="C390" t="str">
            <v>N/HT</v>
          </cell>
          <cell r="D390">
            <v>0</v>
          </cell>
          <cell r="E390" t="str">
            <v xml:space="preserve"> </v>
          </cell>
          <cell r="F390" t="e">
            <v>#N/A</v>
          </cell>
          <cell r="G390" t="e">
            <v>#N/A</v>
          </cell>
          <cell r="H390" t="e">
            <v>#N/A</v>
          </cell>
          <cell r="I390">
            <v>1</v>
          </cell>
          <cell r="J390">
            <v>1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</row>
        <row r="391">
          <cell r="C391" t="str">
            <v>N/HT</v>
          </cell>
          <cell r="D391">
            <v>0</v>
          </cell>
          <cell r="F391" t="e">
            <v>#N/A</v>
          </cell>
          <cell r="G391" t="e">
            <v>#N/A</v>
          </cell>
          <cell r="H391" t="e">
            <v>#N/A</v>
          </cell>
          <cell r="I391">
            <v>1</v>
          </cell>
          <cell r="J391">
            <v>1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</row>
        <row r="392">
          <cell r="C392" t="str">
            <v>N/HT</v>
          </cell>
          <cell r="D392">
            <v>0</v>
          </cell>
          <cell r="F392" t="e">
            <v>#N/A</v>
          </cell>
          <cell r="G392" t="e">
            <v>#N/A</v>
          </cell>
          <cell r="H392" t="e">
            <v>#N/A</v>
          </cell>
          <cell r="I392">
            <v>1</v>
          </cell>
          <cell r="J392">
            <v>1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</row>
        <row r="393">
          <cell r="C393" t="str">
            <v>N/HT</v>
          </cell>
          <cell r="D393">
            <v>0</v>
          </cell>
          <cell r="F393" t="e">
            <v>#N/A</v>
          </cell>
          <cell r="G393" t="e">
            <v>#N/A</v>
          </cell>
          <cell r="H393" t="e">
            <v>#N/A</v>
          </cell>
          <cell r="I393">
            <v>1</v>
          </cell>
          <cell r="J393">
            <v>1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</row>
        <row r="394">
          <cell r="C394" t="str">
            <v>N/HT</v>
          </cell>
          <cell r="D394">
            <v>0</v>
          </cell>
          <cell r="F394" t="e">
            <v>#N/A</v>
          </cell>
          <cell r="G394" t="e">
            <v>#N/A</v>
          </cell>
          <cell r="H394" t="e">
            <v>#N/A</v>
          </cell>
          <cell r="I394">
            <v>1</v>
          </cell>
          <cell r="J394">
            <v>1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</row>
        <row r="395">
          <cell r="C395" t="str">
            <v>N/HT</v>
          </cell>
          <cell r="D395">
            <v>0</v>
          </cell>
          <cell r="F395" t="e">
            <v>#N/A</v>
          </cell>
          <cell r="G395" t="e">
            <v>#N/A</v>
          </cell>
          <cell r="H395" t="e">
            <v>#N/A</v>
          </cell>
          <cell r="I395">
            <v>1</v>
          </cell>
          <cell r="J395">
            <v>1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</row>
        <row r="396">
          <cell r="C396" t="str">
            <v>N/HT</v>
          </cell>
          <cell r="D396">
            <v>0</v>
          </cell>
          <cell r="F396" t="e">
            <v>#N/A</v>
          </cell>
          <cell r="G396" t="e">
            <v>#N/A</v>
          </cell>
          <cell r="H396" t="e">
            <v>#N/A</v>
          </cell>
          <cell r="I396">
            <v>1</v>
          </cell>
          <cell r="J396">
            <v>1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</row>
        <row r="397">
          <cell r="C397" t="str">
            <v>N/HT</v>
          </cell>
          <cell r="D397">
            <v>0</v>
          </cell>
          <cell r="F397" t="e">
            <v>#N/A</v>
          </cell>
          <cell r="G397" t="e">
            <v>#N/A</v>
          </cell>
          <cell r="H397" t="e">
            <v>#N/A</v>
          </cell>
          <cell r="I397">
            <v>1</v>
          </cell>
          <cell r="J397">
            <v>1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</row>
        <row r="398">
          <cell r="C398" t="str">
            <v>N/HT</v>
          </cell>
          <cell r="D398">
            <v>0</v>
          </cell>
          <cell r="F398" t="e">
            <v>#N/A</v>
          </cell>
          <cell r="G398" t="e">
            <v>#N/A</v>
          </cell>
          <cell r="H398" t="e">
            <v>#N/A</v>
          </cell>
          <cell r="I398">
            <v>1</v>
          </cell>
          <cell r="J398">
            <v>1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</row>
        <row r="399">
          <cell r="C399" t="str">
            <v>N/HT</v>
          </cell>
          <cell r="D399">
            <v>0</v>
          </cell>
          <cell r="F399" t="e">
            <v>#N/A</v>
          </cell>
          <cell r="G399" t="e">
            <v>#N/A</v>
          </cell>
          <cell r="H399" t="e">
            <v>#N/A</v>
          </cell>
          <cell r="I399">
            <v>1</v>
          </cell>
          <cell r="J399">
            <v>1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</row>
        <row r="400">
          <cell r="C400" t="str">
            <v>N/HT</v>
          </cell>
          <cell r="D400">
            <v>0</v>
          </cell>
          <cell r="F400" t="e">
            <v>#N/A</v>
          </cell>
          <cell r="G400" t="e">
            <v>#N/A</v>
          </cell>
          <cell r="H400" t="e">
            <v>#N/A</v>
          </cell>
          <cell r="I400">
            <v>1</v>
          </cell>
          <cell r="J400">
            <v>1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</row>
        <row r="401">
          <cell r="C401" t="str">
            <v>N/HT</v>
          </cell>
          <cell r="D401">
            <v>0</v>
          </cell>
          <cell r="F401" t="e">
            <v>#N/A</v>
          </cell>
          <cell r="G401" t="e">
            <v>#N/A</v>
          </cell>
          <cell r="H401" t="e">
            <v>#N/A</v>
          </cell>
          <cell r="I401">
            <v>1</v>
          </cell>
          <cell r="J401">
            <v>1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</row>
        <row r="402">
          <cell r="C402" t="str">
            <v>N/HT</v>
          </cell>
          <cell r="D402">
            <v>0</v>
          </cell>
          <cell r="F402" t="e">
            <v>#N/A</v>
          </cell>
          <cell r="G402" t="e">
            <v>#N/A</v>
          </cell>
          <cell r="H402" t="e">
            <v>#N/A</v>
          </cell>
          <cell r="I402">
            <v>1</v>
          </cell>
          <cell r="J402">
            <v>1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</row>
        <row r="403">
          <cell r="C403" t="str">
            <v>N/HT</v>
          </cell>
          <cell r="D403">
            <v>0</v>
          </cell>
          <cell r="F403" t="e">
            <v>#N/A</v>
          </cell>
          <cell r="G403" t="e">
            <v>#N/A</v>
          </cell>
          <cell r="H403" t="e">
            <v>#N/A</v>
          </cell>
          <cell r="I403">
            <v>1</v>
          </cell>
          <cell r="J403">
            <v>1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</row>
        <row r="404">
          <cell r="C404" t="str">
            <v>N/HT</v>
          </cell>
          <cell r="D404">
            <v>0</v>
          </cell>
          <cell r="F404" t="e">
            <v>#N/A</v>
          </cell>
          <cell r="G404" t="e">
            <v>#N/A</v>
          </cell>
          <cell r="H404" t="e">
            <v>#N/A</v>
          </cell>
          <cell r="I404">
            <v>1</v>
          </cell>
          <cell r="J404">
            <v>1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</row>
        <row r="405">
          <cell r="C405" t="str">
            <v>N/HT</v>
          </cell>
          <cell r="D405">
            <v>0</v>
          </cell>
          <cell r="F405" t="e">
            <v>#N/A</v>
          </cell>
          <cell r="G405" t="e">
            <v>#N/A</v>
          </cell>
          <cell r="H405" t="e">
            <v>#N/A</v>
          </cell>
          <cell r="I405">
            <v>1</v>
          </cell>
          <cell r="J405">
            <v>1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</row>
        <row r="406">
          <cell r="C406" t="str">
            <v>N/HT</v>
          </cell>
          <cell r="D406">
            <v>0</v>
          </cell>
          <cell r="F406" t="e">
            <v>#N/A</v>
          </cell>
          <cell r="G406" t="e">
            <v>#N/A</v>
          </cell>
          <cell r="H406" t="e">
            <v>#N/A</v>
          </cell>
          <cell r="I406">
            <v>1</v>
          </cell>
          <cell r="J406">
            <v>1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</row>
        <row r="407">
          <cell r="C407" t="str">
            <v>N/HT</v>
          </cell>
          <cell r="D407">
            <v>0</v>
          </cell>
          <cell r="F407" t="e">
            <v>#N/A</v>
          </cell>
          <cell r="G407" t="e">
            <v>#N/A</v>
          </cell>
          <cell r="H407" t="e">
            <v>#N/A</v>
          </cell>
          <cell r="I407">
            <v>1</v>
          </cell>
          <cell r="J407">
            <v>1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</row>
        <row r="408">
          <cell r="C408" t="str">
            <v>N/HT</v>
          </cell>
          <cell r="D408">
            <v>0</v>
          </cell>
          <cell r="F408" t="e">
            <v>#N/A</v>
          </cell>
          <cell r="G408" t="e">
            <v>#N/A</v>
          </cell>
          <cell r="H408" t="e">
            <v>#N/A</v>
          </cell>
          <cell r="I408">
            <v>1</v>
          </cell>
          <cell r="J408">
            <v>1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</row>
        <row r="409">
          <cell r="C409" t="str">
            <v>N/HT</v>
          </cell>
          <cell r="D409">
            <v>0</v>
          </cell>
          <cell r="F409" t="e">
            <v>#N/A</v>
          </cell>
          <cell r="G409" t="e">
            <v>#N/A</v>
          </cell>
          <cell r="H409" t="e">
            <v>#N/A</v>
          </cell>
          <cell r="I409">
            <v>1</v>
          </cell>
          <cell r="J409">
            <v>1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</row>
        <row r="410">
          <cell r="C410" t="str">
            <v>N/HT</v>
          </cell>
          <cell r="D410">
            <v>0</v>
          </cell>
          <cell r="F410" t="e">
            <v>#N/A</v>
          </cell>
          <cell r="G410" t="e">
            <v>#N/A</v>
          </cell>
          <cell r="H410" t="e">
            <v>#N/A</v>
          </cell>
          <cell r="I410">
            <v>1</v>
          </cell>
          <cell r="J410">
            <v>1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</row>
        <row r="412">
          <cell r="C412" t="str">
            <v>No. Parte Htal:</v>
          </cell>
          <cell r="D412" t="str">
            <v>RQ</v>
          </cell>
          <cell r="E412" t="str">
            <v>Inventario</v>
          </cell>
          <cell r="F412" t="str">
            <v>Pz / Herramental</v>
          </cell>
          <cell r="G412" t="str">
            <v>Tiempo Entrega</v>
          </cell>
          <cell r="H412" t="str">
            <v>Mín</v>
          </cell>
          <cell r="I412" t="str">
            <v>Pto. Reorden</v>
          </cell>
          <cell r="J412" t="str">
            <v>Máx</v>
          </cell>
          <cell r="K412" t="str">
            <v>Mín</v>
          </cell>
          <cell r="L412" t="str">
            <v>Pto. Reorden</v>
          </cell>
          <cell r="M412" t="str">
            <v>Máx</v>
          </cell>
          <cell r="N412" t="str">
            <v>STATUS</v>
          </cell>
        </row>
        <row r="413">
          <cell r="C413" t="str">
            <v>HTJA030108</v>
          </cell>
          <cell r="D413">
            <v>33932.483034337194</v>
          </cell>
          <cell r="E413">
            <v>6</v>
          </cell>
          <cell r="F413">
            <v>20000</v>
          </cell>
          <cell r="G413">
            <v>30</v>
          </cell>
          <cell r="H413">
            <v>3</v>
          </cell>
          <cell r="I413">
            <v>1</v>
          </cell>
          <cell r="J413">
            <v>1</v>
          </cell>
          <cell r="K413">
            <v>3</v>
          </cell>
          <cell r="L413">
            <v>4</v>
          </cell>
          <cell r="M413">
            <v>5</v>
          </cell>
          <cell r="N413" t="str">
            <v>SOBREINVENTARIO</v>
          </cell>
        </row>
        <row r="414">
          <cell r="C414" t="str">
            <v>HTJA030109</v>
          </cell>
          <cell r="D414">
            <v>33932.483034337194</v>
          </cell>
          <cell r="E414">
            <v>4</v>
          </cell>
          <cell r="F414">
            <v>40000</v>
          </cell>
          <cell r="G414">
            <v>30</v>
          </cell>
          <cell r="H414">
            <v>2</v>
          </cell>
          <cell r="I414">
            <v>1</v>
          </cell>
          <cell r="J414">
            <v>1</v>
          </cell>
          <cell r="K414">
            <v>2</v>
          </cell>
          <cell r="L414">
            <v>3</v>
          </cell>
          <cell r="M414">
            <v>4</v>
          </cell>
          <cell r="N414" t="str">
            <v>OK</v>
          </cell>
        </row>
        <row r="415">
          <cell r="C415" t="str">
            <v>N/HT</v>
          </cell>
          <cell r="D415">
            <v>0</v>
          </cell>
          <cell r="F415" t="e">
            <v>#N/A</v>
          </cell>
          <cell r="G415" t="e">
            <v>#N/A</v>
          </cell>
          <cell r="H415" t="e">
            <v>#N/A</v>
          </cell>
          <cell r="I415">
            <v>1</v>
          </cell>
          <cell r="J415">
            <v>1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</row>
        <row r="416">
          <cell r="C416" t="str">
            <v>N/HT</v>
          </cell>
          <cell r="D416">
            <v>0</v>
          </cell>
          <cell r="F416" t="e">
            <v>#N/A</v>
          </cell>
          <cell r="G416" t="e">
            <v>#N/A</v>
          </cell>
          <cell r="H416" t="e">
            <v>#N/A</v>
          </cell>
          <cell r="I416">
            <v>1</v>
          </cell>
          <cell r="J416">
            <v>1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</row>
        <row r="417">
          <cell r="C417" t="str">
            <v>N/HT</v>
          </cell>
          <cell r="D417">
            <v>0</v>
          </cell>
          <cell r="F417" t="e">
            <v>#N/A</v>
          </cell>
          <cell r="G417" t="e">
            <v>#N/A</v>
          </cell>
          <cell r="H417" t="e">
            <v>#N/A</v>
          </cell>
          <cell r="I417">
            <v>1</v>
          </cell>
          <cell r="J417">
            <v>1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</row>
        <row r="418">
          <cell r="C418" t="str">
            <v>N/HT</v>
          </cell>
          <cell r="D418">
            <v>0</v>
          </cell>
          <cell r="F418" t="e">
            <v>#N/A</v>
          </cell>
          <cell r="G418" t="e">
            <v>#N/A</v>
          </cell>
          <cell r="H418" t="e">
            <v>#N/A</v>
          </cell>
          <cell r="I418">
            <v>1</v>
          </cell>
          <cell r="J418">
            <v>1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</row>
        <row r="419">
          <cell r="C419" t="str">
            <v>N/HT</v>
          </cell>
          <cell r="D419">
            <v>0</v>
          </cell>
          <cell r="F419" t="e">
            <v>#N/A</v>
          </cell>
          <cell r="G419" t="e">
            <v>#N/A</v>
          </cell>
          <cell r="H419" t="e">
            <v>#N/A</v>
          </cell>
          <cell r="I419">
            <v>1</v>
          </cell>
          <cell r="J419">
            <v>1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</row>
        <row r="420">
          <cell r="C420" t="str">
            <v>N/HT</v>
          </cell>
          <cell r="D420">
            <v>0</v>
          </cell>
          <cell r="F420" t="e">
            <v>#N/A</v>
          </cell>
          <cell r="G420" t="e">
            <v>#N/A</v>
          </cell>
          <cell r="H420" t="e">
            <v>#N/A</v>
          </cell>
          <cell r="I420">
            <v>1</v>
          </cell>
          <cell r="J420">
            <v>1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</row>
        <row r="421">
          <cell r="C421" t="str">
            <v>N/HT</v>
          </cell>
          <cell r="D421">
            <v>0</v>
          </cell>
          <cell r="F421" t="e">
            <v>#N/A</v>
          </cell>
          <cell r="G421" t="e">
            <v>#N/A</v>
          </cell>
          <cell r="H421" t="e">
            <v>#N/A</v>
          </cell>
          <cell r="I421">
            <v>1</v>
          </cell>
          <cell r="J421">
            <v>1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</row>
        <row r="422">
          <cell r="C422" t="str">
            <v>N/HT</v>
          </cell>
          <cell r="D422">
            <v>0</v>
          </cell>
          <cell r="F422" t="e">
            <v>#N/A</v>
          </cell>
          <cell r="G422" t="e">
            <v>#N/A</v>
          </cell>
          <cell r="H422" t="e">
            <v>#N/A</v>
          </cell>
          <cell r="I422">
            <v>1</v>
          </cell>
          <cell r="J422">
            <v>1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</row>
        <row r="423">
          <cell r="C423" t="str">
            <v>N/HT</v>
          </cell>
          <cell r="D423">
            <v>0</v>
          </cell>
          <cell r="F423" t="e">
            <v>#N/A</v>
          </cell>
          <cell r="G423" t="e">
            <v>#N/A</v>
          </cell>
          <cell r="H423" t="e">
            <v>#N/A</v>
          </cell>
          <cell r="I423">
            <v>1</v>
          </cell>
          <cell r="J423">
            <v>1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</row>
        <row r="424">
          <cell r="C424" t="str">
            <v>N/HT</v>
          </cell>
          <cell r="D424">
            <v>0</v>
          </cell>
          <cell r="E424" t="str">
            <v xml:space="preserve"> </v>
          </cell>
          <cell r="F424" t="e">
            <v>#N/A</v>
          </cell>
          <cell r="G424" t="e">
            <v>#N/A</v>
          </cell>
          <cell r="H424" t="e">
            <v>#N/A</v>
          </cell>
          <cell r="I424">
            <v>1</v>
          </cell>
          <cell r="J424">
            <v>1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</row>
        <row r="425">
          <cell r="C425" t="str">
            <v>N/HT</v>
          </cell>
          <cell r="D425">
            <v>0</v>
          </cell>
          <cell r="F425" t="e">
            <v>#N/A</v>
          </cell>
          <cell r="G425" t="e">
            <v>#N/A</v>
          </cell>
          <cell r="H425" t="e">
            <v>#N/A</v>
          </cell>
          <cell r="I425">
            <v>1</v>
          </cell>
          <cell r="J425">
            <v>1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</row>
        <row r="426">
          <cell r="C426" t="str">
            <v>N/HT</v>
          </cell>
          <cell r="D426">
            <v>0</v>
          </cell>
          <cell r="F426" t="e">
            <v>#N/A</v>
          </cell>
          <cell r="G426" t="e">
            <v>#N/A</v>
          </cell>
          <cell r="H426" t="e">
            <v>#N/A</v>
          </cell>
          <cell r="I426">
            <v>1</v>
          </cell>
          <cell r="J426">
            <v>1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</row>
        <row r="427">
          <cell r="C427" t="str">
            <v>N/HT</v>
          </cell>
          <cell r="D427">
            <v>0</v>
          </cell>
          <cell r="F427" t="e">
            <v>#N/A</v>
          </cell>
          <cell r="G427" t="e">
            <v>#N/A</v>
          </cell>
          <cell r="H427" t="e">
            <v>#N/A</v>
          </cell>
          <cell r="I427">
            <v>1</v>
          </cell>
          <cell r="J427">
            <v>1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</row>
        <row r="428">
          <cell r="C428" t="str">
            <v>N/HT</v>
          </cell>
          <cell r="D428">
            <v>0</v>
          </cell>
          <cell r="F428" t="e">
            <v>#N/A</v>
          </cell>
          <cell r="G428" t="e">
            <v>#N/A</v>
          </cell>
          <cell r="H428" t="e">
            <v>#N/A</v>
          </cell>
          <cell r="I428">
            <v>1</v>
          </cell>
          <cell r="J428">
            <v>1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</row>
        <row r="429">
          <cell r="C429" t="str">
            <v>N/HT</v>
          </cell>
          <cell r="D429">
            <v>0</v>
          </cell>
          <cell r="F429" t="e">
            <v>#N/A</v>
          </cell>
          <cell r="G429" t="e">
            <v>#N/A</v>
          </cell>
          <cell r="H429" t="e">
            <v>#N/A</v>
          </cell>
          <cell r="I429">
            <v>1</v>
          </cell>
          <cell r="J429">
            <v>1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</row>
        <row r="430">
          <cell r="C430" t="str">
            <v>N/HT</v>
          </cell>
          <cell r="D430">
            <v>0</v>
          </cell>
          <cell r="F430" t="e">
            <v>#N/A</v>
          </cell>
          <cell r="G430" t="e">
            <v>#N/A</v>
          </cell>
          <cell r="H430" t="e">
            <v>#N/A</v>
          </cell>
          <cell r="I430">
            <v>1</v>
          </cell>
          <cell r="J430">
            <v>1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</row>
        <row r="431">
          <cell r="C431" t="str">
            <v>N/HT</v>
          </cell>
          <cell r="D431">
            <v>0</v>
          </cell>
          <cell r="F431" t="e">
            <v>#N/A</v>
          </cell>
          <cell r="G431" t="e">
            <v>#N/A</v>
          </cell>
          <cell r="H431" t="e">
            <v>#N/A</v>
          </cell>
          <cell r="I431">
            <v>1</v>
          </cell>
          <cell r="J431">
            <v>1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</row>
        <row r="432">
          <cell r="C432" t="str">
            <v>N/HT</v>
          </cell>
          <cell r="D432">
            <v>0</v>
          </cell>
          <cell r="F432" t="e">
            <v>#N/A</v>
          </cell>
          <cell r="G432" t="e">
            <v>#N/A</v>
          </cell>
          <cell r="H432" t="e">
            <v>#N/A</v>
          </cell>
          <cell r="I432">
            <v>1</v>
          </cell>
          <cell r="J432">
            <v>1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</row>
        <row r="433">
          <cell r="C433" t="str">
            <v>N/HT</v>
          </cell>
          <cell r="D433">
            <v>0</v>
          </cell>
          <cell r="F433" t="e">
            <v>#N/A</v>
          </cell>
          <cell r="G433" t="e">
            <v>#N/A</v>
          </cell>
          <cell r="H433" t="e">
            <v>#N/A</v>
          </cell>
          <cell r="I433">
            <v>1</v>
          </cell>
          <cell r="J433">
            <v>1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</row>
        <row r="434">
          <cell r="C434" t="str">
            <v>N/HT</v>
          </cell>
          <cell r="D434">
            <v>0</v>
          </cell>
          <cell r="F434" t="e">
            <v>#N/A</v>
          </cell>
          <cell r="G434" t="e">
            <v>#N/A</v>
          </cell>
          <cell r="H434" t="e">
            <v>#N/A</v>
          </cell>
          <cell r="I434">
            <v>1</v>
          </cell>
          <cell r="J434">
            <v>1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</row>
        <row r="435">
          <cell r="C435" t="str">
            <v>N/HT</v>
          </cell>
          <cell r="D435">
            <v>0</v>
          </cell>
          <cell r="F435" t="e">
            <v>#N/A</v>
          </cell>
          <cell r="G435" t="e">
            <v>#N/A</v>
          </cell>
          <cell r="H435" t="e">
            <v>#N/A</v>
          </cell>
          <cell r="I435">
            <v>1</v>
          </cell>
          <cell r="J435">
            <v>1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</row>
        <row r="436">
          <cell r="C436" t="str">
            <v>N/HT</v>
          </cell>
          <cell r="D436">
            <v>0</v>
          </cell>
          <cell r="F436" t="e">
            <v>#N/A</v>
          </cell>
          <cell r="G436" t="e">
            <v>#N/A</v>
          </cell>
          <cell r="H436" t="e">
            <v>#N/A</v>
          </cell>
          <cell r="I436">
            <v>1</v>
          </cell>
          <cell r="J436">
            <v>1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</row>
        <row r="437">
          <cell r="C437" t="str">
            <v>N/HT</v>
          </cell>
          <cell r="D437">
            <v>0</v>
          </cell>
          <cell r="F437" t="e">
            <v>#N/A</v>
          </cell>
          <cell r="G437" t="e">
            <v>#N/A</v>
          </cell>
          <cell r="H437" t="e">
            <v>#N/A</v>
          </cell>
          <cell r="I437">
            <v>1</v>
          </cell>
          <cell r="J437">
            <v>1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</row>
        <row r="438">
          <cell r="C438" t="str">
            <v>N/HT</v>
          </cell>
          <cell r="D438">
            <v>0</v>
          </cell>
          <cell r="F438" t="e">
            <v>#N/A</v>
          </cell>
          <cell r="G438" t="e">
            <v>#N/A</v>
          </cell>
          <cell r="H438" t="e">
            <v>#N/A</v>
          </cell>
          <cell r="I438">
            <v>1</v>
          </cell>
          <cell r="J438">
            <v>1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</row>
        <row r="439">
          <cell r="C439" t="str">
            <v>N/HT</v>
          </cell>
          <cell r="D439">
            <v>0</v>
          </cell>
          <cell r="F439" t="e">
            <v>#N/A</v>
          </cell>
          <cell r="G439" t="e">
            <v>#N/A</v>
          </cell>
          <cell r="H439" t="e">
            <v>#N/A</v>
          </cell>
          <cell r="I439">
            <v>1</v>
          </cell>
          <cell r="J439">
            <v>1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</row>
        <row r="440">
          <cell r="C440" t="str">
            <v>N/HT</v>
          </cell>
          <cell r="D440">
            <v>0</v>
          </cell>
          <cell r="F440" t="e">
            <v>#N/A</v>
          </cell>
          <cell r="G440" t="e">
            <v>#N/A</v>
          </cell>
          <cell r="H440" t="e">
            <v>#N/A</v>
          </cell>
          <cell r="I440">
            <v>1</v>
          </cell>
          <cell r="J440">
            <v>1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</row>
        <row r="441">
          <cell r="C441" t="str">
            <v>N/HT</v>
          </cell>
          <cell r="D441">
            <v>0</v>
          </cell>
          <cell r="F441" t="e">
            <v>#N/A</v>
          </cell>
          <cell r="G441" t="e">
            <v>#N/A</v>
          </cell>
          <cell r="H441" t="e">
            <v>#N/A</v>
          </cell>
          <cell r="I441">
            <v>1</v>
          </cell>
          <cell r="J441">
            <v>1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</row>
        <row r="442">
          <cell r="C442" t="str">
            <v>N/HT</v>
          </cell>
          <cell r="D442">
            <v>0</v>
          </cell>
          <cell r="F442" t="e">
            <v>#N/A</v>
          </cell>
          <cell r="G442" t="e">
            <v>#N/A</v>
          </cell>
          <cell r="H442" t="e">
            <v>#N/A</v>
          </cell>
          <cell r="I442">
            <v>1</v>
          </cell>
          <cell r="J442">
            <v>1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</row>
        <row r="443">
          <cell r="C443" t="str">
            <v>N/HT</v>
          </cell>
          <cell r="D443">
            <v>0</v>
          </cell>
          <cell r="F443" t="e">
            <v>#N/A</v>
          </cell>
          <cell r="G443" t="e">
            <v>#N/A</v>
          </cell>
          <cell r="H443" t="e">
            <v>#N/A</v>
          </cell>
          <cell r="I443">
            <v>1</v>
          </cell>
          <cell r="J443">
            <v>1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</row>
        <row r="444">
          <cell r="C444" t="str">
            <v>N/HT</v>
          </cell>
          <cell r="D444">
            <v>0</v>
          </cell>
          <cell r="F444" t="e">
            <v>#N/A</v>
          </cell>
          <cell r="G444" t="e">
            <v>#N/A</v>
          </cell>
          <cell r="H444" t="e">
            <v>#N/A</v>
          </cell>
          <cell r="I444">
            <v>1</v>
          </cell>
          <cell r="J444">
            <v>1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</row>
        <row r="446">
          <cell r="C446" t="str">
            <v>No. Parte Htal:</v>
          </cell>
          <cell r="D446" t="str">
            <v>RQ</v>
          </cell>
          <cell r="E446" t="str">
            <v>Inventario</v>
          </cell>
          <cell r="F446" t="str">
            <v>Pz / Herramental</v>
          </cell>
          <cell r="G446" t="str">
            <v>Tiempo Entrega</v>
          </cell>
          <cell r="H446" t="str">
            <v>Mín</v>
          </cell>
          <cell r="I446" t="str">
            <v>Pto. Reorden</v>
          </cell>
          <cell r="J446" t="str">
            <v>Máx</v>
          </cell>
          <cell r="K446" t="str">
            <v>Mín</v>
          </cell>
          <cell r="L446" t="str">
            <v>Pto. Reorden</v>
          </cell>
          <cell r="M446" t="str">
            <v>Máx</v>
          </cell>
          <cell r="N446" t="str">
            <v>STATUS</v>
          </cell>
        </row>
        <row r="447">
          <cell r="D447">
            <v>0</v>
          </cell>
          <cell r="F447" t="e">
            <v>#N/A</v>
          </cell>
          <cell r="G447" t="e">
            <v>#N/A</v>
          </cell>
          <cell r="H447" t="e">
            <v>#N/A</v>
          </cell>
          <cell r="I447">
            <v>1</v>
          </cell>
          <cell r="J447">
            <v>1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</row>
        <row r="448">
          <cell r="D448">
            <v>0</v>
          </cell>
          <cell r="F448" t="e">
            <v>#N/A</v>
          </cell>
          <cell r="G448" t="e">
            <v>#N/A</v>
          </cell>
          <cell r="H448" t="e">
            <v>#N/A</v>
          </cell>
          <cell r="I448">
            <v>1</v>
          </cell>
          <cell r="J448">
            <v>1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</row>
        <row r="449">
          <cell r="D449">
            <v>0</v>
          </cell>
          <cell r="F449" t="e">
            <v>#N/A</v>
          </cell>
          <cell r="G449" t="e">
            <v>#N/A</v>
          </cell>
          <cell r="H449" t="e">
            <v>#N/A</v>
          </cell>
          <cell r="I449">
            <v>1</v>
          </cell>
          <cell r="J449">
            <v>1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</row>
        <row r="450">
          <cell r="D450">
            <v>0</v>
          </cell>
          <cell r="F450" t="e">
            <v>#N/A</v>
          </cell>
          <cell r="G450" t="e">
            <v>#N/A</v>
          </cell>
          <cell r="H450" t="e">
            <v>#N/A</v>
          </cell>
          <cell r="I450">
            <v>1</v>
          </cell>
          <cell r="J450">
            <v>1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</row>
        <row r="451">
          <cell r="D451">
            <v>0</v>
          </cell>
          <cell r="F451" t="e">
            <v>#N/A</v>
          </cell>
          <cell r="G451" t="e">
            <v>#N/A</v>
          </cell>
          <cell r="H451" t="e">
            <v>#N/A</v>
          </cell>
          <cell r="I451">
            <v>1</v>
          </cell>
          <cell r="J451">
            <v>1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</row>
        <row r="452">
          <cell r="D452">
            <v>0</v>
          </cell>
          <cell r="F452" t="e">
            <v>#N/A</v>
          </cell>
          <cell r="G452" t="e">
            <v>#N/A</v>
          </cell>
          <cell r="H452" t="e">
            <v>#N/A</v>
          </cell>
          <cell r="I452">
            <v>1</v>
          </cell>
          <cell r="J452">
            <v>1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</row>
        <row r="453">
          <cell r="D453">
            <v>0</v>
          </cell>
          <cell r="F453" t="e">
            <v>#N/A</v>
          </cell>
          <cell r="G453" t="e">
            <v>#N/A</v>
          </cell>
          <cell r="H453" t="e">
            <v>#N/A</v>
          </cell>
          <cell r="I453">
            <v>1</v>
          </cell>
          <cell r="J453">
            <v>1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</row>
        <row r="454">
          <cell r="D454">
            <v>0</v>
          </cell>
          <cell r="F454" t="e">
            <v>#N/A</v>
          </cell>
          <cell r="G454" t="e">
            <v>#N/A</v>
          </cell>
          <cell r="H454" t="e">
            <v>#N/A</v>
          </cell>
          <cell r="I454">
            <v>1</v>
          </cell>
          <cell r="J454">
            <v>1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</row>
        <row r="455">
          <cell r="C455" t="str">
            <v>N/HT</v>
          </cell>
          <cell r="D455">
            <v>0</v>
          </cell>
          <cell r="F455" t="e">
            <v>#N/A</v>
          </cell>
          <cell r="G455" t="e">
            <v>#N/A</v>
          </cell>
          <cell r="H455" t="e">
            <v>#N/A</v>
          </cell>
          <cell r="I455">
            <v>1</v>
          </cell>
          <cell r="J455">
            <v>1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</row>
        <row r="456">
          <cell r="C456" t="str">
            <v>N/HT</v>
          </cell>
          <cell r="D456">
            <v>0</v>
          </cell>
          <cell r="F456" t="e">
            <v>#N/A</v>
          </cell>
          <cell r="G456" t="e">
            <v>#N/A</v>
          </cell>
          <cell r="H456" t="e">
            <v>#N/A</v>
          </cell>
          <cell r="I456">
            <v>1</v>
          </cell>
          <cell r="J456">
            <v>1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</row>
        <row r="457">
          <cell r="C457" t="str">
            <v>N/HT</v>
          </cell>
          <cell r="D457">
            <v>0</v>
          </cell>
          <cell r="F457" t="e">
            <v>#N/A</v>
          </cell>
          <cell r="G457" t="e">
            <v>#N/A</v>
          </cell>
          <cell r="H457" t="e">
            <v>#N/A</v>
          </cell>
          <cell r="I457">
            <v>1</v>
          </cell>
          <cell r="J457">
            <v>1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</row>
        <row r="458">
          <cell r="C458" t="str">
            <v>N/HT</v>
          </cell>
          <cell r="D458">
            <v>0</v>
          </cell>
          <cell r="E458" t="str">
            <v xml:space="preserve"> </v>
          </cell>
          <cell r="F458" t="e">
            <v>#N/A</v>
          </cell>
          <cell r="G458" t="e">
            <v>#N/A</v>
          </cell>
          <cell r="H458" t="e">
            <v>#N/A</v>
          </cell>
          <cell r="I458">
            <v>1</v>
          </cell>
          <cell r="J458">
            <v>1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</row>
        <row r="459">
          <cell r="C459" t="str">
            <v>N/HT</v>
          </cell>
          <cell r="D459">
            <v>0</v>
          </cell>
          <cell r="F459" t="e">
            <v>#N/A</v>
          </cell>
          <cell r="G459" t="e">
            <v>#N/A</v>
          </cell>
          <cell r="H459" t="e">
            <v>#N/A</v>
          </cell>
          <cell r="I459">
            <v>1</v>
          </cell>
          <cell r="J459">
            <v>1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</row>
        <row r="460">
          <cell r="C460" t="str">
            <v>N/HT</v>
          </cell>
          <cell r="D460">
            <v>0</v>
          </cell>
          <cell r="F460" t="e">
            <v>#N/A</v>
          </cell>
          <cell r="G460" t="e">
            <v>#N/A</v>
          </cell>
          <cell r="H460" t="e">
            <v>#N/A</v>
          </cell>
          <cell r="I460">
            <v>1</v>
          </cell>
          <cell r="J460">
            <v>1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</row>
        <row r="461">
          <cell r="C461" t="str">
            <v>N/HT</v>
          </cell>
          <cell r="D461">
            <v>0</v>
          </cell>
          <cell r="F461" t="e">
            <v>#N/A</v>
          </cell>
          <cell r="G461" t="e">
            <v>#N/A</v>
          </cell>
          <cell r="H461" t="e">
            <v>#N/A</v>
          </cell>
          <cell r="I461">
            <v>1</v>
          </cell>
          <cell r="J461">
            <v>1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</row>
        <row r="462">
          <cell r="C462" t="str">
            <v>N/HT</v>
          </cell>
          <cell r="D462">
            <v>0</v>
          </cell>
          <cell r="F462" t="e">
            <v>#N/A</v>
          </cell>
          <cell r="G462" t="e">
            <v>#N/A</v>
          </cell>
          <cell r="H462" t="e">
            <v>#N/A</v>
          </cell>
          <cell r="I462">
            <v>1</v>
          </cell>
          <cell r="J462">
            <v>1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</row>
        <row r="463">
          <cell r="C463" t="str">
            <v>N/HT</v>
          </cell>
          <cell r="D463">
            <v>0</v>
          </cell>
          <cell r="F463" t="e">
            <v>#N/A</v>
          </cell>
          <cell r="G463" t="e">
            <v>#N/A</v>
          </cell>
          <cell r="H463" t="e">
            <v>#N/A</v>
          </cell>
          <cell r="I463">
            <v>1</v>
          </cell>
          <cell r="J463">
            <v>1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</row>
        <row r="464">
          <cell r="C464" t="str">
            <v>N/HT</v>
          </cell>
          <cell r="D464">
            <v>0</v>
          </cell>
          <cell r="F464" t="e">
            <v>#N/A</v>
          </cell>
          <cell r="G464" t="e">
            <v>#N/A</v>
          </cell>
          <cell r="H464" t="e">
            <v>#N/A</v>
          </cell>
          <cell r="I464">
            <v>1</v>
          </cell>
          <cell r="J464">
            <v>1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</row>
        <row r="465">
          <cell r="C465" t="str">
            <v>N/HT</v>
          </cell>
          <cell r="D465">
            <v>0</v>
          </cell>
          <cell r="F465" t="e">
            <v>#N/A</v>
          </cell>
          <cell r="G465" t="e">
            <v>#N/A</v>
          </cell>
          <cell r="H465" t="e">
            <v>#N/A</v>
          </cell>
          <cell r="I465">
            <v>1</v>
          </cell>
          <cell r="J465">
            <v>1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</row>
        <row r="466">
          <cell r="C466" t="str">
            <v>N/HT</v>
          </cell>
          <cell r="D466">
            <v>0</v>
          </cell>
          <cell r="F466" t="e">
            <v>#N/A</v>
          </cell>
          <cell r="G466" t="e">
            <v>#N/A</v>
          </cell>
          <cell r="H466" t="e">
            <v>#N/A</v>
          </cell>
          <cell r="I466">
            <v>1</v>
          </cell>
          <cell r="J466">
            <v>1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</row>
        <row r="467">
          <cell r="C467" t="str">
            <v>N/HT</v>
          </cell>
          <cell r="D467">
            <v>0</v>
          </cell>
          <cell r="F467" t="e">
            <v>#N/A</v>
          </cell>
          <cell r="G467" t="e">
            <v>#N/A</v>
          </cell>
          <cell r="H467" t="e">
            <v>#N/A</v>
          </cell>
          <cell r="I467">
            <v>1</v>
          </cell>
          <cell r="J467">
            <v>1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</row>
        <row r="468">
          <cell r="C468" t="str">
            <v>N/HT</v>
          </cell>
          <cell r="D468">
            <v>0</v>
          </cell>
          <cell r="F468" t="e">
            <v>#N/A</v>
          </cell>
          <cell r="G468" t="e">
            <v>#N/A</v>
          </cell>
          <cell r="H468" t="e">
            <v>#N/A</v>
          </cell>
          <cell r="I468">
            <v>1</v>
          </cell>
          <cell r="J468">
            <v>1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</row>
        <row r="469">
          <cell r="C469" t="str">
            <v>N/HT</v>
          </cell>
          <cell r="D469">
            <v>0</v>
          </cell>
          <cell r="F469" t="e">
            <v>#N/A</v>
          </cell>
          <cell r="G469" t="e">
            <v>#N/A</v>
          </cell>
          <cell r="H469" t="e">
            <v>#N/A</v>
          </cell>
          <cell r="I469">
            <v>1</v>
          </cell>
          <cell r="J469">
            <v>1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</row>
        <row r="470">
          <cell r="C470" t="str">
            <v>N/HT</v>
          </cell>
          <cell r="D470">
            <v>0</v>
          </cell>
          <cell r="F470" t="e">
            <v>#N/A</v>
          </cell>
          <cell r="G470" t="e">
            <v>#N/A</v>
          </cell>
          <cell r="H470" t="e">
            <v>#N/A</v>
          </cell>
          <cell r="I470">
            <v>1</v>
          </cell>
          <cell r="J470">
            <v>1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</row>
        <row r="471">
          <cell r="C471" t="str">
            <v>N/HT</v>
          </cell>
          <cell r="D471">
            <v>0</v>
          </cell>
          <cell r="F471" t="e">
            <v>#N/A</v>
          </cell>
          <cell r="G471" t="e">
            <v>#N/A</v>
          </cell>
          <cell r="H471" t="e">
            <v>#N/A</v>
          </cell>
          <cell r="I471">
            <v>1</v>
          </cell>
          <cell r="J471">
            <v>1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</row>
        <row r="472">
          <cell r="C472" t="str">
            <v>N/HT</v>
          </cell>
          <cell r="D472">
            <v>0</v>
          </cell>
          <cell r="F472" t="e">
            <v>#N/A</v>
          </cell>
          <cell r="G472" t="e">
            <v>#N/A</v>
          </cell>
          <cell r="H472" t="e">
            <v>#N/A</v>
          </cell>
          <cell r="I472">
            <v>1</v>
          </cell>
          <cell r="J472">
            <v>1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</row>
        <row r="473">
          <cell r="C473" t="str">
            <v>N/HT</v>
          </cell>
          <cell r="D473">
            <v>0</v>
          </cell>
          <cell r="F473" t="e">
            <v>#N/A</v>
          </cell>
          <cell r="G473" t="e">
            <v>#N/A</v>
          </cell>
          <cell r="H473" t="e">
            <v>#N/A</v>
          </cell>
          <cell r="I473">
            <v>1</v>
          </cell>
          <cell r="J473">
            <v>1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</row>
        <row r="474">
          <cell r="C474" t="str">
            <v>N/HT</v>
          </cell>
          <cell r="D474">
            <v>0</v>
          </cell>
          <cell r="F474" t="e">
            <v>#N/A</v>
          </cell>
          <cell r="G474" t="e">
            <v>#N/A</v>
          </cell>
          <cell r="H474" t="e">
            <v>#N/A</v>
          </cell>
          <cell r="I474">
            <v>1</v>
          </cell>
          <cell r="J474">
            <v>1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</row>
        <row r="475">
          <cell r="C475" t="str">
            <v>N/HT</v>
          </cell>
          <cell r="D475">
            <v>0</v>
          </cell>
          <cell r="F475" t="e">
            <v>#N/A</v>
          </cell>
          <cell r="G475" t="e">
            <v>#N/A</v>
          </cell>
          <cell r="H475" t="e">
            <v>#N/A</v>
          </cell>
          <cell r="I475">
            <v>1</v>
          </cell>
          <cell r="J475">
            <v>1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</row>
        <row r="476">
          <cell r="C476" t="str">
            <v>N/HT</v>
          </cell>
          <cell r="D476">
            <v>0</v>
          </cell>
          <cell r="F476" t="e">
            <v>#N/A</v>
          </cell>
          <cell r="G476" t="e">
            <v>#N/A</v>
          </cell>
          <cell r="H476" t="e">
            <v>#N/A</v>
          </cell>
          <cell r="I476">
            <v>1</v>
          </cell>
          <cell r="J476">
            <v>1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</row>
        <row r="477">
          <cell r="C477" t="str">
            <v>N/HT</v>
          </cell>
          <cell r="D477">
            <v>0</v>
          </cell>
          <cell r="F477" t="e">
            <v>#N/A</v>
          </cell>
          <cell r="G477" t="e">
            <v>#N/A</v>
          </cell>
          <cell r="H477" t="e">
            <v>#N/A</v>
          </cell>
          <cell r="I477">
            <v>1</v>
          </cell>
          <cell r="J477">
            <v>1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</row>
        <row r="478">
          <cell r="C478" t="str">
            <v>N/HT</v>
          </cell>
          <cell r="D478">
            <v>0</v>
          </cell>
          <cell r="F478" t="e">
            <v>#N/A</v>
          </cell>
          <cell r="G478" t="e">
            <v>#N/A</v>
          </cell>
          <cell r="H478" t="e">
            <v>#N/A</v>
          </cell>
          <cell r="I478">
            <v>1</v>
          </cell>
          <cell r="J478">
            <v>1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</row>
        <row r="480">
          <cell r="C480" t="str">
            <v>No. Parte Htal:</v>
          </cell>
          <cell r="D480" t="str">
            <v>RQ</v>
          </cell>
          <cell r="E480" t="str">
            <v>Inventario</v>
          </cell>
          <cell r="F480" t="str">
            <v>Pz / Herramental</v>
          </cell>
          <cell r="G480" t="str">
            <v>Tiempo Entrega</v>
          </cell>
          <cell r="H480" t="str">
            <v>Mín</v>
          </cell>
          <cell r="I480" t="str">
            <v>Pto. Reorden</v>
          </cell>
          <cell r="J480" t="str">
            <v>Máx</v>
          </cell>
          <cell r="K480" t="str">
            <v>Mín</v>
          </cell>
          <cell r="L480" t="str">
            <v>Pto. Reorden</v>
          </cell>
          <cell r="M480" t="str">
            <v>Máx</v>
          </cell>
          <cell r="N480" t="str">
            <v>STATUS</v>
          </cell>
        </row>
        <row r="481">
          <cell r="D481">
            <v>0</v>
          </cell>
          <cell r="F481" t="e">
            <v>#N/A</v>
          </cell>
          <cell r="G481" t="e">
            <v>#N/A</v>
          </cell>
          <cell r="H481" t="e">
            <v>#N/A</v>
          </cell>
          <cell r="I481">
            <v>1</v>
          </cell>
          <cell r="J481">
            <v>1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</row>
        <row r="482">
          <cell r="D482">
            <v>0</v>
          </cell>
          <cell r="F482" t="e">
            <v>#N/A</v>
          </cell>
          <cell r="G482" t="e">
            <v>#N/A</v>
          </cell>
          <cell r="H482" t="e">
            <v>#N/A</v>
          </cell>
          <cell r="I482">
            <v>1</v>
          </cell>
          <cell r="J482">
            <v>1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</row>
        <row r="483">
          <cell r="D483">
            <v>0</v>
          </cell>
          <cell r="F483" t="e">
            <v>#N/A</v>
          </cell>
          <cell r="G483" t="e">
            <v>#N/A</v>
          </cell>
          <cell r="H483" t="e">
            <v>#N/A</v>
          </cell>
          <cell r="I483">
            <v>1</v>
          </cell>
          <cell r="J483">
            <v>1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</row>
        <row r="484">
          <cell r="D484">
            <v>0</v>
          </cell>
          <cell r="F484" t="e">
            <v>#N/A</v>
          </cell>
          <cell r="G484" t="e">
            <v>#N/A</v>
          </cell>
          <cell r="H484" t="e">
            <v>#N/A</v>
          </cell>
          <cell r="I484">
            <v>1</v>
          </cell>
          <cell r="J484">
            <v>1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</row>
        <row r="485">
          <cell r="D485">
            <v>0</v>
          </cell>
          <cell r="F485" t="e">
            <v>#N/A</v>
          </cell>
          <cell r="G485" t="e">
            <v>#N/A</v>
          </cell>
          <cell r="H485" t="e">
            <v>#N/A</v>
          </cell>
          <cell r="I485">
            <v>1</v>
          </cell>
          <cell r="J485">
            <v>1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</row>
        <row r="486">
          <cell r="D486">
            <v>0</v>
          </cell>
          <cell r="F486" t="e">
            <v>#N/A</v>
          </cell>
          <cell r="G486" t="e">
            <v>#N/A</v>
          </cell>
          <cell r="H486" t="e">
            <v>#N/A</v>
          </cell>
          <cell r="I486">
            <v>1</v>
          </cell>
          <cell r="J486">
            <v>1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</row>
        <row r="487">
          <cell r="D487">
            <v>0</v>
          </cell>
          <cell r="F487" t="e">
            <v>#N/A</v>
          </cell>
          <cell r="G487" t="e">
            <v>#N/A</v>
          </cell>
          <cell r="H487" t="e">
            <v>#N/A</v>
          </cell>
          <cell r="I487">
            <v>1</v>
          </cell>
          <cell r="J487">
            <v>1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</row>
        <row r="488">
          <cell r="D488">
            <v>0</v>
          </cell>
          <cell r="F488" t="e">
            <v>#N/A</v>
          </cell>
          <cell r="G488" t="e">
            <v>#N/A</v>
          </cell>
          <cell r="H488" t="e">
            <v>#N/A</v>
          </cell>
          <cell r="I488">
            <v>1</v>
          </cell>
          <cell r="J488">
            <v>1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</row>
        <row r="489">
          <cell r="D489">
            <v>0</v>
          </cell>
          <cell r="F489" t="e">
            <v>#N/A</v>
          </cell>
          <cell r="G489" t="e">
            <v>#N/A</v>
          </cell>
          <cell r="H489" t="e">
            <v>#N/A</v>
          </cell>
          <cell r="I489">
            <v>1</v>
          </cell>
          <cell r="J489">
            <v>1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</row>
        <row r="490">
          <cell r="D490">
            <v>0</v>
          </cell>
          <cell r="F490" t="e">
            <v>#N/A</v>
          </cell>
          <cell r="G490" t="e">
            <v>#N/A</v>
          </cell>
          <cell r="H490" t="e">
            <v>#N/A</v>
          </cell>
          <cell r="I490">
            <v>1</v>
          </cell>
          <cell r="J490">
            <v>1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</row>
        <row r="491">
          <cell r="D491">
            <v>0</v>
          </cell>
          <cell r="F491" t="e">
            <v>#N/A</v>
          </cell>
          <cell r="G491" t="e">
            <v>#N/A</v>
          </cell>
          <cell r="H491" t="e">
            <v>#N/A</v>
          </cell>
          <cell r="I491">
            <v>1</v>
          </cell>
          <cell r="J491">
            <v>1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</row>
        <row r="492">
          <cell r="D492">
            <v>0</v>
          </cell>
          <cell r="F492" t="e">
            <v>#N/A</v>
          </cell>
          <cell r="G492" t="e">
            <v>#N/A</v>
          </cell>
          <cell r="H492" t="e">
            <v>#N/A</v>
          </cell>
          <cell r="I492">
            <v>1</v>
          </cell>
          <cell r="J492">
            <v>1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</row>
        <row r="493">
          <cell r="D493">
            <v>0</v>
          </cell>
          <cell r="F493" t="e">
            <v>#N/A</v>
          </cell>
          <cell r="G493" t="e">
            <v>#N/A</v>
          </cell>
          <cell r="H493" t="e">
            <v>#N/A</v>
          </cell>
          <cell r="I493">
            <v>1</v>
          </cell>
          <cell r="J493">
            <v>1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</row>
        <row r="494">
          <cell r="D494">
            <v>0</v>
          </cell>
          <cell r="F494" t="e">
            <v>#N/A</v>
          </cell>
          <cell r="G494" t="e">
            <v>#N/A</v>
          </cell>
          <cell r="H494" t="e">
            <v>#N/A</v>
          </cell>
          <cell r="I494">
            <v>1</v>
          </cell>
          <cell r="J494">
            <v>1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</row>
        <row r="495">
          <cell r="D495">
            <v>0</v>
          </cell>
          <cell r="F495" t="e">
            <v>#N/A</v>
          </cell>
          <cell r="G495" t="e">
            <v>#N/A</v>
          </cell>
          <cell r="H495" t="e">
            <v>#N/A</v>
          </cell>
          <cell r="I495">
            <v>1</v>
          </cell>
          <cell r="J495">
            <v>1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</row>
        <row r="496">
          <cell r="D496">
            <v>0</v>
          </cell>
          <cell r="F496" t="e">
            <v>#N/A</v>
          </cell>
          <cell r="G496" t="e">
            <v>#N/A</v>
          </cell>
          <cell r="H496" t="e">
            <v>#N/A</v>
          </cell>
          <cell r="I496">
            <v>1</v>
          </cell>
          <cell r="J496">
            <v>1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</row>
        <row r="497">
          <cell r="D497">
            <v>0</v>
          </cell>
          <cell r="F497" t="e">
            <v>#N/A</v>
          </cell>
          <cell r="G497" t="e">
            <v>#N/A</v>
          </cell>
          <cell r="H497" t="e">
            <v>#N/A</v>
          </cell>
          <cell r="I497">
            <v>1</v>
          </cell>
          <cell r="J497">
            <v>1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</row>
        <row r="498">
          <cell r="D498">
            <v>0</v>
          </cell>
          <cell r="F498" t="e">
            <v>#N/A</v>
          </cell>
          <cell r="G498" t="e">
            <v>#N/A</v>
          </cell>
          <cell r="H498" t="e">
            <v>#N/A</v>
          </cell>
          <cell r="I498">
            <v>1</v>
          </cell>
          <cell r="J498">
            <v>1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</row>
        <row r="499">
          <cell r="C499" t="str">
            <v>N/HT</v>
          </cell>
          <cell r="D499">
            <v>0</v>
          </cell>
          <cell r="F499" t="e">
            <v>#N/A</v>
          </cell>
          <cell r="G499" t="e">
            <v>#N/A</v>
          </cell>
          <cell r="H499" t="e">
            <v>#N/A</v>
          </cell>
          <cell r="I499">
            <v>1</v>
          </cell>
          <cell r="J499">
            <v>1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</row>
        <row r="500">
          <cell r="C500" t="str">
            <v>N/HT</v>
          </cell>
          <cell r="D500">
            <v>0</v>
          </cell>
          <cell r="F500" t="e">
            <v>#N/A</v>
          </cell>
          <cell r="G500" t="e">
            <v>#N/A</v>
          </cell>
          <cell r="H500" t="e">
            <v>#N/A</v>
          </cell>
          <cell r="I500">
            <v>1</v>
          </cell>
          <cell r="J500">
            <v>1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</row>
        <row r="501">
          <cell r="C501" t="str">
            <v>N/HT</v>
          </cell>
          <cell r="D501">
            <v>0</v>
          </cell>
          <cell r="E501" t="str">
            <v xml:space="preserve"> </v>
          </cell>
          <cell r="F501" t="e">
            <v>#N/A</v>
          </cell>
          <cell r="G501" t="e">
            <v>#N/A</v>
          </cell>
          <cell r="H501" t="e">
            <v>#N/A</v>
          </cell>
          <cell r="I501">
            <v>1</v>
          </cell>
          <cell r="J501">
            <v>1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</row>
        <row r="502">
          <cell r="C502" t="str">
            <v>N/HT</v>
          </cell>
          <cell r="D502">
            <v>0</v>
          </cell>
          <cell r="F502" t="e">
            <v>#N/A</v>
          </cell>
          <cell r="G502" t="e">
            <v>#N/A</v>
          </cell>
          <cell r="H502" t="e">
            <v>#N/A</v>
          </cell>
          <cell r="I502">
            <v>1</v>
          </cell>
          <cell r="J502">
            <v>1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</row>
        <row r="503">
          <cell r="C503" t="str">
            <v>N/HT</v>
          </cell>
          <cell r="D503">
            <v>0</v>
          </cell>
          <cell r="F503" t="e">
            <v>#N/A</v>
          </cell>
          <cell r="G503" t="e">
            <v>#N/A</v>
          </cell>
          <cell r="H503" t="e">
            <v>#N/A</v>
          </cell>
          <cell r="I503">
            <v>1</v>
          </cell>
          <cell r="J503">
            <v>1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</row>
        <row r="504">
          <cell r="C504" t="str">
            <v>N/HT</v>
          </cell>
          <cell r="D504">
            <v>0</v>
          </cell>
          <cell r="F504" t="e">
            <v>#N/A</v>
          </cell>
          <cell r="G504" t="e">
            <v>#N/A</v>
          </cell>
          <cell r="H504" t="e">
            <v>#N/A</v>
          </cell>
          <cell r="I504">
            <v>1</v>
          </cell>
          <cell r="J504">
            <v>1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</row>
        <row r="505">
          <cell r="C505" t="str">
            <v>N/HT</v>
          </cell>
          <cell r="D505">
            <v>0</v>
          </cell>
          <cell r="F505" t="e">
            <v>#N/A</v>
          </cell>
          <cell r="G505" t="e">
            <v>#N/A</v>
          </cell>
          <cell r="H505" t="e">
            <v>#N/A</v>
          </cell>
          <cell r="I505">
            <v>1</v>
          </cell>
          <cell r="J505">
            <v>1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</row>
        <row r="506">
          <cell r="C506" t="str">
            <v>N/HT</v>
          </cell>
          <cell r="D506">
            <v>0</v>
          </cell>
          <cell r="F506" t="e">
            <v>#N/A</v>
          </cell>
          <cell r="G506" t="e">
            <v>#N/A</v>
          </cell>
          <cell r="H506" t="e">
            <v>#N/A</v>
          </cell>
          <cell r="I506">
            <v>1</v>
          </cell>
          <cell r="J506">
            <v>1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</row>
        <row r="507">
          <cell r="C507" t="str">
            <v>N/HT</v>
          </cell>
          <cell r="D507">
            <v>0</v>
          </cell>
          <cell r="F507" t="e">
            <v>#N/A</v>
          </cell>
          <cell r="G507" t="e">
            <v>#N/A</v>
          </cell>
          <cell r="H507" t="e">
            <v>#N/A</v>
          </cell>
          <cell r="I507">
            <v>1</v>
          </cell>
          <cell r="J507">
            <v>1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</row>
        <row r="508">
          <cell r="C508" t="str">
            <v>N/HT</v>
          </cell>
          <cell r="D508">
            <v>0</v>
          </cell>
          <cell r="F508" t="e">
            <v>#N/A</v>
          </cell>
          <cell r="G508" t="e">
            <v>#N/A</v>
          </cell>
          <cell r="H508" t="e">
            <v>#N/A</v>
          </cell>
          <cell r="I508">
            <v>1</v>
          </cell>
          <cell r="J508">
            <v>1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</row>
        <row r="509">
          <cell r="C509" t="str">
            <v>N/HT</v>
          </cell>
          <cell r="D509">
            <v>0</v>
          </cell>
          <cell r="F509" t="e">
            <v>#N/A</v>
          </cell>
          <cell r="G509" t="e">
            <v>#N/A</v>
          </cell>
          <cell r="H509" t="e">
            <v>#N/A</v>
          </cell>
          <cell r="I509">
            <v>1</v>
          </cell>
          <cell r="J509">
            <v>1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</row>
        <row r="510">
          <cell r="C510" t="str">
            <v>N/HT</v>
          </cell>
          <cell r="D510">
            <v>0</v>
          </cell>
          <cell r="F510" t="e">
            <v>#N/A</v>
          </cell>
          <cell r="G510" t="e">
            <v>#N/A</v>
          </cell>
          <cell r="H510" t="e">
            <v>#N/A</v>
          </cell>
          <cell r="I510">
            <v>1</v>
          </cell>
          <cell r="J510">
            <v>1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</row>
        <row r="511">
          <cell r="C511" t="str">
            <v>N/HT</v>
          </cell>
          <cell r="D511">
            <v>0</v>
          </cell>
          <cell r="F511" t="e">
            <v>#N/A</v>
          </cell>
          <cell r="G511" t="e">
            <v>#N/A</v>
          </cell>
          <cell r="H511" t="e">
            <v>#N/A</v>
          </cell>
          <cell r="I511">
            <v>1</v>
          </cell>
          <cell r="J511">
            <v>1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</row>
        <row r="512">
          <cell r="C512" t="str">
            <v>N/HT</v>
          </cell>
          <cell r="D512">
            <v>0</v>
          </cell>
          <cell r="F512" t="e">
            <v>#N/A</v>
          </cell>
          <cell r="G512" t="e">
            <v>#N/A</v>
          </cell>
          <cell r="H512" t="e">
            <v>#N/A</v>
          </cell>
          <cell r="I512">
            <v>1</v>
          </cell>
          <cell r="J512">
            <v>1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</row>
        <row r="514">
          <cell r="C514" t="str">
            <v>No. Parte Htal:</v>
          </cell>
          <cell r="D514" t="str">
            <v>RQ</v>
          </cell>
          <cell r="E514" t="str">
            <v>Inventario</v>
          </cell>
          <cell r="F514" t="str">
            <v>Pz / Herramental</v>
          </cell>
          <cell r="G514" t="str">
            <v>Tiempo Entrega</v>
          </cell>
          <cell r="H514" t="str">
            <v>Mín</v>
          </cell>
          <cell r="I514" t="str">
            <v>Pto. Reorden</v>
          </cell>
          <cell r="J514" t="str">
            <v>Máx</v>
          </cell>
          <cell r="K514" t="str">
            <v>Mín</v>
          </cell>
          <cell r="L514" t="str">
            <v>Pto. Reorden</v>
          </cell>
          <cell r="M514" t="str">
            <v>Máx</v>
          </cell>
          <cell r="N514" t="str">
            <v>STATUS</v>
          </cell>
        </row>
        <row r="515">
          <cell r="D515">
            <v>0</v>
          </cell>
          <cell r="F515" t="e">
            <v>#N/A</v>
          </cell>
          <cell r="G515" t="e">
            <v>#N/A</v>
          </cell>
          <cell r="H515" t="e">
            <v>#N/A</v>
          </cell>
          <cell r="I515">
            <v>1</v>
          </cell>
          <cell r="J515">
            <v>1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</row>
        <row r="516">
          <cell r="D516">
            <v>0</v>
          </cell>
          <cell r="F516" t="e">
            <v>#N/A</v>
          </cell>
          <cell r="G516" t="e">
            <v>#N/A</v>
          </cell>
          <cell r="H516" t="e">
            <v>#N/A</v>
          </cell>
          <cell r="I516">
            <v>1</v>
          </cell>
          <cell r="J516">
            <v>1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</row>
        <row r="517">
          <cell r="D517">
            <v>0</v>
          </cell>
          <cell r="F517" t="e">
            <v>#N/A</v>
          </cell>
          <cell r="G517" t="e">
            <v>#N/A</v>
          </cell>
          <cell r="H517" t="e">
            <v>#N/A</v>
          </cell>
          <cell r="I517">
            <v>1</v>
          </cell>
          <cell r="J517">
            <v>1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</row>
        <row r="518">
          <cell r="D518">
            <v>0</v>
          </cell>
          <cell r="F518" t="e">
            <v>#N/A</v>
          </cell>
          <cell r="G518" t="e">
            <v>#N/A</v>
          </cell>
          <cell r="H518" t="e">
            <v>#N/A</v>
          </cell>
          <cell r="I518">
            <v>1</v>
          </cell>
          <cell r="J518">
            <v>1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</row>
        <row r="519">
          <cell r="D519">
            <v>0</v>
          </cell>
          <cell r="F519" t="e">
            <v>#N/A</v>
          </cell>
          <cell r="G519" t="e">
            <v>#N/A</v>
          </cell>
          <cell r="H519" t="e">
            <v>#N/A</v>
          </cell>
          <cell r="I519">
            <v>1</v>
          </cell>
          <cell r="J519">
            <v>1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</row>
        <row r="520">
          <cell r="D520">
            <v>0</v>
          </cell>
          <cell r="F520" t="e">
            <v>#N/A</v>
          </cell>
          <cell r="G520" t="e">
            <v>#N/A</v>
          </cell>
          <cell r="H520" t="e">
            <v>#N/A</v>
          </cell>
          <cell r="I520">
            <v>1</v>
          </cell>
          <cell r="J520">
            <v>1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</row>
        <row r="521">
          <cell r="D521">
            <v>0</v>
          </cell>
          <cell r="F521" t="e">
            <v>#N/A</v>
          </cell>
          <cell r="G521" t="e">
            <v>#N/A</v>
          </cell>
          <cell r="H521" t="e">
            <v>#N/A</v>
          </cell>
          <cell r="I521">
            <v>1</v>
          </cell>
          <cell r="J521">
            <v>1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</row>
        <row r="522">
          <cell r="D522">
            <v>0</v>
          </cell>
          <cell r="F522" t="e">
            <v>#N/A</v>
          </cell>
          <cell r="G522" t="e">
            <v>#N/A</v>
          </cell>
          <cell r="H522" t="e">
            <v>#N/A</v>
          </cell>
          <cell r="I522">
            <v>1</v>
          </cell>
          <cell r="J522">
            <v>1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</row>
        <row r="523">
          <cell r="D523">
            <v>0</v>
          </cell>
          <cell r="F523" t="e">
            <v>#N/A</v>
          </cell>
          <cell r="G523" t="e">
            <v>#N/A</v>
          </cell>
          <cell r="H523" t="e">
            <v>#N/A</v>
          </cell>
          <cell r="I523">
            <v>1</v>
          </cell>
          <cell r="J523">
            <v>1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</row>
        <row r="524">
          <cell r="D524">
            <v>0</v>
          </cell>
          <cell r="F524" t="e">
            <v>#N/A</v>
          </cell>
          <cell r="G524" t="e">
            <v>#N/A</v>
          </cell>
          <cell r="H524" t="e">
            <v>#N/A</v>
          </cell>
          <cell r="I524">
            <v>1</v>
          </cell>
          <cell r="J524">
            <v>1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</row>
        <row r="525">
          <cell r="D525">
            <v>0</v>
          </cell>
          <cell r="F525" t="e">
            <v>#N/A</v>
          </cell>
          <cell r="G525" t="e">
            <v>#N/A</v>
          </cell>
          <cell r="H525" t="e">
            <v>#N/A</v>
          </cell>
          <cell r="I525">
            <v>1</v>
          </cell>
          <cell r="J525">
            <v>1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</row>
        <row r="526">
          <cell r="D526">
            <v>0</v>
          </cell>
          <cell r="F526" t="e">
            <v>#N/A</v>
          </cell>
          <cell r="G526" t="e">
            <v>#N/A</v>
          </cell>
          <cell r="H526" t="e">
            <v>#N/A</v>
          </cell>
          <cell r="I526">
            <v>1</v>
          </cell>
          <cell r="J526">
            <v>1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</row>
        <row r="527">
          <cell r="D527">
            <v>0</v>
          </cell>
          <cell r="E527" t="str">
            <v xml:space="preserve"> </v>
          </cell>
          <cell r="F527" t="e">
            <v>#N/A</v>
          </cell>
          <cell r="G527" t="e">
            <v>#N/A</v>
          </cell>
          <cell r="H527" t="e">
            <v>#N/A</v>
          </cell>
          <cell r="I527">
            <v>1</v>
          </cell>
          <cell r="J527">
            <v>1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</row>
        <row r="528">
          <cell r="D528">
            <v>0</v>
          </cell>
          <cell r="F528" t="e">
            <v>#N/A</v>
          </cell>
          <cell r="G528" t="e">
            <v>#N/A</v>
          </cell>
          <cell r="H528" t="e">
            <v>#N/A</v>
          </cell>
          <cell r="I528">
            <v>1</v>
          </cell>
          <cell r="J528">
            <v>1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</row>
        <row r="529">
          <cell r="D529">
            <v>0</v>
          </cell>
          <cell r="F529" t="e">
            <v>#N/A</v>
          </cell>
          <cell r="G529" t="e">
            <v>#N/A</v>
          </cell>
          <cell r="H529" t="e">
            <v>#N/A</v>
          </cell>
          <cell r="I529">
            <v>1</v>
          </cell>
          <cell r="J529">
            <v>1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</row>
        <row r="530">
          <cell r="D530">
            <v>0</v>
          </cell>
          <cell r="F530" t="e">
            <v>#N/A</v>
          </cell>
          <cell r="G530" t="e">
            <v>#N/A</v>
          </cell>
          <cell r="H530" t="e">
            <v>#N/A</v>
          </cell>
          <cell r="I530">
            <v>1</v>
          </cell>
          <cell r="J530">
            <v>1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</row>
        <row r="531">
          <cell r="D531">
            <v>0</v>
          </cell>
          <cell r="F531" t="e">
            <v>#N/A</v>
          </cell>
          <cell r="G531" t="e">
            <v>#N/A</v>
          </cell>
          <cell r="H531" t="e">
            <v>#N/A</v>
          </cell>
          <cell r="I531">
            <v>1</v>
          </cell>
          <cell r="J531">
            <v>1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</row>
        <row r="532">
          <cell r="D532">
            <v>0</v>
          </cell>
          <cell r="F532" t="e">
            <v>#N/A</v>
          </cell>
          <cell r="G532" t="e">
            <v>#N/A</v>
          </cell>
          <cell r="H532" t="e">
            <v>#N/A</v>
          </cell>
          <cell r="I532">
            <v>1</v>
          </cell>
          <cell r="J532">
            <v>1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</row>
        <row r="533">
          <cell r="D533">
            <v>0</v>
          </cell>
          <cell r="F533" t="e">
            <v>#N/A</v>
          </cell>
          <cell r="G533" t="e">
            <v>#N/A</v>
          </cell>
          <cell r="H533" t="e">
            <v>#N/A</v>
          </cell>
          <cell r="I533">
            <v>1</v>
          </cell>
          <cell r="J533">
            <v>1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</row>
        <row r="534">
          <cell r="D534">
            <v>0</v>
          </cell>
          <cell r="F534" t="e">
            <v>#N/A</v>
          </cell>
          <cell r="G534" t="e">
            <v>#N/A</v>
          </cell>
          <cell r="H534" t="e">
            <v>#N/A</v>
          </cell>
          <cell r="I534">
            <v>1</v>
          </cell>
          <cell r="J534">
            <v>1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</row>
        <row r="535">
          <cell r="D535">
            <v>0</v>
          </cell>
          <cell r="F535" t="e">
            <v>#N/A</v>
          </cell>
          <cell r="G535" t="e">
            <v>#N/A</v>
          </cell>
          <cell r="H535" t="e">
            <v>#N/A</v>
          </cell>
          <cell r="I535">
            <v>1</v>
          </cell>
          <cell r="J535">
            <v>1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</row>
      </sheetData>
      <sheetData sheetId="7">
        <row r="1">
          <cell r="D1" t="str">
            <v>Troquelado OP 40</v>
          </cell>
        </row>
        <row r="5">
          <cell r="C5" t="str">
            <v>No. Parte Htal:</v>
          </cell>
          <cell r="D5" t="str">
            <v>RQ</v>
          </cell>
          <cell r="E5" t="str">
            <v>Inventario</v>
          </cell>
          <cell r="F5" t="str">
            <v>Pz / Herramental</v>
          </cell>
          <cell r="G5" t="str">
            <v>Tiempo Entrega</v>
          </cell>
          <cell r="H5" t="str">
            <v>Mín</v>
          </cell>
          <cell r="I5" t="str">
            <v>Pto. Reorden</v>
          </cell>
          <cell r="J5" t="str">
            <v>Máx</v>
          </cell>
          <cell r="K5" t="str">
            <v>Mín</v>
          </cell>
          <cell r="L5" t="str">
            <v>Pto. Reorden</v>
          </cell>
          <cell r="M5" t="str">
            <v>Máx</v>
          </cell>
          <cell r="N5" t="str">
            <v>STATUS</v>
          </cell>
        </row>
        <row r="6">
          <cell r="C6" t="str">
            <v>HTJA040134</v>
          </cell>
          <cell r="D6">
            <v>58</v>
          </cell>
          <cell r="E6">
            <v>1</v>
          </cell>
          <cell r="F6">
            <v>8000</v>
          </cell>
          <cell r="G6">
            <v>6</v>
          </cell>
          <cell r="H6">
            <v>1</v>
          </cell>
          <cell r="I6">
            <v>1</v>
          </cell>
          <cell r="J6">
            <v>1</v>
          </cell>
          <cell r="K6">
            <v>1</v>
          </cell>
          <cell r="L6">
            <v>2</v>
          </cell>
          <cell r="M6">
            <v>3</v>
          </cell>
          <cell r="N6" t="str">
            <v>PEDIR</v>
          </cell>
        </row>
        <row r="7">
          <cell r="C7" t="str">
            <v>HTJA040133</v>
          </cell>
          <cell r="D7">
            <v>58</v>
          </cell>
          <cell r="E7">
            <v>4</v>
          </cell>
          <cell r="F7">
            <v>3000</v>
          </cell>
          <cell r="G7">
            <v>6</v>
          </cell>
          <cell r="H7">
            <v>1</v>
          </cell>
          <cell r="I7">
            <v>1</v>
          </cell>
          <cell r="J7">
            <v>1</v>
          </cell>
          <cell r="K7">
            <v>1</v>
          </cell>
          <cell r="L7">
            <v>2</v>
          </cell>
          <cell r="M7">
            <v>3</v>
          </cell>
          <cell r="N7" t="str">
            <v>SOBREINVENTARIO</v>
          </cell>
        </row>
        <row r="8">
          <cell r="C8" t="str">
            <v>HTJA040197</v>
          </cell>
          <cell r="D8">
            <v>0</v>
          </cell>
          <cell r="E8">
            <v>0</v>
          </cell>
          <cell r="F8">
            <v>10000</v>
          </cell>
          <cell r="G8">
            <v>8</v>
          </cell>
          <cell r="H8">
            <v>0</v>
          </cell>
          <cell r="I8">
            <v>1</v>
          </cell>
          <cell r="J8">
            <v>1</v>
          </cell>
          <cell r="K8">
            <v>0</v>
          </cell>
          <cell r="L8">
            <v>1</v>
          </cell>
          <cell r="M8">
            <v>2</v>
          </cell>
          <cell r="N8" t="str">
            <v>PEDIR</v>
          </cell>
        </row>
        <row r="9">
          <cell r="C9" t="str">
            <v>HTJA040198</v>
          </cell>
          <cell r="D9">
            <v>0</v>
          </cell>
          <cell r="E9">
            <v>0</v>
          </cell>
          <cell r="F9">
            <v>5000</v>
          </cell>
          <cell r="G9">
            <v>8</v>
          </cell>
          <cell r="H9">
            <v>0</v>
          </cell>
          <cell r="I9">
            <v>1</v>
          </cell>
          <cell r="J9">
            <v>1</v>
          </cell>
          <cell r="K9">
            <v>0</v>
          </cell>
          <cell r="L9">
            <v>1</v>
          </cell>
          <cell r="M9">
            <v>2</v>
          </cell>
          <cell r="N9" t="str">
            <v>PEDIR</v>
          </cell>
        </row>
        <row r="10">
          <cell r="C10" t="str">
            <v>N/HT</v>
          </cell>
          <cell r="D10">
            <v>0</v>
          </cell>
          <cell r="E10">
            <v>0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1</v>
          </cell>
          <cell r="J10">
            <v>1</v>
          </cell>
          <cell r="K10" t="e">
            <v>#N/A</v>
          </cell>
          <cell r="L10" t="e">
            <v>#N/A</v>
          </cell>
          <cell r="M10" t="e">
            <v>#N/A</v>
          </cell>
          <cell r="N10" t="e">
            <v>#N/A</v>
          </cell>
        </row>
        <row r="11">
          <cell r="C11" t="str">
            <v>N/HT</v>
          </cell>
          <cell r="D11">
            <v>0</v>
          </cell>
          <cell r="E11">
            <v>0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1</v>
          </cell>
          <cell r="J11">
            <v>1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</row>
        <row r="12">
          <cell r="C12" t="str">
            <v>N/HT</v>
          </cell>
          <cell r="D12">
            <v>0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1</v>
          </cell>
          <cell r="J12">
            <v>1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</row>
        <row r="13">
          <cell r="C13" t="str">
            <v>N/HT</v>
          </cell>
          <cell r="D13">
            <v>0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1</v>
          </cell>
          <cell r="J13">
            <v>1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</row>
        <row r="14">
          <cell r="C14" t="str">
            <v>N/HT</v>
          </cell>
          <cell r="D14">
            <v>0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1</v>
          </cell>
          <cell r="J14">
            <v>1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</row>
        <row r="15">
          <cell r="C15" t="str">
            <v>N/HT</v>
          </cell>
          <cell r="D15">
            <v>0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1</v>
          </cell>
          <cell r="J15">
            <v>1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</row>
        <row r="16">
          <cell r="C16" t="str">
            <v>N/HT</v>
          </cell>
          <cell r="D16">
            <v>0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1</v>
          </cell>
          <cell r="J16">
            <v>1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</row>
        <row r="17">
          <cell r="C17" t="str">
            <v>N/HT</v>
          </cell>
          <cell r="D17">
            <v>0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1</v>
          </cell>
          <cell r="J17">
            <v>1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</row>
        <row r="18">
          <cell r="C18" t="str">
            <v>N/HT</v>
          </cell>
          <cell r="D18">
            <v>0</v>
          </cell>
          <cell r="F18" t="e">
            <v>#N/A</v>
          </cell>
          <cell r="G18" t="e">
            <v>#N/A</v>
          </cell>
          <cell r="H18" t="e">
            <v>#N/A</v>
          </cell>
          <cell r="I18">
            <v>1</v>
          </cell>
          <cell r="J18">
            <v>1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</row>
        <row r="19">
          <cell r="C19" t="str">
            <v>N/HT</v>
          </cell>
          <cell r="D19">
            <v>0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1</v>
          </cell>
          <cell r="J19">
            <v>1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</row>
        <row r="20">
          <cell r="C20" t="str">
            <v>N/HT</v>
          </cell>
          <cell r="D20">
            <v>0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1</v>
          </cell>
          <cell r="J20">
            <v>1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</row>
        <row r="21">
          <cell r="C21" t="str">
            <v>N/HT</v>
          </cell>
          <cell r="D21">
            <v>0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1</v>
          </cell>
          <cell r="J21">
            <v>1</v>
          </cell>
          <cell r="K21" t="e">
            <v>#N/A</v>
          </cell>
          <cell r="L21" t="e">
            <v>#N/A</v>
          </cell>
          <cell r="M21" t="e">
            <v>#N/A</v>
          </cell>
          <cell r="N21" t="e">
            <v>#N/A</v>
          </cell>
        </row>
        <row r="22">
          <cell r="C22" t="str">
            <v>N/HT</v>
          </cell>
          <cell r="D22">
            <v>0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1</v>
          </cell>
          <cell r="J22">
            <v>1</v>
          </cell>
          <cell r="K22" t="e">
            <v>#N/A</v>
          </cell>
          <cell r="L22" t="e">
            <v>#N/A</v>
          </cell>
          <cell r="M22" t="e">
            <v>#N/A</v>
          </cell>
          <cell r="N22" t="e">
            <v>#N/A</v>
          </cell>
        </row>
        <row r="23">
          <cell r="C23" t="str">
            <v>N/HT</v>
          </cell>
          <cell r="D23">
            <v>0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1</v>
          </cell>
          <cell r="J23">
            <v>1</v>
          </cell>
          <cell r="K23" t="e">
            <v>#N/A</v>
          </cell>
          <cell r="L23" t="e">
            <v>#N/A</v>
          </cell>
          <cell r="M23" t="e">
            <v>#N/A</v>
          </cell>
          <cell r="N23" t="e">
            <v>#N/A</v>
          </cell>
        </row>
        <row r="24">
          <cell r="C24" t="str">
            <v>N/HT</v>
          </cell>
          <cell r="D24">
            <v>0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1</v>
          </cell>
          <cell r="J24">
            <v>1</v>
          </cell>
          <cell r="K24" t="e">
            <v>#N/A</v>
          </cell>
          <cell r="L24" t="e">
            <v>#N/A</v>
          </cell>
          <cell r="M24" t="e">
            <v>#N/A</v>
          </cell>
          <cell r="N24" t="e">
            <v>#N/A</v>
          </cell>
        </row>
        <row r="25">
          <cell r="C25" t="str">
            <v>N/HT</v>
          </cell>
          <cell r="D25">
            <v>0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1</v>
          </cell>
          <cell r="J25">
            <v>1</v>
          </cell>
          <cell r="K25" t="e">
            <v>#N/A</v>
          </cell>
          <cell r="L25" t="e">
            <v>#N/A</v>
          </cell>
          <cell r="M25" t="e">
            <v>#N/A</v>
          </cell>
          <cell r="N25" t="e">
            <v>#N/A</v>
          </cell>
        </row>
        <row r="26">
          <cell r="C26" t="str">
            <v>N/HT</v>
          </cell>
          <cell r="D26">
            <v>0</v>
          </cell>
          <cell r="F26" t="e">
            <v>#N/A</v>
          </cell>
          <cell r="G26" t="e">
            <v>#N/A</v>
          </cell>
          <cell r="H26" t="e">
            <v>#N/A</v>
          </cell>
          <cell r="I26">
            <v>1</v>
          </cell>
          <cell r="J26">
            <v>1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</row>
        <row r="27">
          <cell r="C27" t="str">
            <v>N/HT</v>
          </cell>
          <cell r="D27">
            <v>0</v>
          </cell>
          <cell r="F27" t="e">
            <v>#N/A</v>
          </cell>
          <cell r="G27" t="e">
            <v>#N/A</v>
          </cell>
          <cell r="H27" t="e">
            <v>#N/A</v>
          </cell>
          <cell r="I27">
            <v>1</v>
          </cell>
          <cell r="J27">
            <v>1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</row>
        <row r="28">
          <cell r="C28" t="str">
            <v>N/HT</v>
          </cell>
          <cell r="D28">
            <v>0</v>
          </cell>
          <cell r="F28" t="e">
            <v>#N/A</v>
          </cell>
          <cell r="G28" t="e">
            <v>#N/A</v>
          </cell>
          <cell r="H28" t="e">
            <v>#N/A</v>
          </cell>
          <cell r="I28">
            <v>1</v>
          </cell>
          <cell r="J28">
            <v>1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</row>
        <row r="29">
          <cell r="C29" t="str">
            <v>N/HT</v>
          </cell>
          <cell r="D29">
            <v>0</v>
          </cell>
          <cell r="F29" t="e">
            <v>#N/A</v>
          </cell>
          <cell r="G29" t="e">
            <v>#N/A</v>
          </cell>
          <cell r="H29" t="e">
            <v>#N/A</v>
          </cell>
          <cell r="I29">
            <v>1</v>
          </cell>
          <cell r="J29">
            <v>1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</row>
        <row r="30">
          <cell r="C30" t="str">
            <v>N/HT</v>
          </cell>
          <cell r="D30">
            <v>0</v>
          </cell>
          <cell r="F30" t="e">
            <v>#N/A</v>
          </cell>
          <cell r="G30" t="e">
            <v>#N/A</v>
          </cell>
          <cell r="H30" t="e">
            <v>#N/A</v>
          </cell>
          <cell r="I30">
            <v>1</v>
          </cell>
          <cell r="J30">
            <v>1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</row>
        <row r="31">
          <cell r="C31" t="str">
            <v>N/HT</v>
          </cell>
          <cell r="D31">
            <v>0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1</v>
          </cell>
          <cell r="J31">
            <v>1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</row>
        <row r="32">
          <cell r="C32" t="str">
            <v>N/HT</v>
          </cell>
          <cell r="D32">
            <v>0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1</v>
          </cell>
          <cell r="J32">
            <v>1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</row>
        <row r="33">
          <cell r="C33" t="str">
            <v>N/HT</v>
          </cell>
          <cell r="D33">
            <v>0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1</v>
          </cell>
          <cell r="J33">
            <v>1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</row>
        <row r="34">
          <cell r="C34" t="str">
            <v>N/HT</v>
          </cell>
          <cell r="D34">
            <v>0</v>
          </cell>
          <cell r="F34" t="e">
            <v>#N/A</v>
          </cell>
          <cell r="G34" t="e">
            <v>#N/A</v>
          </cell>
          <cell r="H34" t="e">
            <v>#N/A</v>
          </cell>
          <cell r="I34">
            <v>1</v>
          </cell>
          <cell r="J34">
            <v>1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</row>
        <row r="35">
          <cell r="C35" t="str">
            <v>N/HT</v>
          </cell>
          <cell r="D35">
            <v>0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1</v>
          </cell>
          <cell r="J35">
            <v>1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</row>
        <row r="36">
          <cell r="C36" t="str">
            <v>N/HT</v>
          </cell>
          <cell r="D36">
            <v>0</v>
          </cell>
          <cell r="F36" t="e">
            <v>#N/A</v>
          </cell>
          <cell r="G36" t="e">
            <v>#N/A</v>
          </cell>
          <cell r="H36" t="e">
            <v>#N/A</v>
          </cell>
          <cell r="I36">
            <v>1</v>
          </cell>
          <cell r="J36">
            <v>1</v>
          </cell>
          <cell r="K36" t="e">
            <v>#N/A</v>
          </cell>
          <cell r="L36" t="e">
            <v>#N/A</v>
          </cell>
          <cell r="M36" t="e">
            <v>#N/A</v>
          </cell>
          <cell r="N36" t="e">
            <v>#N/A</v>
          </cell>
        </row>
        <row r="37">
          <cell r="C37" t="str">
            <v>N/HT</v>
          </cell>
          <cell r="D37">
            <v>0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1</v>
          </cell>
          <cell r="J37">
            <v>1</v>
          </cell>
          <cell r="K37" t="e">
            <v>#N/A</v>
          </cell>
          <cell r="L37" t="e">
            <v>#N/A</v>
          </cell>
          <cell r="M37" t="e">
            <v>#N/A</v>
          </cell>
          <cell r="N37" t="e">
            <v>#N/A</v>
          </cell>
        </row>
        <row r="39">
          <cell r="C39" t="str">
            <v>No. Parte Htal:</v>
          </cell>
          <cell r="D39" t="str">
            <v>RQ</v>
          </cell>
          <cell r="E39" t="str">
            <v>Inventario</v>
          </cell>
          <cell r="F39" t="str">
            <v>Pz / Herramental</v>
          </cell>
          <cell r="G39" t="str">
            <v>Tiempo Entrega</v>
          </cell>
          <cell r="H39" t="str">
            <v>Mín</v>
          </cell>
          <cell r="I39" t="str">
            <v>Pto. Reorden</v>
          </cell>
          <cell r="J39" t="str">
            <v>Máx</v>
          </cell>
          <cell r="K39" t="str">
            <v>Mín</v>
          </cell>
          <cell r="L39" t="str">
            <v>Pto. Reorden</v>
          </cell>
          <cell r="M39" t="str">
            <v>Máx</v>
          </cell>
          <cell r="N39" t="str">
            <v>STATUS</v>
          </cell>
        </row>
        <row r="40">
          <cell r="C40" t="str">
            <v>HTJA040195</v>
          </cell>
          <cell r="D40">
            <v>8133.6</v>
          </cell>
          <cell r="E40">
            <v>2</v>
          </cell>
          <cell r="F40">
            <v>200000</v>
          </cell>
          <cell r="G40">
            <v>8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2</v>
          </cell>
          <cell r="M40">
            <v>3</v>
          </cell>
          <cell r="N40" t="str">
            <v>PEDIR</v>
          </cell>
        </row>
        <row r="41">
          <cell r="C41" t="str">
            <v>HTJA040194</v>
          </cell>
          <cell r="D41">
            <v>8133.6</v>
          </cell>
          <cell r="E41">
            <v>2</v>
          </cell>
          <cell r="F41">
            <v>200000</v>
          </cell>
          <cell r="G41">
            <v>8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2</v>
          </cell>
          <cell r="M41">
            <v>3</v>
          </cell>
          <cell r="N41" t="str">
            <v>PEDIR</v>
          </cell>
        </row>
        <row r="42">
          <cell r="C42" t="str">
            <v>HTJA040014</v>
          </cell>
          <cell r="D42">
            <v>8133.6</v>
          </cell>
          <cell r="E42">
            <v>5</v>
          </cell>
          <cell r="F42">
            <v>25000</v>
          </cell>
          <cell r="G42">
            <v>8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2</v>
          </cell>
          <cell r="M42">
            <v>3</v>
          </cell>
          <cell r="N42" t="str">
            <v>SOBREINVENTARIO</v>
          </cell>
        </row>
        <row r="43">
          <cell r="C43" t="str">
            <v>HTJA040119</v>
          </cell>
          <cell r="D43">
            <v>8133.6</v>
          </cell>
          <cell r="E43">
            <v>4</v>
          </cell>
          <cell r="F43">
            <v>4000</v>
          </cell>
          <cell r="G43">
            <v>6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2</v>
          </cell>
          <cell r="M43">
            <v>3</v>
          </cell>
          <cell r="N43" t="str">
            <v>SOBREINVENTARIO</v>
          </cell>
        </row>
        <row r="44">
          <cell r="C44" t="str">
            <v>HTJA040161</v>
          </cell>
          <cell r="D44">
            <v>8133.6</v>
          </cell>
          <cell r="E44">
            <v>1</v>
          </cell>
          <cell r="F44">
            <v>100000</v>
          </cell>
          <cell r="G44">
            <v>8</v>
          </cell>
          <cell r="H44">
            <v>1</v>
          </cell>
          <cell r="I44">
            <v>1</v>
          </cell>
          <cell r="J44">
            <v>1</v>
          </cell>
          <cell r="K44">
            <v>1</v>
          </cell>
          <cell r="L44">
            <v>2</v>
          </cell>
          <cell r="M44">
            <v>3</v>
          </cell>
          <cell r="N44" t="str">
            <v>PEDIR</v>
          </cell>
        </row>
        <row r="45">
          <cell r="C45" t="str">
            <v>HTJA040118</v>
          </cell>
          <cell r="D45">
            <v>8133.6</v>
          </cell>
          <cell r="E45">
            <v>2</v>
          </cell>
          <cell r="F45">
            <v>200000</v>
          </cell>
          <cell r="G45">
            <v>8</v>
          </cell>
          <cell r="H45">
            <v>1</v>
          </cell>
          <cell r="I45">
            <v>1</v>
          </cell>
          <cell r="J45">
            <v>1</v>
          </cell>
          <cell r="K45">
            <v>1</v>
          </cell>
          <cell r="L45">
            <v>2</v>
          </cell>
          <cell r="M45">
            <v>3</v>
          </cell>
          <cell r="N45" t="str">
            <v>PEDIR</v>
          </cell>
        </row>
        <row r="46">
          <cell r="C46" t="str">
            <v>HTJA040015</v>
          </cell>
          <cell r="D46">
            <v>8133.6</v>
          </cell>
          <cell r="E46">
            <v>1</v>
          </cell>
          <cell r="F46">
            <v>10000</v>
          </cell>
          <cell r="G46">
            <v>11</v>
          </cell>
          <cell r="H46">
            <v>1</v>
          </cell>
          <cell r="I46">
            <v>1</v>
          </cell>
          <cell r="J46">
            <v>1</v>
          </cell>
          <cell r="K46">
            <v>1</v>
          </cell>
          <cell r="L46">
            <v>2</v>
          </cell>
          <cell r="M46">
            <v>3</v>
          </cell>
          <cell r="N46" t="str">
            <v>PEDIR</v>
          </cell>
        </row>
        <row r="47">
          <cell r="C47" t="str">
            <v>HTJA040121</v>
          </cell>
          <cell r="D47">
            <v>8133.6</v>
          </cell>
          <cell r="E47">
            <v>9</v>
          </cell>
          <cell r="F47">
            <v>5000</v>
          </cell>
          <cell r="G47">
            <v>6</v>
          </cell>
          <cell r="H47">
            <v>1</v>
          </cell>
          <cell r="I47">
            <v>1</v>
          </cell>
          <cell r="J47">
            <v>1</v>
          </cell>
          <cell r="K47">
            <v>1</v>
          </cell>
          <cell r="L47">
            <v>2</v>
          </cell>
          <cell r="M47">
            <v>3</v>
          </cell>
          <cell r="N47" t="str">
            <v>SOBREINVENTARIO</v>
          </cell>
        </row>
        <row r="48">
          <cell r="C48" t="str">
            <v>N/HT</v>
          </cell>
          <cell r="D48">
            <v>0</v>
          </cell>
          <cell r="F48" t="e">
            <v>#N/A</v>
          </cell>
          <cell r="G48" t="e">
            <v>#N/A</v>
          </cell>
          <cell r="H48" t="e">
            <v>#N/A</v>
          </cell>
          <cell r="I48">
            <v>1</v>
          </cell>
          <cell r="J48">
            <v>1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</row>
        <row r="49">
          <cell r="C49" t="str">
            <v>N/HT</v>
          </cell>
          <cell r="D49">
            <v>0</v>
          </cell>
          <cell r="F49" t="e">
            <v>#N/A</v>
          </cell>
          <cell r="G49" t="e">
            <v>#N/A</v>
          </cell>
          <cell r="H49" t="e">
            <v>#N/A</v>
          </cell>
          <cell r="I49">
            <v>1</v>
          </cell>
          <cell r="J49">
            <v>1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</row>
        <row r="50">
          <cell r="C50" t="str">
            <v>N/HT</v>
          </cell>
          <cell r="D50">
            <v>0</v>
          </cell>
          <cell r="F50" t="e">
            <v>#N/A</v>
          </cell>
          <cell r="G50" t="e">
            <v>#N/A</v>
          </cell>
          <cell r="H50" t="e">
            <v>#N/A</v>
          </cell>
          <cell r="I50">
            <v>1</v>
          </cell>
          <cell r="J50">
            <v>1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</row>
        <row r="51">
          <cell r="C51" t="str">
            <v>N/HT</v>
          </cell>
          <cell r="D51">
            <v>0</v>
          </cell>
          <cell r="F51" t="e">
            <v>#N/A</v>
          </cell>
          <cell r="G51" t="e">
            <v>#N/A</v>
          </cell>
          <cell r="H51" t="e">
            <v>#N/A</v>
          </cell>
          <cell r="I51">
            <v>1</v>
          </cell>
          <cell r="J51">
            <v>1</v>
          </cell>
          <cell r="K51" t="e">
            <v>#N/A</v>
          </cell>
          <cell r="L51" t="e">
            <v>#N/A</v>
          </cell>
          <cell r="M51" t="e">
            <v>#N/A</v>
          </cell>
          <cell r="N51" t="e">
            <v>#N/A</v>
          </cell>
        </row>
        <row r="52">
          <cell r="C52" t="str">
            <v>N/HT</v>
          </cell>
          <cell r="D52">
            <v>0</v>
          </cell>
          <cell r="F52" t="e">
            <v>#N/A</v>
          </cell>
          <cell r="G52" t="e">
            <v>#N/A</v>
          </cell>
          <cell r="H52" t="e">
            <v>#N/A</v>
          </cell>
          <cell r="I52">
            <v>1</v>
          </cell>
          <cell r="J52">
            <v>1</v>
          </cell>
          <cell r="K52" t="e">
            <v>#N/A</v>
          </cell>
          <cell r="L52" t="e">
            <v>#N/A</v>
          </cell>
          <cell r="M52" t="e">
            <v>#N/A</v>
          </cell>
          <cell r="N52" t="e">
            <v>#N/A</v>
          </cell>
        </row>
        <row r="53">
          <cell r="C53" t="str">
            <v>N/HT</v>
          </cell>
          <cell r="D53">
            <v>0</v>
          </cell>
          <cell r="F53" t="e">
            <v>#N/A</v>
          </cell>
          <cell r="G53" t="e">
            <v>#N/A</v>
          </cell>
          <cell r="H53" t="e">
            <v>#N/A</v>
          </cell>
          <cell r="I53">
            <v>1</v>
          </cell>
          <cell r="J53">
            <v>1</v>
          </cell>
          <cell r="K53" t="e">
            <v>#N/A</v>
          </cell>
          <cell r="L53" t="e">
            <v>#N/A</v>
          </cell>
          <cell r="M53" t="e">
            <v>#N/A</v>
          </cell>
          <cell r="N53" t="e">
            <v>#N/A</v>
          </cell>
        </row>
        <row r="54">
          <cell r="C54" t="str">
            <v>N/HT</v>
          </cell>
          <cell r="D54">
            <v>0</v>
          </cell>
          <cell r="F54" t="e">
            <v>#N/A</v>
          </cell>
          <cell r="G54" t="e">
            <v>#N/A</v>
          </cell>
          <cell r="H54" t="e">
            <v>#N/A</v>
          </cell>
          <cell r="I54">
            <v>1</v>
          </cell>
          <cell r="J54">
            <v>1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</row>
        <row r="55">
          <cell r="C55" t="str">
            <v>N/HT</v>
          </cell>
          <cell r="D55">
            <v>0</v>
          </cell>
          <cell r="F55" t="e">
            <v>#N/A</v>
          </cell>
          <cell r="G55" t="e">
            <v>#N/A</v>
          </cell>
          <cell r="H55" t="e">
            <v>#N/A</v>
          </cell>
          <cell r="I55">
            <v>1</v>
          </cell>
          <cell r="J55">
            <v>1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</row>
        <row r="56">
          <cell r="C56" t="str">
            <v>N/HT</v>
          </cell>
          <cell r="D56">
            <v>0</v>
          </cell>
          <cell r="F56" t="e">
            <v>#N/A</v>
          </cell>
          <cell r="G56" t="e">
            <v>#N/A</v>
          </cell>
          <cell r="H56" t="e">
            <v>#N/A</v>
          </cell>
          <cell r="I56">
            <v>1</v>
          </cell>
          <cell r="J56">
            <v>1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</row>
        <row r="57">
          <cell r="C57" t="str">
            <v>N/HT</v>
          </cell>
          <cell r="D57">
            <v>0</v>
          </cell>
          <cell r="F57" t="e">
            <v>#N/A</v>
          </cell>
          <cell r="G57" t="e">
            <v>#N/A</v>
          </cell>
          <cell r="H57" t="e">
            <v>#N/A</v>
          </cell>
          <cell r="I57">
            <v>1</v>
          </cell>
          <cell r="J57">
            <v>1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</row>
        <row r="58">
          <cell r="C58" t="str">
            <v>N/HT</v>
          </cell>
          <cell r="D58">
            <v>0</v>
          </cell>
          <cell r="F58" t="e">
            <v>#N/A</v>
          </cell>
          <cell r="G58" t="e">
            <v>#N/A</v>
          </cell>
          <cell r="H58" t="e">
            <v>#N/A</v>
          </cell>
          <cell r="I58">
            <v>1</v>
          </cell>
          <cell r="J58">
            <v>1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</row>
        <row r="59">
          <cell r="C59" t="str">
            <v>N/HT</v>
          </cell>
          <cell r="D59">
            <v>0</v>
          </cell>
          <cell r="F59" t="e">
            <v>#N/A</v>
          </cell>
          <cell r="G59" t="e">
            <v>#N/A</v>
          </cell>
          <cell r="H59" t="e">
            <v>#N/A</v>
          </cell>
          <cell r="I59">
            <v>1</v>
          </cell>
          <cell r="J59">
            <v>1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</row>
        <row r="60">
          <cell r="C60" t="str">
            <v>N/HT</v>
          </cell>
          <cell r="D60">
            <v>0</v>
          </cell>
          <cell r="F60" t="e">
            <v>#N/A</v>
          </cell>
          <cell r="G60" t="e">
            <v>#N/A</v>
          </cell>
          <cell r="H60" t="e">
            <v>#N/A</v>
          </cell>
          <cell r="I60">
            <v>1</v>
          </cell>
          <cell r="J60">
            <v>1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</row>
        <row r="61">
          <cell r="C61" t="str">
            <v>N/HT</v>
          </cell>
          <cell r="D61">
            <v>0</v>
          </cell>
          <cell r="F61" t="e">
            <v>#N/A</v>
          </cell>
          <cell r="G61" t="e">
            <v>#N/A</v>
          </cell>
          <cell r="H61" t="e">
            <v>#N/A</v>
          </cell>
          <cell r="I61">
            <v>1</v>
          </cell>
          <cell r="J61">
            <v>1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</row>
        <row r="62">
          <cell r="C62" t="str">
            <v>N/HT</v>
          </cell>
          <cell r="D62">
            <v>0</v>
          </cell>
          <cell r="F62" t="e">
            <v>#N/A</v>
          </cell>
          <cell r="G62" t="e">
            <v>#N/A</v>
          </cell>
          <cell r="H62" t="e">
            <v>#N/A</v>
          </cell>
          <cell r="I62">
            <v>1</v>
          </cell>
          <cell r="J62">
            <v>1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</row>
        <row r="63">
          <cell r="C63" t="str">
            <v>N/HT</v>
          </cell>
          <cell r="D63">
            <v>0</v>
          </cell>
          <cell r="F63" t="e">
            <v>#N/A</v>
          </cell>
          <cell r="G63" t="e">
            <v>#N/A</v>
          </cell>
          <cell r="H63" t="e">
            <v>#N/A</v>
          </cell>
          <cell r="I63">
            <v>1</v>
          </cell>
          <cell r="J63">
            <v>1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</row>
        <row r="64">
          <cell r="C64" t="str">
            <v>N/HT</v>
          </cell>
          <cell r="D64">
            <v>0</v>
          </cell>
          <cell r="F64" t="e">
            <v>#N/A</v>
          </cell>
          <cell r="G64" t="e">
            <v>#N/A</v>
          </cell>
          <cell r="H64" t="e">
            <v>#N/A</v>
          </cell>
          <cell r="I64">
            <v>1</v>
          </cell>
          <cell r="J64">
            <v>1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</row>
        <row r="65">
          <cell r="C65" t="str">
            <v>N/HT</v>
          </cell>
          <cell r="D65">
            <v>0</v>
          </cell>
          <cell r="F65" t="e">
            <v>#N/A</v>
          </cell>
          <cell r="G65" t="e">
            <v>#N/A</v>
          </cell>
          <cell r="H65" t="e">
            <v>#N/A</v>
          </cell>
          <cell r="I65">
            <v>1</v>
          </cell>
          <cell r="J65">
            <v>1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</row>
        <row r="66">
          <cell r="C66" t="str">
            <v>N/HT</v>
          </cell>
          <cell r="D66">
            <v>0</v>
          </cell>
          <cell r="F66" t="e">
            <v>#N/A</v>
          </cell>
          <cell r="G66" t="e">
            <v>#N/A</v>
          </cell>
          <cell r="H66" t="e">
            <v>#N/A</v>
          </cell>
          <cell r="I66">
            <v>1</v>
          </cell>
          <cell r="J66">
            <v>1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</row>
        <row r="67">
          <cell r="C67" t="str">
            <v>N/HT</v>
          </cell>
          <cell r="D67">
            <v>0</v>
          </cell>
          <cell r="F67" t="e">
            <v>#N/A</v>
          </cell>
          <cell r="G67" t="e">
            <v>#N/A</v>
          </cell>
          <cell r="H67" t="e">
            <v>#N/A</v>
          </cell>
          <cell r="I67">
            <v>1</v>
          </cell>
          <cell r="J67">
            <v>1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</row>
        <row r="68">
          <cell r="C68" t="str">
            <v>N/HT</v>
          </cell>
          <cell r="D68">
            <v>0</v>
          </cell>
          <cell r="F68" t="e">
            <v>#N/A</v>
          </cell>
          <cell r="G68" t="e">
            <v>#N/A</v>
          </cell>
          <cell r="H68" t="e">
            <v>#N/A</v>
          </cell>
          <cell r="I68">
            <v>1</v>
          </cell>
          <cell r="J68">
            <v>1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</row>
        <row r="69">
          <cell r="C69" t="str">
            <v>N/HT</v>
          </cell>
          <cell r="D69">
            <v>0</v>
          </cell>
          <cell r="F69" t="e">
            <v>#N/A</v>
          </cell>
          <cell r="G69" t="e">
            <v>#N/A</v>
          </cell>
          <cell r="H69" t="e">
            <v>#N/A</v>
          </cell>
          <cell r="I69">
            <v>1</v>
          </cell>
          <cell r="J69">
            <v>1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</row>
        <row r="70">
          <cell r="C70" t="str">
            <v>N/HT</v>
          </cell>
          <cell r="D70">
            <v>0</v>
          </cell>
          <cell r="F70" t="e">
            <v>#N/A</v>
          </cell>
          <cell r="G70" t="e">
            <v>#N/A</v>
          </cell>
          <cell r="H70" t="e">
            <v>#N/A</v>
          </cell>
          <cell r="I70">
            <v>1</v>
          </cell>
          <cell r="J70">
            <v>1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</row>
        <row r="71">
          <cell r="C71" t="str">
            <v>N/HT</v>
          </cell>
          <cell r="D71">
            <v>0</v>
          </cell>
          <cell r="F71" t="e">
            <v>#N/A</v>
          </cell>
          <cell r="G71" t="e">
            <v>#N/A</v>
          </cell>
          <cell r="H71" t="e">
            <v>#N/A</v>
          </cell>
          <cell r="I71">
            <v>1</v>
          </cell>
          <cell r="J71">
            <v>1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</row>
        <row r="73">
          <cell r="C73" t="str">
            <v>No. Parte Htal:</v>
          </cell>
          <cell r="D73" t="str">
            <v>RQ</v>
          </cell>
          <cell r="E73" t="str">
            <v>Inventario</v>
          </cell>
          <cell r="F73" t="str">
            <v>Pz / Herramental</v>
          </cell>
          <cell r="G73" t="str">
            <v>Tiempo Entrega</v>
          </cell>
          <cell r="H73" t="str">
            <v>Mín</v>
          </cell>
          <cell r="I73" t="str">
            <v>Pto. Reorden</v>
          </cell>
          <cell r="J73" t="str">
            <v>Máx</v>
          </cell>
          <cell r="K73" t="str">
            <v>Mín</v>
          </cell>
          <cell r="L73" t="str">
            <v>Pto. Reorden</v>
          </cell>
          <cell r="M73" t="str">
            <v>Máx</v>
          </cell>
          <cell r="N73" t="str">
            <v>STATUS</v>
          </cell>
        </row>
        <row r="74">
          <cell r="C74" t="str">
            <v>HTJA040031</v>
          </cell>
          <cell r="D74">
            <v>32759.000000000004</v>
          </cell>
          <cell r="E74">
            <v>3</v>
          </cell>
          <cell r="F74">
            <v>50000</v>
          </cell>
          <cell r="G74">
            <v>10</v>
          </cell>
          <cell r="H74">
            <v>1</v>
          </cell>
          <cell r="I74">
            <v>1</v>
          </cell>
          <cell r="J74">
            <v>1</v>
          </cell>
          <cell r="K74">
            <v>1</v>
          </cell>
          <cell r="L74">
            <v>2</v>
          </cell>
          <cell r="M74">
            <v>3</v>
          </cell>
          <cell r="N74" t="str">
            <v>OK</v>
          </cell>
        </row>
        <row r="75">
          <cell r="C75" t="str">
            <v>HTJA040185</v>
          </cell>
          <cell r="D75">
            <v>32759.000000000004</v>
          </cell>
          <cell r="E75">
            <v>2</v>
          </cell>
          <cell r="F75">
            <v>200000</v>
          </cell>
          <cell r="G75">
            <v>8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2</v>
          </cell>
          <cell r="M75">
            <v>3</v>
          </cell>
          <cell r="N75" t="str">
            <v>PEDIR</v>
          </cell>
        </row>
        <row r="76">
          <cell r="C76" t="str">
            <v>HTJA040184</v>
          </cell>
          <cell r="D76">
            <v>32759.000000000004</v>
          </cell>
          <cell r="E76">
            <v>2</v>
          </cell>
          <cell r="F76">
            <v>200000</v>
          </cell>
          <cell r="G76">
            <v>8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2</v>
          </cell>
          <cell r="M76">
            <v>3</v>
          </cell>
          <cell r="N76" t="str">
            <v>PEDIR</v>
          </cell>
        </row>
        <row r="77">
          <cell r="C77" t="str">
            <v>HTJA040079</v>
          </cell>
          <cell r="D77">
            <v>32759.000000000004</v>
          </cell>
          <cell r="E77">
            <v>4</v>
          </cell>
          <cell r="F77">
            <v>8000</v>
          </cell>
          <cell r="G77">
            <v>6</v>
          </cell>
          <cell r="H77">
            <v>2</v>
          </cell>
          <cell r="I77">
            <v>1</v>
          </cell>
          <cell r="J77">
            <v>1</v>
          </cell>
          <cell r="K77">
            <v>2</v>
          </cell>
          <cell r="L77">
            <v>3</v>
          </cell>
          <cell r="M77">
            <v>4</v>
          </cell>
          <cell r="N77" t="str">
            <v>OK</v>
          </cell>
        </row>
        <row r="78">
          <cell r="C78" t="str">
            <v>HTJA040166</v>
          </cell>
          <cell r="D78">
            <v>32759.000000000004</v>
          </cell>
          <cell r="E78">
            <v>1</v>
          </cell>
          <cell r="F78">
            <v>5000</v>
          </cell>
          <cell r="G78">
            <v>6</v>
          </cell>
          <cell r="H78">
            <v>2</v>
          </cell>
          <cell r="I78">
            <v>1</v>
          </cell>
          <cell r="J78">
            <v>1</v>
          </cell>
          <cell r="K78">
            <v>2</v>
          </cell>
          <cell r="L78">
            <v>3</v>
          </cell>
          <cell r="M78">
            <v>4</v>
          </cell>
          <cell r="N78" t="str">
            <v>URGENTE</v>
          </cell>
        </row>
        <row r="79">
          <cell r="C79" t="str">
            <v>HTJA040167</v>
          </cell>
          <cell r="D79">
            <v>32759.000000000004</v>
          </cell>
          <cell r="E79">
            <v>3</v>
          </cell>
          <cell r="F79">
            <v>100000</v>
          </cell>
          <cell r="G79">
            <v>8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2</v>
          </cell>
          <cell r="M79">
            <v>3</v>
          </cell>
          <cell r="N79" t="str">
            <v>OK</v>
          </cell>
        </row>
        <row r="80">
          <cell r="C80" t="str">
            <v>HTJA040204</v>
          </cell>
          <cell r="D80">
            <v>32759.000000000004</v>
          </cell>
          <cell r="E80">
            <v>2</v>
          </cell>
          <cell r="F80">
            <v>10000</v>
          </cell>
          <cell r="G80">
            <v>8</v>
          </cell>
          <cell r="H80">
            <v>2</v>
          </cell>
          <cell r="I80">
            <v>1</v>
          </cell>
          <cell r="J80">
            <v>1</v>
          </cell>
          <cell r="K80">
            <v>2</v>
          </cell>
          <cell r="L80">
            <v>3</v>
          </cell>
          <cell r="M80">
            <v>4</v>
          </cell>
          <cell r="N80" t="str">
            <v>PEDIR</v>
          </cell>
        </row>
        <row r="81">
          <cell r="C81" t="str">
            <v>HTJA040002</v>
          </cell>
          <cell r="D81">
            <v>32759.000000000004</v>
          </cell>
          <cell r="E81">
            <v>2</v>
          </cell>
          <cell r="F81">
            <v>5000</v>
          </cell>
          <cell r="G81">
            <v>6</v>
          </cell>
          <cell r="H81">
            <v>2</v>
          </cell>
          <cell r="I81">
            <v>1</v>
          </cell>
          <cell r="J81">
            <v>1</v>
          </cell>
          <cell r="K81">
            <v>2</v>
          </cell>
          <cell r="L81">
            <v>3</v>
          </cell>
          <cell r="M81">
            <v>4</v>
          </cell>
          <cell r="N81" t="str">
            <v>PEDIR</v>
          </cell>
        </row>
        <row r="82">
          <cell r="C82" t="str">
            <v>HTJA040089</v>
          </cell>
          <cell r="D82">
            <v>32759.000000000004</v>
          </cell>
          <cell r="E82">
            <v>1</v>
          </cell>
          <cell r="F82">
            <v>200000</v>
          </cell>
          <cell r="G82">
            <v>8</v>
          </cell>
          <cell r="H82">
            <v>1</v>
          </cell>
          <cell r="I82">
            <v>1</v>
          </cell>
          <cell r="J82">
            <v>1</v>
          </cell>
          <cell r="K82">
            <v>1</v>
          </cell>
          <cell r="L82">
            <v>2</v>
          </cell>
          <cell r="M82">
            <v>3</v>
          </cell>
          <cell r="N82" t="str">
            <v>PEDIR</v>
          </cell>
        </row>
        <row r="83">
          <cell r="C83" t="str">
            <v>HTJA040303</v>
          </cell>
          <cell r="D83">
            <v>32759.000000000004</v>
          </cell>
          <cell r="E83">
            <v>0</v>
          </cell>
          <cell r="F83">
            <v>200000</v>
          </cell>
          <cell r="G83">
            <v>8</v>
          </cell>
          <cell r="H83">
            <v>1</v>
          </cell>
          <cell r="I83">
            <v>1</v>
          </cell>
          <cell r="J83">
            <v>1</v>
          </cell>
          <cell r="K83">
            <v>1</v>
          </cell>
          <cell r="L83">
            <v>2</v>
          </cell>
          <cell r="M83">
            <v>3</v>
          </cell>
          <cell r="N83" t="str">
            <v>URGENTE</v>
          </cell>
        </row>
        <row r="84">
          <cell r="C84" t="str">
            <v>HTJA040254</v>
          </cell>
          <cell r="D84">
            <v>32759.000000000004</v>
          </cell>
          <cell r="E84">
            <v>1</v>
          </cell>
          <cell r="F84">
            <v>200000</v>
          </cell>
          <cell r="G84">
            <v>8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2</v>
          </cell>
          <cell r="M84">
            <v>3</v>
          </cell>
          <cell r="N84" t="str">
            <v>PEDIR</v>
          </cell>
        </row>
        <row r="85">
          <cell r="C85" t="str">
            <v>HTJA040116</v>
          </cell>
          <cell r="D85">
            <v>32759.000000000004</v>
          </cell>
          <cell r="E85">
            <v>2</v>
          </cell>
          <cell r="F85">
            <v>200000</v>
          </cell>
          <cell r="G85">
            <v>8</v>
          </cell>
          <cell r="H85">
            <v>1</v>
          </cell>
          <cell r="I85">
            <v>1</v>
          </cell>
          <cell r="J85">
            <v>1</v>
          </cell>
          <cell r="K85">
            <v>1</v>
          </cell>
          <cell r="L85">
            <v>2</v>
          </cell>
          <cell r="M85">
            <v>3</v>
          </cell>
          <cell r="N85" t="str">
            <v>PEDIR</v>
          </cell>
        </row>
        <row r="86">
          <cell r="C86" t="str">
            <v>HTJA040001</v>
          </cell>
          <cell r="D86">
            <v>71179.8</v>
          </cell>
          <cell r="E86">
            <v>3</v>
          </cell>
          <cell r="F86">
            <v>8000</v>
          </cell>
          <cell r="G86">
            <v>11</v>
          </cell>
          <cell r="H86">
            <v>5</v>
          </cell>
          <cell r="I86">
            <v>1</v>
          </cell>
          <cell r="J86">
            <v>1</v>
          </cell>
          <cell r="K86">
            <v>5</v>
          </cell>
          <cell r="L86">
            <v>6</v>
          </cell>
          <cell r="M86">
            <v>7</v>
          </cell>
          <cell r="N86" t="str">
            <v>URGENTE</v>
          </cell>
        </row>
        <row r="87">
          <cell r="C87" t="str">
            <v>HTJA040156 (AC 1500)</v>
          </cell>
          <cell r="D87">
            <v>32759.000000000004</v>
          </cell>
          <cell r="E87">
            <v>3</v>
          </cell>
          <cell r="F87">
            <v>8000</v>
          </cell>
          <cell r="G87">
            <v>11</v>
          </cell>
          <cell r="H87">
            <v>2</v>
          </cell>
          <cell r="I87">
            <v>1</v>
          </cell>
          <cell r="J87">
            <v>1</v>
          </cell>
          <cell r="K87">
            <v>2</v>
          </cell>
          <cell r="L87">
            <v>3</v>
          </cell>
          <cell r="M87">
            <v>4</v>
          </cell>
          <cell r="N87" t="str">
            <v>PEDIR</v>
          </cell>
        </row>
        <row r="88">
          <cell r="C88" t="str">
            <v>HTJA040003</v>
          </cell>
          <cell r="D88">
            <v>32759.000000000004</v>
          </cell>
          <cell r="E88">
            <v>12</v>
          </cell>
          <cell r="F88">
            <v>3000</v>
          </cell>
          <cell r="G88">
            <v>6</v>
          </cell>
          <cell r="H88">
            <v>3</v>
          </cell>
          <cell r="I88">
            <v>1</v>
          </cell>
          <cell r="J88">
            <v>1</v>
          </cell>
          <cell r="K88">
            <v>3</v>
          </cell>
          <cell r="L88">
            <v>4</v>
          </cell>
          <cell r="M88">
            <v>5</v>
          </cell>
          <cell r="N88" t="str">
            <v>SOBREINVENTARIO</v>
          </cell>
        </row>
        <row r="89">
          <cell r="D89">
            <v>0</v>
          </cell>
          <cell r="E89">
            <v>10</v>
          </cell>
          <cell r="F89" t="e">
            <v>#N/A</v>
          </cell>
          <cell r="G89" t="e">
            <v>#N/A</v>
          </cell>
          <cell r="H89" t="e">
            <v>#N/A</v>
          </cell>
          <cell r="I89">
            <v>1</v>
          </cell>
          <cell r="J89">
            <v>1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</row>
        <row r="90">
          <cell r="D90">
            <v>0</v>
          </cell>
          <cell r="F90" t="e">
            <v>#N/A</v>
          </cell>
          <cell r="G90" t="e">
            <v>#N/A</v>
          </cell>
          <cell r="H90" t="e">
            <v>#N/A</v>
          </cell>
          <cell r="I90">
            <v>1</v>
          </cell>
          <cell r="J90">
            <v>1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</row>
        <row r="91">
          <cell r="C91" t="str">
            <v>N/HT</v>
          </cell>
          <cell r="D91">
            <v>0</v>
          </cell>
          <cell r="F91" t="e">
            <v>#N/A</v>
          </cell>
          <cell r="G91" t="e">
            <v>#N/A</v>
          </cell>
          <cell r="H91" t="e">
            <v>#N/A</v>
          </cell>
          <cell r="I91">
            <v>1</v>
          </cell>
          <cell r="J91">
            <v>1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</row>
        <row r="92">
          <cell r="C92" t="str">
            <v>N/HT</v>
          </cell>
          <cell r="D92">
            <v>0</v>
          </cell>
          <cell r="F92" t="e">
            <v>#N/A</v>
          </cell>
          <cell r="G92" t="e">
            <v>#N/A</v>
          </cell>
          <cell r="H92" t="e">
            <v>#N/A</v>
          </cell>
          <cell r="I92">
            <v>1</v>
          </cell>
          <cell r="J92">
            <v>1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</row>
        <row r="93">
          <cell r="C93" t="str">
            <v>N/HT</v>
          </cell>
          <cell r="D93">
            <v>0</v>
          </cell>
          <cell r="F93" t="e">
            <v>#N/A</v>
          </cell>
          <cell r="G93" t="e">
            <v>#N/A</v>
          </cell>
          <cell r="H93" t="e">
            <v>#N/A</v>
          </cell>
          <cell r="I93">
            <v>1</v>
          </cell>
          <cell r="J93">
            <v>1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</row>
        <row r="94">
          <cell r="C94" t="str">
            <v>N/HT</v>
          </cell>
          <cell r="D94">
            <v>0</v>
          </cell>
          <cell r="F94" t="e">
            <v>#N/A</v>
          </cell>
          <cell r="G94" t="e">
            <v>#N/A</v>
          </cell>
          <cell r="H94" t="e">
            <v>#N/A</v>
          </cell>
          <cell r="I94">
            <v>1</v>
          </cell>
          <cell r="J94">
            <v>1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</row>
        <row r="95">
          <cell r="C95" t="str">
            <v>N/HT</v>
          </cell>
          <cell r="D95">
            <v>0</v>
          </cell>
          <cell r="F95" t="e">
            <v>#N/A</v>
          </cell>
          <cell r="G95" t="e">
            <v>#N/A</v>
          </cell>
          <cell r="H95" t="e">
            <v>#N/A</v>
          </cell>
          <cell r="I95">
            <v>1</v>
          </cell>
          <cell r="J95">
            <v>1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</row>
        <row r="96">
          <cell r="C96" t="str">
            <v>N/HT</v>
          </cell>
          <cell r="D96">
            <v>0</v>
          </cell>
          <cell r="F96" t="e">
            <v>#N/A</v>
          </cell>
          <cell r="G96" t="e">
            <v>#N/A</v>
          </cell>
          <cell r="H96" t="e">
            <v>#N/A</v>
          </cell>
          <cell r="I96">
            <v>1</v>
          </cell>
          <cell r="J96">
            <v>1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</row>
        <row r="97">
          <cell r="C97" t="str">
            <v>N/HT</v>
          </cell>
          <cell r="D97">
            <v>0</v>
          </cell>
          <cell r="F97" t="e">
            <v>#N/A</v>
          </cell>
          <cell r="G97" t="e">
            <v>#N/A</v>
          </cell>
          <cell r="H97" t="e">
            <v>#N/A</v>
          </cell>
          <cell r="I97">
            <v>1</v>
          </cell>
          <cell r="J97">
            <v>1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</row>
        <row r="98">
          <cell r="C98" t="str">
            <v>N/HT</v>
          </cell>
          <cell r="D98">
            <v>0</v>
          </cell>
          <cell r="F98" t="e">
            <v>#N/A</v>
          </cell>
          <cell r="G98" t="e">
            <v>#N/A</v>
          </cell>
          <cell r="H98" t="e">
            <v>#N/A</v>
          </cell>
          <cell r="I98">
            <v>1</v>
          </cell>
          <cell r="J98">
            <v>1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</row>
        <row r="99">
          <cell r="C99" t="str">
            <v>N/HT</v>
          </cell>
          <cell r="D99">
            <v>0</v>
          </cell>
          <cell r="F99" t="e">
            <v>#N/A</v>
          </cell>
          <cell r="G99" t="e">
            <v>#N/A</v>
          </cell>
          <cell r="H99" t="e">
            <v>#N/A</v>
          </cell>
          <cell r="I99">
            <v>1</v>
          </cell>
          <cell r="J99">
            <v>1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</row>
        <row r="100">
          <cell r="C100" t="str">
            <v>N/HT</v>
          </cell>
          <cell r="D100">
            <v>0</v>
          </cell>
          <cell r="F100" t="e">
            <v>#N/A</v>
          </cell>
          <cell r="G100" t="e">
            <v>#N/A</v>
          </cell>
          <cell r="H100" t="e">
            <v>#N/A</v>
          </cell>
          <cell r="I100">
            <v>1</v>
          </cell>
          <cell r="J100">
            <v>1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</row>
        <row r="101">
          <cell r="C101" t="str">
            <v>N/HT</v>
          </cell>
          <cell r="D101">
            <v>0</v>
          </cell>
          <cell r="F101" t="e">
            <v>#N/A</v>
          </cell>
          <cell r="G101" t="e">
            <v>#N/A</v>
          </cell>
          <cell r="H101" t="e">
            <v>#N/A</v>
          </cell>
          <cell r="I101">
            <v>1</v>
          </cell>
          <cell r="J101">
            <v>1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</row>
        <row r="102">
          <cell r="C102" t="str">
            <v>N/HT</v>
          </cell>
          <cell r="D102">
            <v>0</v>
          </cell>
          <cell r="F102" t="e">
            <v>#N/A</v>
          </cell>
          <cell r="G102" t="e">
            <v>#N/A</v>
          </cell>
          <cell r="H102" t="e">
            <v>#N/A</v>
          </cell>
          <cell r="I102">
            <v>1</v>
          </cell>
          <cell r="J102">
            <v>1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</row>
        <row r="103">
          <cell r="C103" t="str">
            <v>N/HT</v>
          </cell>
          <cell r="D103">
            <v>0</v>
          </cell>
          <cell r="F103" t="e">
            <v>#N/A</v>
          </cell>
          <cell r="G103" t="e">
            <v>#N/A</v>
          </cell>
          <cell r="H103" t="e">
            <v>#N/A</v>
          </cell>
          <cell r="I103">
            <v>1</v>
          </cell>
          <cell r="J103">
            <v>1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</row>
        <row r="104">
          <cell r="C104" t="str">
            <v>N/HT</v>
          </cell>
          <cell r="D104">
            <v>0</v>
          </cell>
          <cell r="F104" t="e">
            <v>#N/A</v>
          </cell>
          <cell r="G104" t="e">
            <v>#N/A</v>
          </cell>
          <cell r="H104" t="e">
            <v>#N/A</v>
          </cell>
          <cell r="I104">
            <v>1</v>
          </cell>
          <cell r="J104">
            <v>1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</row>
        <row r="105">
          <cell r="C105" t="str">
            <v>N/HT</v>
          </cell>
          <cell r="D105">
            <v>0</v>
          </cell>
          <cell r="F105" t="e">
            <v>#N/A</v>
          </cell>
          <cell r="G105" t="e">
            <v>#N/A</v>
          </cell>
          <cell r="H105" t="e">
            <v>#N/A</v>
          </cell>
          <cell r="I105">
            <v>1</v>
          </cell>
          <cell r="J105">
            <v>1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</row>
        <row r="107">
          <cell r="C107" t="str">
            <v>No. Parte Htal:</v>
          </cell>
          <cell r="D107" t="str">
            <v>RQ</v>
          </cell>
          <cell r="E107" t="str">
            <v>Inventario</v>
          </cell>
          <cell r="F107" t="str">
            <v>Pz / Herramental</v>
          </cell>
          <cell r="G107" t="str">
            <v>Tiempo Entrega</v>
          </cell>
          <cell r="H107" t="str">
            <v>Mín</v>
          </cell>
          <cell r="I107" t="str">
            <v>Pto. Reorden</v>
          </cell>
          <cell r="J107" t="str">
            <v>Máx</v>
          </cell>
          <cell r="K107" t="str">
            <v>Mín</v>
          </cell>
          <cell r="L107" t="str">
            <v>Pto. Reorden</v>
          </cell>
          <cell r="M107" t="str">
            <v>Máx</v>
          </cell>
          <cell r="N107" t="str">
            <v>STATUS</v>
          </cell>
        </row>
        <row r="108">
          <cell r="C108" t="str">
            <v>HTJA040187</v>
          </cell>
          <cell r="D108">
            <v>38420.799999999996</v>
          </cell>
          <cell r="E108">
            <v>2</v>
          </cell>
          <cell r="F108">
            <v>200000</v>
          </cell>
          <cell r="G108">
            <v>8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2</v>
          </cell>
          <cell r="M108">
            <v>3</v>
          </cell>
          <cell r="N108" t="str">
            <v>PEDIR</v>
          </cell>
        </row>
        <row r="109">
          <cell r="C109" t="str">
            <v>HTJA040186</v>
          </cell>
          <cell r="D109">
            <v>38420.799999999996</v>
          </cell>
          <cell r="E109">
            <v>2</v>
          </cell>
          <cell r="F109">
            <v>200000</v>
          </cell>
          <cell r="G109">
            <v>8</v>
          </cell>
          <cell r="H109">
            <v>1</v>
          </cell>
          <cell r="I109">
            <v>1</v>
          </cell>
          <cell r="J109">
            <v>1</v>
          </cell>
          <cell r="K109">
            <v>1</v>
          </cell>
          <cell r="L109">
            <v>2</v>
          </cell>
          <cell r="M109">
            <v>3</v>
          </cell>
          <cell r="N109" t="str">
            <v>PEDIR</v>
          </cell>
        </row>
        <row r="110">
          <cell r="C110" t="str">
            <v>HTJA040080</v>
          </cell>
          <cell r="D110">
            <v>38420.799999999996</v>
          </cell>
          <cell r="E110">
            <v>5</v>
          </cell>
          <cell r="F110">
            <v>8000</v>
          </cell>
          <cell r="G110">
            <v>6</v>
          </cell>
          <cell r="H110">
            <v>2</v>
          </cell>
          <cell r="I110">
            <v>1</v>
          </cell>
          <cell r="J110">
            <v>1</v>
          </cell>
          <cell r="K110">
            <v>2</v>
          </cell>
          <cell r="L110">
            <v>3</v>
          </cell>
          <cell r="M110">
            <v>4</v>
          </cell>
          <cell r="N110" t="str">
            <v>SOBREINVENTARIO</v>
          </cell>
        </row>
        <row r="111">
          <cell r="C111" t="str">
            <v>HTJA040180</v>
          </cell>
          <cell r="D111">
            <v>38420.799999999996</v>
          </cell>
          <cell r="E111">
            <v>5</v>
          </cell>
          <cell r="F111">
            <v>5000</v>
          </cell>
          <cell r="G111">
            <v>6</v>
          </cell>
          <cell r="H111">
            <v>3</v>
          </cell>
          <cell r="I111">
            <v>1</v>
          </cell>
          <cell r="J111">
            <v>1</v>
          </cell>
          <cell r="K111">
            <v>3</v>
          </cell>
          <cell r="L111">
            <v>4</v>
          </cell>
          <cell r="M111">
            <v>5</v>
          </cell>
          <cell r="N111" t="str">
            <v>OK</v>
          </cell>
        </row>
        <row r="112">
          <cell r="C112" t="str">
            <v>HTJA040181</v>
          </cell>
          <cell r="D112">
            <v>38420.799999999996</v>
          </cell>
          <cell r="E112">
            <v>2</v>
          </cell>
          <cell r="F112">
            <v>100000</v>
          </cell>
          <cell r="G112">
            <v>8</v>
          </cell>
          <cell r="H112">
            <v>1</v>
          </cell>
          <cell r="I112">
            <v>1</v>
          </cell>
          <cell r="J112">
            <v>1</v>
          </cell>
          <cell r="K112">
            <v>1</v>
          </cell>
          <cell r="L112">
            <v>2</v>
          </cell>
          <cell r="M112">
            <v>3</v>
          </cell>
          <cell r="N112" t="str">
            <v>PEDIR</v>
          </cell>
        </row>
        <row r="113">
          <cell r="C113" t="str">
            <v>HTJA040222</v>
          </cell>
          <cell r="D113">
            <v>38420.799999999996</v>
          </cell>
          <cell r="E113">
            <v>3</v>
          </cell>
          <cell r="F113">
            <v>100000</v>
          </cell>
          <cell r="G113">
            <v>8</v>
          </cell>
          <cell r="H113">
            <v>1</v>
          </cell>
          <cell r="I113">
            <v>1</v>
          </cell>
          <cell r="J113">
            <v>1</v>
          </cell>
          <cell r="K113">
            <v>1</v>
          </cell>
          <cell r="L113">
            <v>2</v>
          </cell>
          <cell r="M113">
            <v>3</v>
          </cell>
          <cell r="N113" t="str">
            <v>OK</v>
          </cell>
        </row>
        <row r="114">
          <cell r="C114" t="str">
            <v>HTJA040090</v>
          </cell>
          <cell r="D114">
            <v>38420.799999999996</v>
          </cell>
          <cell r="E114">
            <v>7</v>
          </cell>
          <cell r="F114">
            <v>5000</v>
          </cell>
          <cell r="G114">
            <v>6</v>
          </cell>
          <cell r="H114">
            <v>3</v>
          </cell>
          <cell r="I114">
            <v>1</v>
          </cell>
          <cell r="J114">
            <v>1</v>
          </cell>
          <cell r="K114">
            <v>3</v>
          </cell>
          <cell r="L114">
            <v>4</v>
          </cell>
          <cell r="M114">
            <v>5</v>
          </cell>
          <cell r="N114" t="str">
            <v>SOBREINVENTARIO</v>
          </cell>
        </row>
        <row r="115">
          <cell r="C115" t="str">
            <v>HTJA040157</v>
          </cell>
          <cell r="D115">
            <v>38420.799999999996</v>
          </cell>
          <cell r="E115">
            <v>1</v>
          </cell>
          <cell r="F115">
            <v>200000</v>
          </cell>
          <cell r="G115">
            <v>8</v>
          </cell>
          <cell r="H115">
            <v>1</v>
          </cell>
          <cell r="I115">
            <v>1</v>
          </cell>
          <cell r="J115">
            <v>1</v>
          </cell>
          <cell r="K115">
            <v>1</v>
          </cell>
          <cell r="L115">
            <v>2</v>
          </cell>
          <cell r="M115">
            <v>3</v>
          </cell>
          <cell r="N115" t="str">
            <v>PEDIR</v>
          </cell>
        </row>
        <row r="116">
          <cell r="C116" t="str">
            <v>HTJA040158</v>
          </cell>
          <cell r="D116">
            <v>38420.799999999996</v>
          </cell>
          <cell r="E116">
            <v>1</v>
          </cell>
          <cell r="F116">
            <v>200000</v>
          </cell>
          <cell r="G116">
            <v>8</v>
          </cell>
          <cell r="H116">
            <v>1</v>
          </cell>
          <cell r="I116">
            <v>1</v>
          </cell>
          <cell r="J116">
            <v>1</v>
          </cell>
          <cell r="K116">
            <v>1</v>
          </cell>
          <cell r="L116">
            <v>2</v>
          </cell>
          <cell r="M116">
            <v>3</v>
          </cell>
          <cell r="N116" t="str">
            <v>PEDIR</v>
          </cell>
        </row>
        <row r="117">
          <cell r="C117" t="str">
            <v>HTJA040300</v>
          </cell>
          <cell r="D117">
            <v>38420.799999999996</v>
          </cell>
          <cell r="E117">
            <v>1</v>
          </cell>
          <cell r="F117">
            <v>200000</v>
          </cell>
          <cell r="G117">
            <v>8</v>
          </cell>
          <cell r="H117">
            <v>1</v>
          </cell>
          <cell r="I117">
            <v>1</v>
          </cell>
          <cell r="J117">
            <v>1</v>
          </cell>
          <cell r="K117">
            <v>1</v>
          </cell>
          <cell r="L117">
            <v>2</v>
          </cell>
          <cell r="M117">
            <v>3</v>
          </cell>
          <cell r="N117" t="str">
            <v>PEDIR</v>
          </cell>
        </row>
        <row r="118">
          <cell r="C118" t="str">
            <v>HTJA040255</v>
          </cell>
          <cell r="D118">
            <v>38420.799999999996</v>
          </cell>
          <cell r="E118">
            <v>2</v>
          </cell>
          <cell r="F118">
            <v>200000</v>
          </cell>
          <cell r="G118">
            <v>8</v>
          </cell>
          <cell r="H118">
            <v>1</v>
          </cell>
          <cell r="I118">
            <v>1</v>
          </cell>
          <cell r="J118">
            <v>1</v>
          </cell>
          <cell r="K118">
            <v>1</v>
          </cell>
          <cell r="L118">
            <v>2</v>
          </cell>
          <cell r="M118">
            <v>3</v>
          </cell>
          <cell r="N118" t="str">
            <v>PEDIR</v>
          </cell>
        </row>
        <row r="119">
          <cell r="C119" t="str">
            <v>HTJA040117</v>
          </cell>
          <cell r="D119">
            <v>38420.799999999996</v>
          </cell>
          <cell r="E119">
            <v>2</v>
          </cell>
          <cell r="F119">
            <v>200000</v>
          </cell>
          <cell r="G119">
            <v>8</v>
          </cell>
          <cell r="H119">
            <v>1</v>
          </cell>
          <cell r="I119">
            <v>1</v>
          </cell>
          <cell r="J119">
            <v>1</v>
          </cell>
          <cell r="K119">
            <v>1</v>
          </cell>
          <cell r="L119">
            <v>2</v>
          </cell>
          <cell r="M119">
            <v>3</v>
          </cell>
          <cell r="N119" t="str">
            <v>PEDIR</v>
          </cell>
        </row>
        <row r="120">
          <cell r="C120" t="str">
            <v>HTJA040151</v>
          </cell>
          <cell r="D120">
            <v>38420.799999999996</v>
          </cell>
          <cell r="E120">
            <v>0</v>
          </cell>
          <cell r="F120">
            <v>200000</v>
          </cell>
          <cell r="G120">
            <v>8</v>
          </cell>
          <cell r="H120">
            <v>1</v>
          </cell>
          <cell r="I120">
            <v>1</v>
          </cell>
          <cell r="J120">
            <v>1</v>
          </cell>
          <cell r="K120">
            <v>1</v>
          </cell>
          <cell r="L120">
            <v>2</v>
          </cell>
          <cell r="M120">
            <v>3</v>
          </cell>
          <cell r="N120" t="str">
            <v>URGENTE</v>
          </cell>
        </row>
        <row r="121">
          <cell r="C121" t="str">
            <v>HTJA040156(AC 1700)</v>
          </cell>
          <cell r="D121">
            <v>38420.799999999996</v>
          </cell>
          <cell r="E121">
            <v>0</v>
          </cell>
          <cell r="F121">
            <v>8000</v>
          </cell>
          <cell r="G121">
            <v>11</v>
          </cell>
          <cell r="H121">
            <v>3</v>
          </cell>
          <cell r="I121">
            <v>1</v>
          </cell>
          <cell r="J121">
            <v>1</v>
          </cell>
          <cell r="K121">
            <v>3</v>
          </cell>
          <cell r="L121">
            <v>4</v>
          </cell>
          <cell r="M121">
            <v>5</v>
          </cell>
          <cell r="N121" t="str">
            <v>URGENTE</v>
          </cell>
        </row>
        <row r="122">
          <cell r="C122" t="str">
            <v>HTJA040152</v>
          </cell>
          <cell r="D122">
            <v>38420.799999999996</v>
          </cell>
          <cell r="E122">
            <v>9</v>
          </cell>
          <cell r="F122">
            <v>3000</v>
          </cell>
          <cell r="G122">
            <v>6</v>
          </cell>
          <cell r="H122">
            <v>4</v>
          </cell>
          <cell r="I122">
            <v>1</v>
          </cell>
          <cell r="J122">
            <v>1</v>
          </cell>
          <cell r="K122">
            <v>4</v>
          </cell>
          <cell r="L122">
            <v>5</v>
          </cell>
          <cell r="M122">
            <v>6</v>
          </cell>
          <cell r="N122" t="str">
            <v>SOBREINVENTARIO</v>
          </cell>
        </row>
        <row r="123">
          <cell r="C123" t="str">
            <v>N/HT</v>
          </cell>
          <cell r="D123">
            <v>0</v>
          </cell>
          <cell r="F123" t="e">
            <v>#N/A</v>
          </cell>
          <cell r="G123" t="e">
            <v>#N/A</v>
          </cell>
          <cell r="H123" t="e">
            <v>#N/A</v>
          </cell>
          <cell r="I123">
            <v>1</v>
          </cell>
          <cell r="J123">
            <v>1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</row>
        <row r="124">
          <cell r="C124" t="str">
            <v>N/HT</v>
          </cell>
          <cell r="D124">
            <v>0</v>
          </cell>
          <cell r="F124" t="e">
            <v>#N/A</v>
          </cell>
          <cell r="G124" t="e">
            <v>#N/A</v>
          </cell>
          <cell r="H124" t="e">
            <v>#N/A</v>
          </cell>
          <cell r="I124">
            <v>1</v>
          </cell>
          <cell r="J124">
            <v>1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</row>
        <row r="125">
          <cell r="C125" t="str">
            <v>N/HT</v>
          </cell>
          <cell r="D125">
            <v>0</v>
          </cell>
          <cell r="F125" t="e">
            <v>#N/A</v>
          </cell>
          <cell r="G125" t="e">
            <v>#N/A</v>
          </cell>
          <cell r="H125" t="e">
            <v>#N/A</v>
          </cell>
          <cell r="I125">
            <v>1</v>
          </cell>
          <cell r="J125">
            <v>1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</row>
        <row r="126">
          <cell r="C126" t="str">
            <v>N/HT</v>
          </cell>
          <cell r="D126">
            <v>0</v>
          </cell>
          <cell r="F126" t="e">
            <v>#N/A</v>
          </cell>
          <cell r="G126" t="e">
            <v>#N/A</v>
          </cell>
          <cell r="H126" t="e">
            <v>#N/A</v>
          </cell>
          <cell r="I126">
            <v>1</v>
          </cell>
          <cell r="J126">
            <v>1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</row>
        <row r="127">
          <cell r="C127" t="str">
            <v>N/HT</v>
          </cell>
          <cell r="D127">
            <v>0</v>
          </cell>
          <cell r="F127" t="e">
            <v>#N/A</v>
          </cell>
          <cell r="G127" t="e">
            <v>#N/A</v>
          </cell>
          <cell r="H127" t="e">
            <v>#N/A</v>
          </cell>
          <cell r="I127">
            <v>1</v>
          </cell>
          <cell r="J127">
            <v>1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</row>
        <row r="128">
          <cell r="C128" t="str">
            <v>N/HT</v>
          </cell>
          <cell r="D128">
            <v>0</v>
          </cell>
          <cell r="F128" t="e">
            <v>#N/A</v>
          </cell>
          <cell r="G128" t="e">
            <v>#N/A</v>
          </cell>
          <cell r="H128" t="e">
            <v>#N/A</v>
          </cell>
          <cell r="I128">
            <v>1</v>
          </cell>
          <cell r="J128">
            <v>1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</row>
        <row r="129">
          <cell r="C129" t="str">
            <v>N/HT</v>
          </cell>
          <cell r="D129">
            <v>0</v>
          </cell>
          <cell r="F129" t="e">
            <v>#N/A</v>
          </cell>
          <cell r="G129" t="e">
            <v>#N/A</v>
          </cell>
          <cell r="H129" t="e">
            <v>#N/A</v>
          </cell>
          <cell r="I129">
            <v>1</v>
          </cell>
          <cell r="J129">
            <v>1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</row>
        <row r="130">
          <cell r="C130" t="str">
            <v>N/HT</v>
          </cell>
          <cell r="D130">
            <v>0</v>
          </cell>
          <cell r="F130" t="e">
            <v>#N/A</v>
          </cell>
          <cell r="G130" t="e">
            <v>#N/A</v>
          </cell>
          <cell r="H130" t="e">
            <v>#N/A</v>
          </cell>
          <cell r="I130">
            <v>1</v>
          </cell>
          <cell r="J130">
            <v>1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</row>
        <row r="131">
          <cell r="C131" t="str">
            <v>N/HT</v>
          </cell>
          <cell r="D131">
            <v>0</v>
          </cell>
          <cell r="F131" t="e">
            <v>#N/A</v>
          </cell>
          <cell r="G131" t="e">
            <v>#N/A</v>
          </cell>
          <cell r="H131" t="e">
            <v>#N/A</v>
          </cell>
          <cell r="I131">
            <v>1</v>
          </cell>
          <cell r="J131">
            <v>1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</row>
        <row r="132">
          <cell r="C132" t="str">
            <v>N/HT</v>
          </cell>
          <cell r="D132">
            <v>0</v>
          </cell>
          <cell r="F132" t="e">
            <v>#N/A</v>
          </cell>
          <cell r="G132" t="e">
            <v>#N/A</v>
          </cell>
          <cell r="H132" t="e">
            <v>#N/A</v>
          </cell>
          <cell r="I132">
            <v>1</v>
          </cell>
          <cell r="J132">
            <v>1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</row>
        <row r="133">
          <cell r="C133" t="str">
            <v>N/HT</v>
          </cell>
          <cell r="D133">
            <v>0</v>
          </cell>
          <cell r="F133" t="e">
            <v>#N/A</v>
          </cell>
          <cell r="G133" t="e">
            <v>#N/A</v>
          </cell>
          <cell r="H133" t="e">
            <v>#N/A</v>
          </cell>
          <cell r="I133">
            <v>1</v>
          </cell>
          <cell r="J133">
            <v>1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</row>
        <row r="134">
          <cell r="C134" t="str">
            <v>N/HT</v>
          </cell>
          <cell r="D134">
            <v>0</v>
          </cell>
          <cell r="F134" t="e">
            <v>#N/A</v>
          </cell>
          <cell r="G134" t="e">
            <v>#N/A</v>
          </cell>
          <cell r="H134" t="e">
            <v>#N/A</v>
          </cell>
          <cell r="I134">
            <v>1</v>
          </cell>
          <cell r="J134">
            <v>1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</row>
        <row r="135">
          <cell r="C135" t="str">
            <v>N/HT</v>
          </cell>
          <cell r="D135">
            <v>0</v>
          </cell>
          <cell r="F135" t="e">
            <v>#N/A</v>
          </cell>
          <cell r="G135" t="e">
            <v>#N/A</v>
          </cell>
          <cell r="H135" t="e">
            <v>#N/A</v>
          </cell>
          <cell r="I135">
            <v>1</v>
          </cell>
          <cell r="J135">
            <v>1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</row>
        <row r="136">
          <cell r="C136" t="str">
            <v>N/HT</v>
          </cell>
          <cell r="D136">
            <v>0</v>
          </cell>
          <cell r="F136" t="e">
            <v>#N/A</v>
          </cell>
          <cell r="G136" t="e">
            <v>#N/A</v>
          </cell>
          <cell r="H136" t="e">
            <v>#N/A</v>
          </cell>
          <cell r="I136">
            <v>1</v>
          </cell>
          <cell r="J136">
            <v>1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</row>
        <row r="137">
          <cell r="C137" t="str">
            <v>N/HT</v>
          </cell>
          <cell r="D137">
            <v>0</v>
          </cell>
          <cell r="F137" t="e">
            <v>#N/A</v>
          </cell>
          <cell r="G137" t="e">
            <v>#N/A</v>
          </cell>
          <cell r="H137" t="e">
            <v>#N/A</v>
          </cell>
          <cell r="I137">
            <v>1</v>
          </cell>
          <cell r="J137">
            <v>1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</row>
        <row r="138">
          <cell r="C138" t="str">
            <v>N/HT</v>
          </cell>
          <cell r="D138">
            <v>0</v>
          </cell>
          <cell r="F138" t="e">
            <v>#N/A</v>
          </cell>
          <cell r="G138" t="e">
            <v>#N/A</v>
          </cell>
          <cell r="H138" t="e">
            <v>#N/A</v>
          </cell>
          <cell r="I138">
            <v>1</v>
          </cell>
          <cell r="J138">
            <v>1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</row>
        <row r="140">
          <cell r="C140" t="str">
            <v>No. Parte Htal:</v>
          </cell>
          <cell r="D140" t="str">
            <v>RQ</v>
          </cell>
          <cell r="E140" t="str">
            <v>Inventario</v>
          </cell>
          <cell r="F140" t="str">
            <v>Pz / Herramental</v>
          </cell>
          <cell r="G140" t="str">
            <v>Tiempo Entrega</v>
          </cell>
          <cell r="H140" t="str">
            <v>Mín</v>
          </cell>
          <cell r="I140" t="str">
            <v>Pto. Reorden</v>
          </cell>
          <cell r="J140" t="str">
            <v>Máx</v>
          </cell>
          <cell r="K140" t="str">
            <v>Mín</v>
          </cell>
          <cell r="L140" t="str">
            <v>Pto. Reorden</v>
          </cell>
          <cell r="M140" t="str">
            <v>Máx</v>
          </cell>
          <cell r="N140" t="str">
            <v>STATUS</v>
          </cell>
        </row>
        <row r="141">
          <cell r="C141" t="str">
            <v>HTJA040191</v>
          </cell>
          <cell r="D141">
            <v>74729.200000000012</v>
          </cell>
          <cell r="E141">
            <v>2</v>
          </cell>
          <cell r="F141">
            <v>200000</v>
          </cell>
          <cell r="G141">
            <v>8</v>
          </cell>
          <cell r="H141">
            <v>1</v>
          </cell>
          <cell r="I141">
            <v>1</v>
          </cell>
          <cell r="J141">
            <v>1</v>
          </cell>
          <cell r="K141">
            <v>1</v>
          </cell>
          <cell r="L141">
            <v>2</v>
          </cell>
          <cell r="M141">
            <v>3</v>
          </cell>
          <cell r="N141" t="str">
            <v>PEDIR</v>
          </cell>
        </row>
        <row r="142">
          <cell r="C142" t="str">
            <v>HTJA040190</v>
          </cell>
          <cell r="D142">
            <v>74729.200000000012</v>
          </cell>
          <cell r="E142">
            <v>2</v>
          </cell>
          <cell r="F142">
            <v>200000</v>
          </cell>
          <cell r="G142">
            <v>8</v>
          </cell>
          <cell r="H142">
            <v>1</v>
          </cell>
          <cell r="I142">
            <v>1</v>
          </cell>
          <cell r="J142">
            <v>1</v>
          </cell>
          <cell r="K142">
            <v>1</v>
          </cell>
          <cell r="L142">
            <v>2</v>
          </cell>
          <cell r="M142">
            <v>3</v>
          </cell>
          <cell r="N142" t="str">
            <v>PEDIR</v>
          </cell>
        </row>
        <row r="143">
          <cell r="C143" t="str">
            <v>HTJA040005</v>
          </cell>
          <cell r="D143">
            <v>74729.200000000012</v>
          </cell>
          <cell r="E143">
            <v>4</v>
          </cell>
          <cell r="F143">
            <v>5000</v>
          </cell>
          <cell r="G143">
            <v>6</v>
          </cell>
          <cell r="H143">
            <v>4</v>
          </cell>
          <cell r="I143">
            <v>1</v>
          </cell>
          <cell r="J143">
            <v>1</v>
          </cell>
          <cell r="K143">
            <v>4</v>
          </cell>
          <cell r="L143">
            <v>5</v>
          </cell>
          <cell r="M143">
            <v>6</v>
          </cell>
          <cell r="N143" t="str">
            <v>PEDIR</v>
          </cell>
        </row>
        <row r="144">
          <cell r="C144" t="str">
            <v>HTJA040022</v>
          </cell>
          <cell r="D144">
            <v>74729.200000000012</v>
          </cell>
          <cell r="E144">
            <v>4</v>
          </cell>
          <cell r="F144">
            <v>8000</v>
          </cell>
          <cell r="G144">
            <v>6</v>
          </cell>
          <cell r="H144">
            <v>3</v>
          </cell>
          <cell r="I144">
            <v>1</v>
          </cell>
          <cell r="J144">
            <v>1</v>
          </cell>
          <cell r="K144">
            <v>3</v>
          </cell>
          <cell r="L144">
            <v>4</v>
          </cell>
          <cell r="M144">
            <v>5</v>
          </cell>
          <cell r="N144" t="str">
            <v>PEDIR</v>
          </cell>
        </row>
        <row r="145">
          <cell r="C145" t="str">
            <v>HTJA040115</v>
          </cell>
          <cell r="D145">
            <v>74729.200000000012</v>
          </cell>
          <cell r="E145">
            <v>2</v>
          </cell>
          <cell r="F145">
            <v>5000</v>
          </cell>
          <cell r="G145">
            <v>6</v>
          </cell>
          <cell r="H145">
            <v>4</v>
          </cell>
          <cell r="I145">
            <v>1</v>
          </cell>
          <cell r="J145">
            <v>1</v>
          </cell>
          <cell r="K145">
            <v>4</v>
          </cell>
          <cell r="L145">
            <v>5</v>
          </cell>
          <cell r="M145">
            <v>6</v>
          </cell>
          <cell r="N145" t="str">
            <v>URGENTE</v>
          </cell>
        </row>
        <row r="146">
          <cell r="C146" t="str">
            <v>HTJA040057</v>
          </cell>
          <cell r="D146">
            <v>74729.200000000012</v>
          </cell>
          <cell r="E146">
            <v>1</v>
          </cell>
          <cell r="F146">
            <v>200000</v>
          </cell>
          <cell r="G146">
            <v>8</v>
          </cell>
          <cell r="H146">
            <v>1</v>
          </cell>
          <cell r="I146">
            <v>1</v>
          </cell>
          <cell r="J146">
            <v>1</v>
          </cell>
          <cell r="K146">
            <v>1</v>
          </cell>
          <cell r="L146">
            <v>2</v>
          </cell>
          <cell r="M146">
            <v>3</v>
          </cell>
          <cell r="N146" t="str">
            <v>PEDIR</v>
          </cell>
        </row>
        <row r="147">
          <cell r="C147" t="str">
            <v>HTJA040020</v>
          </cell>
          <cell r="D147">
            <v>74729.200000000012</v>
          </cell>
          <cell r="E147">
            <v>1</v>
          </cell>
          <cell r="F147">
            <v>200000</v>
          </cell>
          <cell r="G147">
            <v>8</v>
          </cell>
          <cell r="H147">
            <v>1</v>
          </cell>
          <cell r="I147">
            <v>1</v>
          </cell>
          <cell r="J147">
            <v>1</v>
          </cell>
          <cell r="K147">
            <v>1</v>
          </cell>
          <cell r="L147">
            <v>2</v>
          </cell>
          <cell r="M147">
            <v>3</v>
          </cell>
          <cell r="N147" t="str">
            <v>PEDIR</v>
          </cell>
        </row>
        <row r="148">
          <cell r="C148" t="str">
            <v>HTJA040004</v>
          </cell>
          <cell r="D148">
            <v>74729.200000000012</v>
          </cell>
          <cell r="E148">
            <v>1</v>
          </cell>
          <cell r="F148">
            <v>200000</v>
          </cell>
          <cell r="G148">
            <v>8</v>
          </cell>
          <cell r="H148">
            <v>1</v>
          </cell>
          <cell r="I148">
            <v>1</v>
          </cell>
          <cell r="J148">
            <v>1</v>
          </cell>
          <cell r="K148">
            <v>1</v>
          </cell>
          <cell r="L148">
            <v>2</v>
          </cell>
          <cell r="M148">
            <v>3</v>
          </cell>
          <cell r="N148" t="str">
            <v>PEDIR</v>
          </cell>
        </row>
        <row r="149">
          <cell r="C149" t="str">
            <v>HTJA040120</v>
          </cell>
          <cell r="D149">
            <v>74729.200000000012</v>
          </cell>
          <cell r="E149">
            <v>3</v>
          </cell>
          <cell r="F149">
            <v>8000</v>
          </cell>
          <cell r="G149">
            <v>11</v>
          </cell>
          <cell r="H149">
            <v>5</v>
          </cell>
          <cell r="I149">
            <v>1</v>
          </cell>
          <cell r="J149">
            <v>1</v>
          </cell>
          <cell r="K149">
            <v>5</v>
          </cell>
          <cell r="L149">
            <v>6</v>
          </cell>
          <cell r="M149">
            <v>7</v>
          </cell>
          <cell r="N149" t="str">
            <v>URGENTE</v>
          </cell>
        </row>
        <row r="150">
          <cell r="C150" t="str">
            <v>HTJA040129</v>
          </cell>
          <cell r="D150">
            <v>74729.200000000012</v>
          </cell>
          <cell r="E150">
            <v>0</v>
          </cell>
          <cell r="F150">
            <v>8000</v>
          </cell>
          <cell r="G150">
            <v>11</v>
          </cell>
          <cell r="H150">
            <v>5</v>
          </cell>
          <cell r="I150">
            <v>1</v>
          </cell>
          <cell r="J150">
            <v>1</v>
          </cell>
          <cell r="K150">
            <v>5</v>
          </cell>
          <cell r="L150">
            <v>6</v>
          </cell>
          <cell r="M150">
            <v>7</v>
          </cell>
          <cell r="N150" t="str">
            <v>URGENTE</v>
          </cell>
        </row>
        <row r="151">
          <cell r="C151" t="str">
            <v>HTJA040021</v>
          </cell>
          <cell r="D151">
            <v>74729.200000000012</v>
          </cell>
          <cell r="E151">
            <v>9</v>
          </cell>
          <cell r="F151">
            <v>5000</v>
          </cell>
          <cell r="G151">
            <v>6</v>
          </cell>
          <cell r="H151">
            <v>4</v>
          </cell>
          <cell r="I151">
            <v>1</v>
          </cell>
          <cell r="J151">
            <v>1</v>
          </cell>
          <cell r="K151">
            <v>4</v>
          </cell>
          <cell r="L151">
            <v>5</v>
          </cell>
          <cell r="M151">
            <v>6</v>
          </cell>
          <cell r="N151" t="str">
            <v>SOBREINVENTARIO</v>
          </cell>
        </row>
        <row r="152">
          <cell r="C152" t="str">
            <v>N/HT</v>
          </cell>
          <cell r="D152">
            <v>0</v>
          </cell>
          <cell r="F152" t="e">
            <v>#N/A</v>
          </cell>
          <cell r="G152" t="e">
            <v>#N/A</v>
          </cell>
          <cell r="H152" t="e">
            <v>#N/A</v>
          </cell>
          <cell r="I152">
            <v>1</v>
          </cell>
          <cell r="J152">
            <v>1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</row>
        <row r="153">
          <cell r="C153" t="str">
            <v>N/HT</v>
          </cell>
          <cell r="D153">
            <v>0</v>
          </cell>
          <cell r="F153" t="e">
            <v>#N/A</v>
          </cell>
          <cell r="G153" t="e">
            <v>#N/A</v>
          </cell>
          <cell r="H153" t="e">
            <v>#N/A</v>
          </cell>
          <cell r="I153">
            <v>1</v>
          </cell>
          <cell r="J153">
            <v>1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</row>
        <row r="154">
          <cell r="C154" t="str">
            <v>N/HT</v>
          </cell>
          <cell r="D154">
            <v>0</v>
          </cell>
          <cell r="F154" t="e">
            <v>#N/A</v>
          </cell>
          <cell r="G154" t="e">
            <v>#N/A</v>
          </cell>
          <cell r="H154" t="e">
            <v>#N/A</v>
          </cell>
          <cell r="I154">
            <v>1</v>
          </cell>
          <cell r="J154">
            <v>1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</row>
        <row r="155">
          <cell r="C155" t="str">
            <v>N/HT</v>
          </cell>
          <cell r="D155">
            <v>0</v>
          </cell>
          <cell r="F155" t="e">
            <v>#N/A</v>
          </cell>
          <cell r="G155" t="e">
            <v>#N/A</v>
          </cell>
          <cell r="H155" t="e">
            <v>#N/A</v>
          </cell>
          <cell r="I155">
            <v>1</v>
          </cell>
          <cell r="J155">
            <v>1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</row>
        <row r="156">
          <cell r="C156" t="str">
            <v>N/HT</v>
          </cell>
          <cell r="D156">
            <v>0</v>
          </cell>
          <cell r="F156" t="e">
            <v>#N/A</v>
          </cell>
          <cell r="G156" t="e">
            <v>#N/A</v>
          </cell>
          <cell r="H156" t="e">
            <v>#N/A</v>
          </cell>
          <cell r="I156">
            <v>1</v>
          </cell>
          <cell r="J156">
            <v>1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</row>
        <row r="157">
          <cell r="C157" t="str">
            <v>N/HT</v>
          </cell>
          <cell r="D157">
            <v>0</v>
          </cell>
          <cell r="F157" t="e">
            <v>#N/A</v>
          </cell>
          <cell r="G157" t="e">
            <v>#N/A</v>
          </cell>
          <cell r="H157" t="e">
            <v>#N/A</v>
          </cell>
          <cell r="I157">
            <v>1</v>
          </cell>
          <cell r="J157">
            <v>1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</row>
        <row r="158">
          <cell r="C158" t="str">
            <v>N/HT</v>
          </cell>
          <cell r="D158">
            <v>0</v>
          </cell>
          <cell r="F158" t="e">
            <v>#N/A</v>
          </cell>
          <cell r="G158" t="e">
            <v>#N/A</v>
          </cell>
          <cell r="H158" t="e">
            <v>#N/A</v>
          </cell>
          <cell r="I158">
            <v>1</v>
          </cell>
          <cell r="J158">
            <v>1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</row>
        <row r="159">
          <cell r="C159" t="str">
            <v>N/HT</v>
          </cell>
          <cell r="D159">
            <v>0</v>
          </cell>
          <cell r="F159" t="e">
            <v>#N/A</v>
          </cell>
          <cell r="G159" t="e">
            <v>#N/A</v>
          </cell>
          <cell r="H159" t="e">
            <v>#N/A</v>
          </cell>
          <cell r="I159">
            <v>1</v>
          </cell>
          <cell r="J159">
            <v>1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</row>
        <row r="160">
          <cell r="C160" t="str">
            <v>N/HT</v>
          </cell>
          <cell r="D160">
            <v>0</v>
          </cell>
          <cell r="F160" t="e">
            <v>#N/A</v>
          </cell>
          <cell r="G160" t="e">
            <v>#N/A</v>
          </cell>
          <cell r="H160" t="e">
            <v>#N/A</v>
          </cell>
          <cell r="I160">
            <v>1</v>
          </cell>
          <cell r="J160">
            <v>1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</row>
        <row r="161">
          <cell r="C161" t="str">
            <v>N/HT</v>
          </cell>
          <cell r="D161">
            <v>0</v>
          </cell>
          <cell r="F161" t="e">
            <v>#N/A</v>
          </cell>
          <cell r="G161" t="e">
            <v>#N/A</v>
          </cell>
          <cell r="H161" t="e">
            <v>#N/A</v>
          </cell>
          <cell r="I161">
            <v>1</v>
          </cell>
          <cell r="J161">
            <v>1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</row>
        <row r="162">
          <cell r="C162" t="str">
            <v>N/HT</v>
          </cell>
          <cell r="D162">
            <v>0</v>
          </cell>
          <cell r="F162" t="e">
            <v>#N/A</v>
          </cell>
          <cell r="G162" t="e">
            <v>#N/A</v>
          </cell>
          <cell r="H162" t="e">
            <v>#N/A</v>
          </cell>
          <cell r="I162">
            <v>1</v>
          </cell>
          <cell r="J162">
            <v>1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</row>
        <row r="163">
          <cell r="C163" t="str">
            <v>N/HT</v>
          </cell>
          <cell r="D163">
            <v>0</v>
          </cell>
          <cell r="F163" t="e">
            <v>#N/A</v>
          </cell>
          <cell r="G163" t="e">
            <v>#N/A</v>
          </cell>
          <cell r="H163" t="e">
            <v>#N/A</v>
          </cell>
          <cell r="I163">
            <v>1</v>
          </cell>
          <cell r="J163">
            <v>1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</row>
        <row r="164">
          <cell r="C164" t="str">
            <v>N/HT</v>
          </cell>
          <cell r="D164">
            <v>0</v>
          </cell>
          <cell r="F164" t="e">
            <v>#N/A</v>
          </cell>
          <cell r="G164" t="e">
            <v>#N/A</v>
          </cell>
          <cell r="H164" t="e">
            <v>#N/A</v>
          </cell>
          <cell r="I164">
            <v>1</v>
          </cell>
          <cell r="J164">
            <v>1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</row>
        <row r="165">
          <cell r="C165" t="str">
            <v>N/HT</v>
          </cell>
          <cell r="D165">
            <v>0</v>
          </cell>
          <cell r="F165" t="e">
            <v>#N/A</v>
          </cell>
          <cell r="G165" t="e">
            <v>#N/A</v>
          </cell>
          <cell r="H165" t="e">
            <v>#N/A</v>
          </cell>
          <cell r="I165">
            <v>1</v>
          </cell>
          <cell r="J165">
            <v>1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</row>
        <row r="166">
          <cell r="C166" t="str">
            <v>N/HT</v>
          </cell>
          <cell r="D166">
            <v>0</v>
          </cell>
          <cell r="F166" t="e">
            <v>#N/A</v>
          </cell>
          <cell r="G166" t="e">
            <v>#N/A</v>
          </cell>
          <cell r="H166" t="e">
            <v>#N/A</v>
          </cell>
          <cell r="I166">
            <v>1</v>
          </cell>
          <cell r="J166">
            <v>1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</row>
        <row r="167">
          <cell r="C167" t="str">
            <v>N/HT</v>
          </cell>
          <cell r="D167">
            <v>0</v>
          </cell>
          <cell r="F167" t="e">
            <v>#N/A</v>
          </cell>
          <cell r="G167" t="e">
            <v>#N/A</v>
          </cell>
          <cell r="H167" t="e">
            <v>#N/A</v>
          </cell>
          <cell r="I167">
            <v>1</v>
          </cell>
          <cell r="J167">
            <v>1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</row>
        <row r="168">
          <cell r="C168" t="str">
            <v>N/HT</v>
          </cell>
          <cell r="D168">
            <v>0</v>
          </cell>
          <cell r="F168" t="e">
            <v>#N/A</v>
          </cell>
          <cell r="G168" t="e">
            <v>#N/A</v>
          </cell>
          <cell r="H168" t="e">
            <v>#N/A</v>
          </cell>
          <cell r="I168">
            <v>1</v>
          </cell>
          <cell r="J168">
            <v>1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</row>
        <row r="169">
          <cell r="C169" t="str">
            <v>N/HT</v>
          </cell>
          <cell r="D169">
            <v>0</v>
          </cell>
          <cell r="F169" t="e">
            <v>#N/A</v>
          </cell>
          <cell r="G169" t="e">
            <v>#N/A</v>
          </cell>
          <cell r="H169" t="e">
            <v>#N/A</v>
          </cell>
          <cell r="I169">
            <v>1</v>
          </cell>
          <cell r="J169">
            <v>1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</row>
        <row r="170">
          <cell r="C170" t="str">
            <v>N/HT</v>
          </cell>
          <cell r="D170">
            <v>0</v>
          </cell>
          <cell r="F170" t="e">
            <v>#N/A</v>
          </cell>
          <cell r="G170" t="e">
            <v>#N/A</v>
          </cell>
          <cell r="H170" t="e">
            <v>#N/A</v>
          </cell>
          <cell r="I170">
            <v>1</v>
          </cell>
          <cell r="J170">
            <v>1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</row>
        <row r="171">
          <cell r="C171" t="str">
            <v>N/HT</v>
          </cell>
          <cell r="D171">
            <v>0</v>
          </cell>
          <cell r="F171" t="e">
            <v>#N/A</v>
          </cell>
          <cell r="G171" t="e">
            <v>#N/A</v>
          </cell>
          <cell r="H171" t="e">
            <v>#N/A</v>
          </cell>
          <cell r="I171">
            <v>1</v>
          </cell>
          <cell r="J171">
            <v>1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</row>
        <row r="172">
          <cell r="C172" t="str">
            <v>N/HT</v>
          </cell>
          <cell r="D172">
            <v>0</v>
          </cell>
          <cell r="F172" t="e">
            <v>#N/A</v>
          </cell>
          <cell r="G172" t="e">
            <v>#N/A</v>
          </cell>
          <cell r="H172" t="e">
            <v>#N/A</v>
          </cell>
          <cell r="I172">
            <v>1</v>
          </cell>
          <cell r="J172">
            <v>1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</row>
        <row r="174">
          <cell r="C174" t="str">
            <v>No. Parte Htal:</v>
          </cell>
          <cell r="D174" t="str">
            <v>RQ</v>
          </cell>
          <cell r="E174" t="str">
            <v>Inventario</v>
          </cell>
          <cell r="F174" t="str">
            <v>Pz / Herramental</v>
          </cell>
          <cell r="G174" t="str">
            <v>Tiempo Entrega</v>
          </cell>
          <cell r="H174" t="str">
            <v>Mín</v>
          </cell>
          <cell r="I174" t="str">
            <v>Pto. Reorden</v>
          </cell>
          <cell r="J174" t="str">
            <v>Máx</v>
          </cell>
          <cell r="K174" t="str">
            <v>Mín</v>
          </cell>
          <cell r="L174" t="str">
            <v>Pto. Reorden</v>
          </cell>
          <cell r="M174" t="str">
            <v>Máx</v>
          </cell>
          <cell r="N174" t="str">
            <v>STATUS</v>
          </cell>
        </row>
        <row r="175">
          <cell r="C175" t="str">
            <v>HTJA040193</v>
          </cell>
          <cell r="D175">
            <v>58512.600000000006</v>
          </cell>
          <cell r="E175">
            <v>2</v>
          </cell>
          <cell r="F175">
            <v>200000</v>
          </cell>
          <cell r="G175">
            <v>8</v>
          </cell>
          <cell r="H175">
            <v>1</v>
          </cell>
          <cell r="I175">
            <v>1</v>
          </cell>
          <cell r="J175">
            <v>1</v>
          </cell>
          <cell r="K175">
            <v>1</v>
          </cell>
          <cell r="L175">
            <v>2</v>
          </cell>
          <cell r="M175">
            <v>3</v>
          </cell>
          <cell r="N175" t="str">
            <v>PEDIR</v>
          </cell>
        </row>
        <row r="176">
          <cell r="C176" t="str">
            <v>HTJA040192</v>
          </cell>
          <cell r="D176">
            <v>58512.600000000006</v>
          </cell>
          <cell r="E176">
            <v>2</v>
          </cell>
          <cell r="F176">
            <v>200000</v>
          </cell>
          <cell r="G176">
            <v>8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2</v>
          </cell>
          <cell r="M176">
            <v>3</v>
          </cell>
          <cell r="N176" t="str">
            <v>PEDIR</v>
          </cell>
        </row>
        <row r="177">
          <cell r="C177" t="str">
            <v>HTJA040082</v>
          </cell>
          <cell r="D177">
            <v>58512.600000000006</v>
          </cell>
          <cell r="E177">
            <v>2</v>
          </cell>
          <cell r="F177">
            <v>5000</v>
          </cell>
          <cell r="G177">
            <v>6</v>
          </cell>
          <cell r="H177">
            <v>4</v>
          </cell>
          <cell r="I177">
            <v>1</v>
          </cell>
          <cell r="J177">
            <v>1</v>
          </cell>
          <cell r="K177">
            <v>4</v>
          </cell>
          <cell r="L177">
            <v>5</v>
          </cell>
          <cell r="M177">
            <v>6</v>
          </cell>
          <cell r="N177" t="str">
            <v>URGENTE</v>
          </cell>
        </row>
        <row r="178">
          <cell r="C178" t="str">
            <v>HTJA040061</v>
          </cell>
          <cell r="D178">
            <v>58512.600000000006</v>
          </cell>
          <cell r="E178">
            <v>5</v>
          </cell>
          <cell r="F178">
            <v>5000</v>
          </cell>
          <cell r="G178">
            <v>6</v>
          </cell>
          <cell r="H178">
            <v>4</v>
          </cell>
          <cell r="I178">
            <v>1</v>
          </cell>
          <cell r="J178">
            <v>1</v>
          </cell>
          <cell r="K178">
            <v>4</v>
          </cell>
          <cell r="L178">
            <v>5</v>
          </cell>
          <cell r="M178">
            <v>6</v>
          </cell>
          <cell r="N178" t="str">
            <v>PEDIR</v>
          </cell>
        </row>
        <row r="179">
          <cell r="C179" t="str">
            <v>HTJA040059</v>
          </cell>
          <cell r="D179">
            <v>117025.20000000001</v>
          </cell>
          <cell r="E179">
            <v>2</v>
          </cell>
          <cell r="F179">
            <v>200000</v>
          </cell>
          <cell r="G179">
            <v>8</v>
          </cell>
          <cell r="H179">
            <v>1</v>
          </cell>
          <cell r="I179">
            <v>1</v>
          </cell>
          <cell r="J179">
            <v>1</v>
          </cell>
          <cell r="K179">
            <v>1</v>
          </cell>
          <cell r="L179">
            <v>2</v>
          </cell>
          <cell r="M179">
            <v>3</v>
          </cell>
          <cell r="N179" t="str">
            <v>PEDIR</v>
          </cell>
        </row>
        <row r="180">
          <cell r="C180" t="str">
            <v>HTJA040258</v>
          </cell>
          <cell r="D180">
            <v>58512.600000000006</v>
          </cell>
          <cell r="E180">
            <v>1</v>
          </cell>
          <cell r="F180">
            <v>200000</v>
          </cell>
          <cell r="G180">
            <v>8</v>
          </cell>
          <cell r="H180">
            <v>1</v>
          </cell>
          <cell r="I180">
            <v>1</v>
          </cell>
          <cell r="J180">
            <v>1</v>
          </cell>
          <cell r="K180">
            <v>1</v>
          </cell>
          <cell r="L180">
            <v>2</v>
          </cell>
          <cell r="M180">
            <v>3</v>
          </cell>
          <cell r="N180" t="str">
            <v>PEDIR</v>
          </cell>
        </row>
        <row r="181">
          <cell r="C181" t="str">
            <v>HTJA040024</v>
          </cell>
          <cell r="D181">
            <v>58512.600000000006</v>
          </cell>
          <cell r="E181">
            <v>3</v>
          </cell>
          <cell r="F181">
            <v>200000</v>
          </cell>
          <cell r="G181">
            <v>8</v>
          </cell>
          <cell r="H181">
            <v>1</v>
          </cell>
          <cell r="I181">
            <v>1</v>
          </cell>
          <cell r="J181">
            <v>1</v>
          </cell>
          <cell r="K181">
            <v>1</v>
          </cell>
          <cell r="L181">
            <v>2</v>
          </cell>
          <cell r="M181">
            <v>3</v>
          </cell>
          <cell r="N181" t="str">
            <v>OK</v>
          </cell>
        </row>
        <row r="182">
          <cell r="C182" t="str">
            <v>HTJA040257</v>
          </cell>
          <cell r="D182">
            <v>58512.600000000006</v>
          </cell>
          <cell r="E182">
            <v>3</v>
          </cell>
          <cell r="F182">
            <v>200000</v>
          </cell>
          <cell r="G182">
            <v>8</v>
          </cell>
          <cell r="H182">
            <v>1</v>
          </cell>
          <cell r="I182">
            <v>1</v>
          </cell>
          <cell r="J182">
            <v>1</v>
          </cell>
          <cell r="K182">
            <v>1</v>
          </cell>
          <cell r="L182">
            <v>2</v>
          </cell>
          <cell r="M182">
            <v>3</v>
          </cell>
          <cell r="N182" t="str">
            <v>OK</v>
          </cell>
        </row>
        <row r="183">
          <cell r="C183" t="str">
            <v>HTJA040058</v>
          </cell>
          <cell r="D183">
            <v>58512.600000000006</v>
          </cell>
          <cell r="E183">
            <v>2</v>
          </cell>
          <cell r="F183">
            <v>200000</v>
          </cell>
          <cell r="G183">
            <v>8</v>
          </cell>
          <cell r="H183">
            <v>1</v>
          </cell>
          <cell r="I183">
            <v>1</v>
          </cell>
          <cell r="J183">
            <v>1</v>
          </cell>
          <cell r="K183">
            <v>1</v>
          </cell>
          <cell r="L183">
            <v>2</v>
          </cell>
          <cell r="M183">
            <v>3</v>
          </cell>
          <cell r="N183" t="str">
            <v>PEDIR</v>
          </cell>
        </row>
        <row r="184">
          <cell r="C184" t="str">
            <v>HTJA040056</v>
          </cell>
          <cell r="D184">
            <v>58512.600000000006</v>
          </cell>
          <cell r="E184">
            <v>3</v>
          </cell>
          <cell r="F184">
            <v>8000</v>
          </cell>
          <cell r="G184">
            <v>11</v>
          </cell>
          <cell r="H184">
            <v>4</v>
          </cell>
          <cell r="I184">
            <v>1</v>
          </cell>
          <cell r="J184">
            <v>1</v>
          </cell>
          <cell r="K184">
            <v>4</v>
          </cell>
          <cell r="L184">
            <v>5</v>
          </cell>
          <cell r="M184">
            <v>6</v>
          </cell>
          <cell r="N184" t="str">
            <v>URGENTE</v>
          </cell>
        </row>
        <row r="185">
          <cell r="C185" t="str">
            <v>HTJA040023</v>
          </cell>
          <cell r="D185">
            <v>58512.600000000006</v>
          </cell>
          <cell r="E185">
            <v>3</v>
          </cell>
          <cell r="F185">
            <v>5000</v>
          </cell>
          <cell r="G185">
            <v>6</v>
          </cell>
          <cell r="H185">
            <v>4</v>
          </cell>
          <cell r="I185">
            <v>1</v>
          </cell>
          <cell r="J185">
            <v>1</v>
          </cell>
          <cell r="K185">
            <v>4</v>
          </cell>
          <cell r="L185">
            <v>5</v>
          </cell>
          <cell r="M185">
            <v>6</v>
          </cell>
          <cell r="N185" t="str">
            <v>URGENTE</v>
          </cell>
        </row>
        <row r="186">
          <cell r="C186" t="str">
            <v>N/HT</v>
          </cell>
          <cell r="D186">
            <v>0</v>
          </cell>
          <cell r="F186" t="e">
            <v>#N/A</v>
          </cell>
          <cell r="G186" t="e">
            <v>#N/A</v>
          </cell>
          <cell r="H186" t="e">
            <v>#N/A</v>
          </cell>
          <cell r="I186">
            <v>1</v>
          </cell>
          <cell r="J186">
            <v>1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</row>
        <row r="187">
          <cell r="C187" t="str">
            <v>N/HT</v>
          </cell>
          <cell r="D187">
            <v>0</v>
          </cell>
          <cell r="F187" t="e">
            <v>#N/A</v>
          </cell>
          <cell r="G187" t="e">
            <v>#N/A</v>
          </cell>
          <cell r="H187" t="e">
            <v>#N/A</v>
          </cell>
          <cell r="I187">
            <v>1</v>
          </cell>
          <cell r="J187">
            <v>1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</row>
        <row r="188">
          <cell r="C188" t="str">
            <v>N/HT</v>
          </cell>
          <cell r="D188">
            <v>0</v>
          </cell>
          <cell r="F188" t="e">
            <v>#N/A</v>
          </cell>
          <cell r="G188" t="e">
            <v>#N/A</v>
          </cell>
          <cell r="H188" t="e">
            <v>#N/A</v>
          </cell>
          <cell r="I188">
            <v>1</v>
          </cell>
          <cell r="J188">
            <v>1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</row>
        <row r="189">
          <cell r="C189" t="str">
            <v>N/HT</v>
          </cell>
          <cell r="D189">
            <v>0</v>
          </cell>
          <cell r="F189" t="e">
            <v>#N/A</v>
          </cell>
          <cell r="G189" t="e">
            <v>#N/A</v>
          </cell>
          <cell r="H189" t="e">
            <v>#N/A</v>
          </cell>
          <cell r="I189">
            <v>1</v>
          </cell>
          <cell r="J189">
            <v>1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</row>
        <row r="190">
          <cell r="C190" t="str">
            <v>N/HT</v>
          </cell>
          <cell r="D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>
            <v>1</v>
          </cell>
          <cell r="J190">
            <v>1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</row>
        <row r="191">
          <cell r="C191" t="str">
            <v>N/HT</v>
          </cell>
          <cell r="D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>
            <v>1</v>
          </cell>
          <cell r="J191">
            <v>1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</row>
        <row r="192">
          <cell r="C192" t="str">
            <v>N/HT</v>
          </cell>
          <cell r="D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>
            <v>1</v>
          </cell>
          <cell r="J192">
            <v>1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</row>
        <row r="193">
          <cell r="C193" t="str">
            <v>N/HT</v>
          </cell>
          <cell r="D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>
            <v>1</v>
          </cell>
          <cell r="J193">
            <v>1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</row>
        <row r="194">
          <cell r="C194" t="str">
            <v>N/HT</v>
          </cell>
          <cell r="D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>
            <v>1</v>
          </cell>
          <cell r="J194">
            <v>1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</row>
        <row r="195">
          <cell r="C195" t="str">
            <v>N/HT</v>
          </cell>
          <cell r="D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>
            <v>1</v>
          </cell>
          <cell r="J195">
            <v>1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</row>
        <row r="196">
          <cell r="C196" t="str">
            <v>N/HT</v>
          </cell>
          <cell r="D196">
            <v>0</v>
          </cell>
          <cell r="F196" t="e">
            <v>#N/A</v>
          </cell>
          <cell r="G196" t="e">
            <v>#N/A</v>
          </cell>
          <cell r="H196" t="e">
            <v>#N/A</v>
          </cell>
          <cell r="I196">
            <v>1</v>
          </cell>
          <cell r="J196">
            <v>1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</row>
        <row r="197">
          <cell r="C197" t="str">
            <v>N/HT</v>
          </cell>
          <cell r="D197">
            <v>0</v>
          </cell>
          <cell r="F197" t="e">
            <v>#N/A</v>
          </cell>
          <cell r="G197" t="e">
            <v>#N/A</v>
          </cell>
          <cell r="H197" t="e">
            <v>#N/A</v>
          </cell>
          <cell r="I197">
            <v>1</v>
          </cell>
          <cell r="J197">
            <v>1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</row>
        <row r="198">
          <cell r="C198" t="str">
            <v>N/HT</v>
          </cell>
          <cell r="D198">
            <v>0</v>
          </cell>
          <cell r="F198" t="e">
            <v>#N/A</v>
          </cell>
          <cell r="G198" t="e">
            <v>#N/A</v>
          </cell>
          <cell r="H198" t="e">
            <v>#N/A</v>
          </cell>
          <cell r="I198">
            <v>1</v>
          </cell>
          <cell r="J198">
            <v>1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</row>
        <row r="199">
          <cell r="C199" t="str">
            <v>N/HT</v>
          </cell>
          <cell r="D199">
            <v>0</v>
          </cell>
          <cell r="F199" t="e">
            <v>#N/A</v>
          </cell>
          <cell r="G199" t="e">
            <v>#N/A</v>
          </cell>
          <cell r="H199" t="e">
            <v>#N/A</v>
          </cell>
          <cell r="I199">
            <v>1</v>
          </cell>
          <cell r="J199">
            <v>1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</row>
        <row r="200">
          <cell r="C200" t="str">
            <v>N/HT</v>
          </cell>
          <cell r="D200">
            <v>0</v>
          </cell>
          <cell r="F200" t="e">
            <v>#N/A</v>
          </cell>
          <cell r="G200" t="e">
            <v>#N/A</v>
          </cell>
          <cell r="H200" t="e">
            <v>#N/A</v>
          </cell>
          <cell r="I200">
            <v>1</v>
          </cell>
          <cell r="J200">
            <v>1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</row>
        <row r="201">
          <cell r="C201" t="str">
            <v>N/HT</v>
          </cell>
          <cell r="D201">
            <v>0</v>
          </cell>
          <cell r="F201" t="e">
            <v>#N/A</v>
          </cell>
          <cell r="G201" t="e">
            <v>#N/A</v>
          </cell>
          <cell r="H201" t="e">
            <v>#N/A</v>
          </cell>
          <cell r="I201">
            <v>1</v>
          </cell>
          <cell r="J201">
            <v>1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</row>
        <row r="202">
          <cell r="C202" t="str">
            <v>N/HT</v>
          </cell>
          <cell r="D202">
            <v>0</v>
          </cell>
          <cell r="F202" t="e">
            <v>#N/A</v>
          </cell>
          <cell r="G202" t="e">
            <v>#N/A</v>
          </cell>
          <cell r="H202" t="e">
            <v>#N/A</v>
          </cell>
          <cell r="I202">
            <v>1</v>
          </cell>
          <cell r="J202">
            <v>1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</row>
        <row r="203">
          <cell r="C203" t="str">
            <v>N/HT</v>
          </cell>
          <cell r="D203">
            <v>0</v>
          </cell>
          <cell r="F203" t="e">
            <v>#N/A</v>
          </cell>
          <cell r="G203" t="e">
            <v>#N/A</v>
          </cell>
          <cell r="H203" t="e">
            <v>#N/A</v>
          </cell>
          <cell r="I203">
            <v>1</v>
          </cell>
          <cell r="J203">
            <v>1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</row>
        <row r="204">
          <cell r="C204" t="str">
            <v>N/HT</v>
          </cell>
          <cell r="D204">
            <v>0</v>
          </cell>
          <cell r="F204" t="e">
            <v>#N/A</v>
          </cell>
          <cell r="G204" t="e">
            <v>#N/A</v>
          </cell>
          <cell r="H204" t="e">
            <v>#N/A</v>
          </cell>
          <cell r="I204">
            <v>1</v>
          </cell>
          <cell r="J204">
            <v>1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</row>
        <row r="205">
          <cell r="C205" t="str">
            <v>N/HT</v>
          </cell>
          <cell r="D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>
            <v>1</v>
          </cell>
          <cell r="J205">
            <v>1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</row>
        <row r="206">
          <cell r="C206" t="str">
            <v>N/HT</v>
          </cell>
          <cell r="D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>
            <v>1</v>
          </cell>
          <cell r="J206">
            <v>1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</row>
        <row r="208">
          <cell r="C208" t="str">
            <v>No. Parte Htal:</v>
          </cell>
          <cell r="D208" t="str">
            <v>RQ</v>
          </cell>
          <cell r="E208" t="str">
            <v>Inventario</v>
          </cell>
          <cell r="F208" t="str">
            <v>Pz / Herramental</v>
          </cell>
          <cell r="G208" t="str">
            <v>Tiempo Entrega</v>
          </cell>
          <cell r="H208" t="str">
            <v>Mín</v>
          </cell>
          <cell r="I208" t="str">
            <v>Pto. Reorden</v>
          </cell>
          <cell r="J208" t="str">
            <v>Máx</v>
          </cell>
          <cell r="K208" t="str">
            <v>Mín</v>
          </cell>
          <cell r="L208" t="str">
            <v>Pto. Reorden</v>
          </cell>
          <cell r="M208" t="str">
            <v>Máx</v>
          </cell>
          <cell r="N208" t="str">
            <v>STATUS</v>
          </cell>
        </row>
        <row r="209">
          <cell r="C209" t="str">
            <v>HTJA040019</v>
          </cell>
          <cell r="D209">
            <v>97184.2</v>
          </cell>
          <cell r="E209">
            <v>3</v>
          </cell>
          <cell r="F209">
            <v>10000</v>
          </cell>
          <cell r="G209">
            <v>8</v>
          </cell>
          <cell r="H209">
            <v>4</v>
          </cell>
          <cell r="I209">
            <v>1</v>
          </cell>
          <cell r="J209">
            <v>1</v>
          </cell>
          <cell r="K209">
            <v>4</v>
          </cell>
          <cell r="L209">
            <v>5</v>
          </cell>
          <cell r="M209">
            <v>6</v>
          </cell>
          <cell r="N209" t="str">
            <v>URGENTE</v>
          </cell>
        </row>
        <row r="210">
          <cell r="C210" t="str">
            <v>HTJA040099</v>
          </cell>
          <cell r="D210">
            <v>37981.199999999997</v>
          </cell>
          <cell r="E210">
            <v>2</v>
          </cell>
          <cell r="F210">
            <v>4000</v>
          </cell>
          <cell r="G210">
            <v>6</v>
          </cell>
          <cell r="H210">
            <v>3</v>
          </cell>
          <cell r="I210">
            <v>1</v>
          </cell>
          <cell r="J210">
            <v>1</v>
          </cell>
          <cell r="K210">
            <v>3</v>
          </cell>
          <cell r="L210">
            <v>4</v>
          </cell>
          <cell r="M210">
            <v>5</v>
          </cell>
          <cell r="N210" t="str">
            <v>URGENTE</v>
          </cell>
        </row>
        <row r="211">
          <cell r="C211" t="str">
            <v>HTJA040100</v>
          </cell>
          <cell r="D211">
            <v>59203</v>
          </cell>
          <cell r="E211">
            <v>3</v>
          </cell>
          <cell r="F211">
            <v>4000</v>
          </cell>
          <cell r="G211">
            <v>6</v>
          </cell>
          <cell r="H211">
            <v>4</v>
          </cell>
          <cell r="I211">
            <v>1</v>
          </cell>
          <cell r="J211">
            <v>1</v>
          </cell>
          <cell r="K211">
            <v>4</v>
          </cell>
          <cell r="L211">
            <v>5</v>
          </cell>
          <cell r="M211">
            <v>6</v>
          </cell>
          <cell r="N211" t="str">
            <v>URGENTE</v>
          </cell>
        </row>
        <row r="212">
          <cell r="C212" t="str">
            <v>HTJA040063</v>
          </cell>
          <cell r="D212">
            <v>97184.2</v>
          </cell>
          <cell r="E212">
            <v>1</v>
          </cell>
          <cell r="F212">
            <v>200000</v>
          </cell>
          <cell r="G212">
            <v>8</v>
          </cell>
          <cell r="H212">
            <v>1</v>
          </cell>
          <cell r="I212">
            <v>1</v>
          </cell>
          <cell r="J212">
            <v>1</v>
          </cell>
          <cell r="K212">
            <v>1</v>
          </cell>
          <cell r="L212">
            <v>2</v>
          </cell>
          <cell r="M212">
            <v>3</v>
          </cell>
          <cell r="N212" t="str">
            <v>PEDIR</v>
          </cell>
        </row>
        <row r="213">
          <cell r="C213" t="str">
            <v>HTJA040164</v>
          </cell>
          <cell r="D213">
            <v>97184.2</v>
          </cell>
          <cell r="E213">
            <v>1</v>
          </cell>
          <cell r="F213">
            <v>200000</v>
          </cell>
          <cell r="G213">
            <v>8</v>
          </cell>
          <cell r="H213">
            <v>1</v>
          </cell>
          <cell r="I213">
            <v>1</v>
          </cell>
          <cell r="J213">
            <v>1</v>
          </cell>
          <cell r="K213">
            <v>1</v>
          </cell>
          <cell r="L213">
            <v>2</v>
          </cell>
          <cell r="M213">
            <v>3</v>
          </cell>
          <cell r="N213" t="str">
            <v>PEDIR</v>
          </cell>
        </row>
        <row r="214">
          <cell r="C214" t="str">
            <v>HTJA040018</v>
          </cell>
          <cell r="D214">
            <v>97184.2</v>
          </cell>
          <cell r="E214">
            <v>3</v>
          </cell>
          <cell r="F214">
            <v>200000</v>
          </cell>
          <cell r="G214">
            <v>8</v>
          </cell>
          <cell r="H214">
            <v>1</v>
          </cell>
          <cell r="I214">
            <v>1</v>
          </cell>
          <cell r="J214">
            <v>1</v>
          </cell>
          <cell r="K214">
            <v>1</v>
          </cell>
          <cell r="L214">
            <v>2</v>
          </cell>
          <cell r="M214">
            <v>3</v>
          </cell>
          <cell r="N214" t="str">
            <v>OK</v>
          </cell>
        </row>
        <row r="215">
          <cell r="C215" t="str">
            <v>HTJA040062</v>
          </cell>
          <cell r="D215">
            <v>97184.2</v>
          </cell>
          <cell r="E215">
            <v>5</v>
          </cell>
          <cell r="F215">
            <v>200000</v>
          </cell>
          <cell r="G215">
            <v>8</v>
          </cell>
          <cell r="H215">
            <v>1</v>
          </cell>
          <cell r="I215">
            <v>1</v>
          </cell>
          <cell r="J215">
            <v>1</v>
          </cell>
          <cell r="K215">
            <v>1</v>
          </cell>
          <cell r="L215">
            <v>2</v>
          </cell>
          <cell r="M215">
            <v>3</v>
          </cell>
          <cell r="N215" t="str">
            <v>SOBREINVENTARIO</v>
          </cell>
        </row>
        <row r="216">
          <cell r="C216" t="str">
            <v>HTJA040060</v>
          </cell>
          <cell r="D216">
            <v>97184.2</v>
          </cell>
          <cell r="E216">
            <v>3</v>
          </cell>
          <cell r="F216">
            <v>25000</v>
          </cell>
          <cell r="G216">
            <v>10</v>
          </cell>
          <cell r="H216">
            <v>2</v>
          </cell>
          <cell r="I216">
            <v>1</v>
          </cell>
          <cell r="J216">
            <v>1</v>
          </cell>
          <cell r="K216">
            <v>2</v>
          </cell>
          <cell r="L216">
            <v>3</v>
          </cell>
          <cell r="M216">
            <v>4</v>
          </cell>
          <cell r="N216" t="str">
            <v>PEDIR</v>
          </cell>
        </row>
        <row r="217">
          <cell r="C217" t="str">
            <v>HTJA040016</v>
          </cell>
          <cell r="D217">
            <v>37981.199999999997</v>
          </cell>
          <cell r="E217">
            <v>14</v>
          </cell>
          <cell r="F217">
            <v>4000</v>
          </cell>
          <cell r="G217">
            <v>6</v>
          </cell>
          <cell r="H217">
            <v>3</v>
          </cell>
          <cell r="I217">
            <v>1</v>
          </cell>
          <cell r="J217">
            <v>1</v>
          </cell>
          <cell r="K217">
            <v>3</v>
          </cell>
          <cell r="L217">
            <v>4</v>
          </cell>
          <cell r="M217">
            <v>5</v>
          </cell>
          <cell r="N217" t="str">
            <v>SOBREINVENTARIO</v>
          </cell>
        </row>
        <row r="218">
          <cell r="C218" t="str">
            <v>HTJA040017</v>
          </cell>
          <cell r="D218">
            <v>59203</v>
          </cell>
          <cell r="E218">
            <v>2</v>
          </cell>
          <cell r="F218">
            <v>4000</v>
          </cell>
          <cell r="G218">
            <v>6</v>
          </cell>
          <cell r="H218">
            <v>4</v>
          </cell>
          <cell r="I218">
            <v>1</v>
          </cell>
          <cell r="J218">
            <v>1</v>
          </cell>
          <cell r="K218">
            <v>4</v>
          </cell>
          <cell r="L218">
            <v>5</v>
          </cell>
          <cell r="M218">
            <v>6</v>
          </cell>
          <cell r="N218" t="str">
            <v>URGENTE</v>
          </cell>
        </row>
        <row r="219">
          <cell r="C219" t="str">
            <v>N/HT</v>
          </cell>
          <cell r="D219">
            <v>0</v>
          </cell>
          <cell r="F219" t="e">
            <v>#N/A</v>
          </cell>
          <cell r="G219" t="e">
            <v>#N/A</v>
          </cell>
          <cell r="H219" t="e">
            <v>#N/A</v>
          </cell>
          <cell r="I219">
            <v>1</v>
          </cell>
          <cell r="J219">
            <v>1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</row>
        <row r="220">
          <cell r="C220" t="str">
            <v>N/HT</v>
          </cell>
          <cell r="D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>
            <v>1</v>
          </cell>
          <cell r="J220">
            <v>1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</row>
        <row r="221">
          <cell r="C221" t="str">
            <v>N/HT</v>
          </cell>
          <cell r="D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>
            <v>1</v>
          </cell>
          <cell r="J221">
            <v>1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</row>
        <row r="222">
          <cell r="C222" t="str">
            <v>N/HT</v>
          </cell>
          <cell r="D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>
            <v>1</v>
          </cell>
          <cell r="J222">
            <v>1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</row>
        <row r="223">
          <cell r="C223" t="str">
            <v>N/HT</v>
          </cell>
          <cell r="D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>
            <v>1</v>
          </cell>
          <cell r="J223">
            <v>1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</row>
        <row r="224">
          <cell r="C224" t="str">
            <v>N/HT</v>
          </cell>
          <cell r="D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>
            <v>1</v>
          </cell>
          <cell r="J224">
            <v>1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</row>
        <row r="225">
          <cell r="C225" t="str">
            <v>N/HT</v>
          </cell>
          <cell r="D225">
            <v>0</v>
          </cell>
          <cell r="F225" t="e">
            <v>#N/A</v>
          </cell>
          <cell r="G225" t="e">
            <v>#N/A</v>
          </cell>
          <cell r="H225" t="e">
            <v>#N/A</v>
          </cell>
          <cell r="I225">
            <v>1</v>
          </cell>
          <cell r="J225">
            <v>1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</row>
        <row r="226">
          <cell r="C226" t="str">
            <v>N/HT</v>
          </cell>
          <cell r="D226">
            <v>0</v>
          </cell>
          <cell r="F226" t="e">
            <v>#N/A</v>
          </cell>
          <cell r="G226" t="e">
            <v>#N/A</v>
          </cell>
          <cell r="H226" t="e">
            <v>#N/A</v>
          </cell>
          <cell r="I226">
            <v>1</v>
          </cell>
          <cell r="J226">
            <v>1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</row>
        <row r="227">
          <cell r="C227" t="str">
            <v>N/HT</v>
          </cell>
          <cell r="D227">
            <v>0</v>
          </cell>
          <cell r="F227" t="e">
            <v>#N/A</v>
          </cell>
          <cell r="G227" t="e">
            <v>#N/A</v>
          </cell>
          <cell r="H227" t="e">
            <v>#N/A</v>
          </cell>
          <cell r="I227">
            <v>1</v>
          </cell>
          <cell r="J227">
            <v>1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</row>
        <row r="228">
          <cell r="C228" t="str">
            <v>N/HT</v>
          </cell>
          <cell r="D228">
            <v>0</v>
          </cell>
          <cell r="F228" t="e">
            <v>#N/A</v>
          </cell>
          <cell r="G228" t="e">
            <v>#N/A</v>
          </cell>
          <cell r="H228" t="e">
            <v>#N/A</v>
          </cell>
          <cell r="I228">
            <v>1</v>
          </cell>
          <cell r="J228">
            <v>1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</row>
        <row r="229">
          <cell r="C229" t="str">
            <v>N/HT</v>
          </cell>
          <cell r="D229">
            <v>0</v>
          </cell>
          <cell r="F229" t="e">
            <v>#N/A</v>
          </cell>
          <cell r="G229" t="e">
            <v>#N/A</v>
          </cell>
          <cell r="H229" t="e">
            <v>#N/A</v>
          </cell>
          <cell r="I229">
            <v>1</v>
          </cell>
          <cell r="J229">
            <v>1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</row>
        <row r="230">
          <cell r="C230" t="str">
            <v>N/HT</v>
          </cell>
          <cell r="D230">
            <v>0</v>
          </cell>
          <cell r="F230" t="e">
            <v>#N/A</v>
          </cell>
          <cell r="G230" t="e">
            <v>#N/A</v>
          </cell>
          <cell r="H230" t="e">
            <v>#N/A</v>
          </cell>
          <cell r="I230">
            <v>1</v>
          </cell>
          <cell r="J230">
            <v>1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</row>
        <row r="231">
          <cell r="C231" t="str">
            <v>N/HT</v>
          </cell>
          <cell r="D231">
            <v>0</v>
          </cell>
          <cell r="F231" t="e">
            <v>#N/A</v>
          </cell>
          <cell r="G231" t="e">
            <v>#N/A</v>
          </cell>
          <cell r="H231" t="e">
            <v>#N/A</v>
          </cell>
          <cell r="I231">
            <v>1</v>
          </cell>
          <cell r="J231">
            <v>1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</row>
        <row r="232">
          <cell r="C232" t="str">
            <v>N/HT</v>
          </cell>
          <cell r="D232">
            <v>0</v>
          </cell>
          <cell r="F232" t="e">
            <v>#N/A</v>
          </cell>
          <cell r="G232" t="e">
            <v>#N/A</v>
          </cell>
          <cell r="H232" t="e">
            <v>#N/A</v>
          </cell>
          <cell r="I232">
            <v>1</v>
          </cell>
          <cell r="J232">
            <v>1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</row>
        <row r="233">
          <cell r="C233" t="str">
            <v>N/HT</v>
          </cell>
          <cell r="D233">
            <v>0</v>
          </cell>
          <cell r="F233" t="e">
            <v>#N/A</v>
          </cell>
          <cell r="G233" t="e">
            <v>#N/A</v>
          </cell>
          <cell r="H233" t="e">
            <v>#N/A</v>
          </cell>
          <cell r="I233">
            <v>1</v>
          </cell>
          <cell r="J233">
            <v>1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</row>
        <row r="234">
          <cell r="C234" t="str">
            <v>N/HT</v>
          </cell>
          <cell r="D234">
            <v>0</v>
          </cell>
          <cell r="F234" t="e">
            <v>#N/A</v>
          </cell>
          <cell r="G234" t="e">
            <v>#N/A</v>
          </cell>
          <cell r="H234" t="e">
            <v>#N/A</v>
          </cell>
          <cell r="I234">
            <v>1</v>
          </cell>
          <cell r="J234">
            <v>1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</row>
        <row r="235">
          <cell r="C235" t="str">
            <v>N/HT</v>
          </cell>
          <cell r="D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>
            <v>1</v>
          </cell>
          <cell r="J235">
            <v>1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</row>
        <row r="236">
          <cell r="C236" t="str">
            <v>N/HT</v>
          </cell>
          <cell r="D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>
            <v>1</v>
          </cell>
          <cell r="J236">
            <v>1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</row>
        <row r="237">
          <cell r="C237" t="str">
            <v>N/HT</v>
          </cell>
          <cell r="D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>
            <v>1</v>
          </cell>
          <cell r="J237">
            <v>1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</row>
        <row r="238">
          <cell r="C238" t="str">
            <v>N/HT</v>
          </cell>
          <cell r="D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>
            <v>1</v>
          </cell>
          <cell r="J238">
            <v>1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</row>
        <row r="239">
          <cell r="C239" t="str">
            <v>N/HT</v>
          </cell>
          <cell r="D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>
            <v>1</v>
          </cell>
          <cell r="J239">
            <v>1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</row>
        <row r="240">
          <cell r="C240" t="str">
            <v>N/HT</v>
          </cell>
          <cell r="D240">
            <v>0</v>
          </cell>
          <cell r="F240" t="e">
            <v>#N/A</v>
          </cell>
          <cell r="G240" t="e">
            <v>#N/A</v>
          </cell>
          <cell r="H240" t="e">
            <v>#N/A</v>
          </cell>
          <cell r="I240">
            <v>1</v>
          </cell>
          <cell r="J240">
            <v>1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</row>
        <row r="242">
          <cell r="C242" t="str">
            <v>No. Parte Htal:</v>
          </cell>
          <cell r="D242" t="str">
            <v>RQ</v>
          </cell>
          <cell r="E242" t="str">
            <v>Inventario</v>
          </cell>
          <cell r="F242" t="str">
            <v>Pz / Herramental</v>
          </cell>
          <cell r="G242" t="str">
            <v>Tiempo Entrega</v>
          </cell>
          <cell r="H242" t="str">
            <v>Mín</v>
          </cell>
          <cell r="I242" t="str">
            <v>Pto. Reorden</v>
          </cell>
          <cell r="J242" t="str">
            <v>Máx</v>
          </cell>
          <cell r="K242" t="str">
            <v>Mín</v>
          </cell>
          <cell r="L242" t="str">
            <v>Pto. Reorden</v>
          </cell>
          <cell r="M242" t="str">
            <v>Máx</v>
          </cell>
          <cell r="N242" t="str">
            <v>STATUS</v>
          </cell>
        </row>
        <row r="243">
          <cell r="C243" t="str">
            <v>HTJA040260</v>
          </cell>
          <cell r="D243">
            <v>11932</v>
          </cell>
          <cell r="E243">
            <v>4</v>
          </cell>
          <cell r="F243">
            <v>15000</v>
          </cell>
          <cell r="G243">
            <v>8</v>
          </cell>
          <cell r="H243">
            <v>1</v>
          </cell>
          <cell r="I243">
            <v>1</v>
          </cell>
          <cell r="J243">
            <v>1</v>
          </cell>
          <cell r="K243">
            <v>1</v>
          </cell>
          <cell r="L243">
            <v>2</v>
          </cell>
          <cell r="M243">
            <v>3</v>
          </cell>
          <cell r="N243" t="str">
            <v>SOBREINVENTARIO</v>
          </cell>
        </row>
        <row r="244">
          <cell r="C244" t="str">
            <v>HTJA040153</v>
          </cell>
          <cell r="D244">
            <v>11932</v>
          </cell>
          <cell r="E244">
            <v>3</v>
          </cell>
          <cell r="F244">
            <v>5000</v>
          </cell>
          <cell r="G244">
            <v>6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2</v>
          </cell>
          <cell r="M244">
            <v>3</v>
          </cell>
          <cell r="N244" t="str">
            <v>OK</v>
          </cell>
        </row>
        <row r="245">
          <cell r="C245" t="str">
            <v>HTJA040124</v>
          </cell>
          <cell r="D245">
            <v>11932</v>
          </cell>
          <cell r="E245">
            <v>3</v>
          </cell>
          <cell r="F245">
            <v>6000</v>
          </cell>
          <cell r="G245">
            <v>6</v>
          </cell>
          <cell r="H245">
            <v>1</v>
          </cell>
          <cell r="I245">
            <v>1</v>
          </cell>
          <cell r="J245">
            <v>1</v>
          </cell>
          <cell r="K245">
            <v>1</v>
          </cell>
          <cell r="L245">
            <v>2</v>
          </cell>
          <cell r="M245">
            <v>3</v>
          </cell>
          <cell r="N245" t="str">
            <v>OK</v>
          </cell>
        </row>
        <row r="246">
          <cell r="C246" t="str">
            <v>HTJA040162</v>
          </cell>
          <cell r="D246">
            <v>11932</v>
          </cell>
          <cell r="E246">
            <v>1</v>
          </cell>
          <cell r="F246">
            <v>200000</v>
          </cell>
          <cell r="G246">
            <v>8</v>
          </cell>
          <cell r="H246">
            <v>1</v>
          </cell>
          <cell r="I246">
            <v>1</v>
          </cell>
          <cell r="J246">
            <v>1</v>
          </cell>
          <cell r="K246">
            <v>1</v>
          </cell>
          <cell r="L246">
            <v>2</v>
          </cell>
          <cell r="M246">
            <v>3</v>
          </cell>
          <cell r="N246" t="str">
            <v>PEDIR</v>
          </cell>
        </row>
        <row r="247">
          <cell r="C247" t="str">
            <v>HTJA040122</v>
          </cell>
          <cell r="D247">
            <v>11932</v>
          </cell>
          <cell r="E247">
            <v>3</v>
          </cell>
          <cell r="F247">
            <v>200000</v>
          </cell>
          <cell r="G247">
            <v>8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2</v>
          </cell>
          <cell r="M247">
            <v>3</v>
          </cell>
          <cell r="N247" t="str">
            <v>OK</v>
          </cell>
        </row>
        <row r="248">
          <cell r="C248" t="str">
            <v>HTJA040302</v>
          </cell>
          <cell r="D248">
            <v>11932</v>
          </cell>
          <cell r="E248">
            <v>1</v>
          </cell>
          <cell r="F248">
            <v>200000</v>
          </cell>
          <cell r="G248">
            <v>8</v>
          </cell>
          <cell r="H248">
            <v>1</v>
          </cell>
          <cell r="I248">
            <v>1</v>
          </cell>
          <cell r="J248">
            <v>1</v>
          </cell>
          <cell r="K248">
            <v>1</v>
          </cell>
          <cell r="L248">
            <v>2</v>
          </cell>
          <cell r="M248">
            <v>3</v>
          </cell>
          <cell r="N248" t="str">
            <v>PEDIR</v>
          </cell>
        </row>
        <row r="249">
          <cell r="C249" t="str">
            <v>HTJA040301</v>
          </cell>
          <cell r="D249">
            <v>11932</v>
          </cell>
          <cell r="E249">
            <v>3</v>
          </cell>
          <cell r="F249">
            <v>25000</v>
          </cell>
          <cell r="G249">
            <v>10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2</v>
          </cell>
          <cell r="M249">
            <v>3</v>
          </cell>
          <cell r="N249" t="str">
            <v>OK</v>
          </cell>
        </row>
        <row r="250">
          <cell r="C250" t="str">
            <v>HTJA040154</v>
          </cell>
          <cell r="D250">
            <v>11932</v>
          </cell>
          <cell r="E250">
            <v>1</v>
          </cell>
          <cell r="F250">
            <v>10000</v>
          </cell>
          <cell r="G250">
            <v>10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2</v>
          </cell>
          <cell r="M250">
            <v>3</v>
          </cell>
          <cell r="N250" t="str">
            <v>PEDIR</v>
          </cell>
        </row>
        <row r="251">
          <cell r="C251" t="str">
            <v>HTJA040123</v>
          </cell>
          <cell r="D251">
            <v>11932</v>
          </cell>
          <cell r="E251">
            <v>14</v>
          </cell>
          <cell r="F251">
            <v>5000</v>
          </cell>
          <cell r="G251">
            <v>6</v>
          </cell>
          <cell r="H251">
            <v>1</v>
          </cell>
          <cell r="I251">
            <v>1</v>
          </cell>
          <cell r="J251">
            <v>1</v>
          </cell>
          <cell r="K251">
            <v>1</v>
          </cell>
          <cell r="L251">
            <v>2</v>
          </cell>
          <cell r="M251">
            <v>3</v>
          </cell>
          <cell r="N251" t="str">
            <v>SOBREINVENTARIO</v>
          </cell>
        </row>
        <row r="252">
          <cell r="C252" t="str">
            <v>N/HT</v>
          </cell>
          <cell r="D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>
            <v>1</v>
          </cell>
          <cell r="J252">
            <v>1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</row>
        <row r="253">
          <cell r="C253" t="str">
            <v>N/HT</v>
          </cell>
          <cell r="D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>
            <v>1</v>
          </cell>
          <cell r="J253">
            <v>1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</row>
        <row r="254">
          <cell r="C254" t="str">
            <v>N/HT</v>
          </cell>
          <cell r="D254">
            <v>0</v>
          </cell>
          <cell r="F254" t="e">
            <v>#N/A</v>
          </cell>
          <cell r="G254" t="e">
            <v>#N/A</v>
          </cell>
          <cell r="H254" t="e">
            <v>#N/A</v>
          </cell>
          <cell r="I254">
            <v>1</v>
          </cell>
          <cell r="J254">
            <v>1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</row>
        <row r="255">
          <cell r="C255" t="str">
            <v>N/HT</v>
          </cell>
          <cell r="D255">
            <v>0</v>
          </cell>
          <cell r="F255" t="e">
            <v>#N/A</v>
          </cell>
          <cell r="G255" t="e">
            <v>#N/A</v>
          </cell>
          <cell r="H255" t="e">
            <v>#N/A</v>
          </cell>
          <cell r="I255">
            <v>1</v>
          </cell>
          <cell r="J255">
            <v>1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</row>
        <row r="256">
          <cell r="C256" t="str">
            <v>N/HT</v>
          </cell>
          <cell r="D256">
            <v>0</v>
          </cell>
          <cell r="F256" t="e">
            <v>#N/A</v>
          </cell>
          <cell r="G256" t="e">
            <v>#N/A</v>
          </cell>
          <cell r="H256" t="e">
            <v>#N/A</v>
          </cell>
          <cell r="I256">
            <v>1</v>
          </cell>
          <cell r="J256">
            <v>1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</row>
        <row r="257">
          <cell r="C257" t="str">
            <v>N/HT</v>
          </cell>
          <cell r="D257">
            <v>0</v>
          </cell>
          <cell r="F257" t="e">
            <v>#N/A</v>
          </cell>
          <cell r="G257" t="e">
            <v>#N/A</v>
          </cell>
          <cell r="H257" t="e">
            <v>#N/A</v>
          </cell>
          <cell r="I257">
            <v>1</v>
          </cell>
          <cell r="J257">
            <v>1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</row>
        <row r="258">
          <cell r="C258" t="str">
            <v>N/HT</v>
          </cell>
          <cell r="D258">
            <v>0</v>
          </cell>
          <cell r="F258" t="e">
            <v>#N/A</v>
          </cell>
          <cell r="G258" t="e">
            <v>#N/A</v>
          </cell>
          <cell r="H258" t="e">
            <v>#N/A</v>
          </cell>
          <cell r="I258">
            <v>1</v>
          </cell>
          <cell r="J258">
            <v>1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</row>
        <row r="259">
          <cell r="C259" t="str">
            <v>N/HT</v>
          </cell>
          <cell r="D259">
            <v>0</v>
          </cell>
          <cell r="F259" t="e">
            <v>#N/A</v>
          </cell>
          <cell r="G259" t="e">
            <v>#N/A</v>
          </cell>
          <cell r="H259" t="e">
            <v>#N/A</v>
          </cell>
          <cell r="I259">
            <v>1</v>
          </cell>
          <cell r="J259">
            <v>1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</row>
        <row r="260">
          <cell r="C260" t="str">
            <v>N/HT</v>
          </cell>
          <cell r="D260">
            <v>0</v>
          </cell>
          <cell r="F260" t="e">
            <v>#N/A</v>
          </cell>
          <cell r="G260" t="e">
            <v>#N/A</v>
          </cell>
          <cell r="H260" t="e">
            <v>#N/A</v>
          </cell>
          <cell r="I260">
            <v>1</v>
          </cell>
          <cell r="J260">
            <v>1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</row>
        <row r="261">
          <cell r="C261" t="str">
            <v>N/HT</v>
          </cell>
          <cell r="D261">
            <v>0</v>
          </cell>
          <cell r="F261" t="e">
            <v>#N/A</v>
          </cell>
          <cell r="G261" t="e">
            <v>#N/A</v>
          </cell>
          <cell r="H261" t="e">
            <v>#N/A</v>
          </cell>
          <cell r="I261">
            <v>1</v>
          </cell>
          <cell r="J261">
            <v>1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</row>
        <row r="262">
          <cell r="C262" t="str">
            <v>N/HT</v>
          </cell>
          <cell r="D262">
            <v>0</v>
          </cell>
          <cell r="F262" t="e">
            <v>#N/A</v>
          </cell>
          <cell r="G262" t="e">
            <v>#N/A</v>
          </cell>
          <cell r="H262" t="e">
            <v>#N/A</v>
          </cell>
          <cell r="I262">
            <v>1</v>
          </cell>
          <cell r="J262">
            <v>1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</row>
        <row r="263">
          <cell r="C263" t="str">
            <v>N/HT</v>
          </cell>
          <cell r="D263">
            <v>0</v>
          </cell>
          <cell r="F263" t="e">
            <v>#N/A</v>
          </cell>
          <cell r="G263" t="e">
            <v>#N/A</v>
          </cell>
          <cell r="H263" t="e">
            <v>#N/A</v>
          </cell>
          <cell r="I263">
            <v>1</v>
          </cell>
          <cell r="J263">
            <v>1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</row>
        <row r="264">
          <cell r="C264" t="str">
            <v>N/HT</v>
          </cell>
          <cell r="D264">
            <v>0</v>
          </cell>
          <cell r="F264" t="e">
            <v>#N/A</v>
          </cell>
          <cell r="G264" t="e">
            <v>#N/A</v>
          </cell>
          <cell r="H264" t="e">
            <v>#N/A</v>
          </cell>
          <cell r="I264">
            <v>1</v>
          </cell>
          <cell r="J264">
            <v>1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</row>
        <row r="265">
          <cell r="C265" t="str">
            <v>N/HT</v>
          </cell>
          <cell r="D265">
            <v>0</v>
          </cell>
          <cell r="F265" t="e">
            <v>#N/A</v>
          </cell>
          <cell r="G265" t="e">
            <v>#N/A</v>
          </cell>
          <cell r="H265" t="e">
            <v>#N/A</v>
          </cell>
          <cell r="I265">
            <v>1</v>
          </cell>
          <cell r="J265">
            <v>1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</row>
        <row r="266">
          <cell r="C266" t="str">
            <v>N/HT</v>
          </cell>
          <cell r="D266">
            <v>0</v>
          </cell>
          <cell r="F266" t="e">
            <v>#N/A</v>
          </cell>
          <cell r="G266" t="e">
            <v>#N/A</v>
          </cell>
          <cell r="H266" t="e">
            <v>#N/A</v>
          </cell>
          <cell r="I266">
            <v>1</v>
          </cell>
          <cell r="J266">
            <v>1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</row>
        <row r="267">
          <cell r="C267" t="str">
            <v>N/HT</v>
          </cell>
          <cell r="D267">
            <v>0</v>
          </cell>
          <cell r="F267" t="e">
            <v>#N/A</v>
          </cell>
          <cell r="G267" t="e">
            <v>#N/A</v>
          </cell>
          <cell r="H267" t="e">
            <v>#N/A</v>
          </cell>
          <cell r="I267">
            <v>1</v>
          </cell>
          <cell r="J267">
            <v>1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</row>
        <row r="268">
          <cell r="C268" t="str">
            <v>N/HT</v>
          </cell>
          <cell r="D268">
            <v>0</v>
          </cell>
          <cell r="F268" t="e">
            <v>#N/A</v>
          </cell>
          <cell r="G268" t="e">
            <v>#N/A</v>
          </cell>
          <cell r="H268" t="e">
            <v>#N/A</v>
          </cell>
          <cell r="I268">
            <v>1</v>
          </cell>
          <cell r="J268">
            <v>1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</row>
        <row r="269">
          <cell r="C269" t="str">
            <v>N/HT</v>
          </cell>
          <cell r="D269">
            <v>0</v>
          </cell>
          <cell r="F269" t="e">
            <v>#N/A</v>
          </cell>
          <cell r="G269" t="e">
            <v>#N/A</v>
          </cell>
          <cell r="H269" t="e">
            <v>#N/A</v>
          </cell>
          <cell r="I269">
            <v>1</v>
          </cell>
          <cell r="J269">
            <v>1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</row>
        <row r="270">
          <cell r="C270" t="str">
            <v>N/HT</v>
          </cell>
          <cell r="D270">
            <v>0</v>
          </cell>
          <cell r="F270" t="e">
            <v>#N/A</v>
          </cell>
          <cell r="G270" t="e">
            <v>#N/A</v>
          </cell>
          <cell r="H270" t="e">
            <v>#N/A</v>
          </cell>
          <cell r="I270">
            <v>1</v>
          </cell>
          <cell r="J270">
            <v>1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</row>
        <row r="271">
          <cell r="C271" t="str">
            <v>N/HT</v>
          </cell>
          <cell r="D271">
            <v>0</v>
          </cell>
          <cell r="F271" t="e">
            <v>#N/A</v>
          </cell>
          <cell r="G271" t="e">
            <v>#N/A</v>
          </cell>
          <cell r="H271" t="e">
            <v>#N/A</v>
          </cell>
          <cell r="I271">
            <v>1</v>
          </cell>
          <cell r="J271">
            <v>1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</row>
        <row r="272">
          <cell r="C272" t="str">
            <v>N/HT</v>
          </cell>
          <cell r="D272">
            <v>0</v>
          </cell>
          <cell r="F272" t="e">
            <v>#N/A</v>
          </cell>
          <cell r="G272" t="e">
            <v>#N/A</v>
          </cell>
          <cell r="H272" t="e">
            <v>#N/A</v>
          </cell>
          <cell r="I272">
            <v>1</v>
          </cell>
          <cell r="J272">
            <v>1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</row>
        <row r="273">
          <cell r="C273" t="str">
            <v>N/HT</v>
          </cell>
          <cell r="D273">
            <v>0</v>
          </cell>
          <cell r="F273" t="e">
            <v>#N/A</v>
          </cell>
          <cell r="G273" t="e">
            <v>#N/A</v>
          </cell>
          <cell r="H273" t="e">
            <v>#N/A</v>
          </cell>
          <cell r="I273">
            <v>1</v>
          </cell>
          <cell r="J273">
            <v>1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</row>
        <row r="274">
          <cell r="C274" t="str">
            <v>N/HT</v>
          </cell>
          <cell r="D274">
            <v>0</v>
          </cell>
          <cell r="F274" t="e">
            <v>#N/A</v>
          </cell>
          <cell r="G274" t="e">
            <v>#N/A</v>
          </cell>
          <cell r="H274" t="e">
            <v>#N/A</v>
          </cell>
          <cell r="I274">
            <v>1</v>
          </cell>
          <cell r="J274">
            <v>1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</row>
        <row r="276">
          <cell r="C276" t="str">
            <v>No. Parte Htal:</v>
          </cell>
          <cell r="D276" t="str">
            <v>RQ</v>
          </cell>
          <cell r="E276" t="str">
            <v>Inventario</v>
          </cell>
          <cell r="F276" t="str">
            <v>Pz / Herramental</v>
          </cell>
          <cell r="G276" t="str">
            <v>Tiempo Entrega</v>
          </cell>
          <cell r="H276" t="str">
            <v>Mín</v>
          </cell>
          <cell r="I276" t="str">
            <v>Pto. Reorden</v>
          </cell>
          <cell r="J276" t="str">
            <v>Máx</v>
          </cell>
          <cell r="K276" t="str">
            <v>Mín</v>
          </cell>
          <cell r="L276" t="str">
            <v>Pto. Reorden</v>
          </cell>
          <cell r="M276" t="str">
            <v>Máx</v>
          </cell>
          <cell r="N276" t="str">
            <v>STATUS</v>
          </cell>
        </row>
        <row r="277">
          <cell r="C277" t="str">
            <v>HTJA040277</v>
          </cell>
          <cell r="D277">
            <v>23450.400000000001</v>
          </cell>
          <cell r="E277">
            <v>2</v>
          </cell>
          <cell r="F277">
            <v>200000</v>
          </cell>
          <cell r="G277">
            <v>8</v>
          </cell>
          <cell r="H277">
            <v>1</v>
          </cell>
          <cell r="I277">
            <v>1</v>
          </cell>
          <cell r="J277">
            <v>1</v>
          </cell>
          <cell r="K277">
            <v>1</v>
          </cell>
          <cell r="L277">
            <v>2</v>
          </cell>
          <cell r="M277">
            <v>3</v>
          </cell>
          <cell r="N277" t="str">
            <v>PEDIR</v>
          </cell>
        </row>
        <row r="278">
          <cell r="C278" t="str">
            <v>HTJA040276</v>
          </cell>
          <cell r="D278">
            <v>23450.400000000001</v>
          </cell>
          <cell r="E278">
            <v>2</v>
          </cell>
          <cell r="F278">
            <v>200000</v>
          </cell>
          <cell r="G278">
            <v>8</v>
          </cell>
          <cell r="H278">
            <v>1</v>
          </cell>
          <cell r="I278">
            <v>1</v>
          </cell>
          <cell r="J278">
            <v>1</v>
          </cell>
          <cell r="K278">
            <v>1</v>
          </cell>
          <cell r="L278">
            <v>2</v>
          </cell>
          <cell r="M278">
            <v>3</v>
          </cell>
          <cell r="N278" t="str">
            <v>PEDIR</v>
          </cell>
        </row>
        <row r="279">
          <cell r="C279" t="str">
            <v>HTJA040140</v>
          </cell>
          <cell r="D279">
            <v>23450.400000000001</v>
          </cell>
          <cell r="E279">
            <v>4</v>
          </cell>
          <cell r="F279">
            <v>8000</v>
          </cell>
          <cell r="G279">
            <v>6</v>
          </cell>
          <cell r="H279">
            <v>1</v>
          </cell>
          <cell r="I279">
            <v>1</v>
          </cell>
          <cell r="J279">
            <v>1</v>
          </cell>
          <cell r="K279">
            <v>1</v>
          </cell>
          <cell r="L279">
            <v>2</v>
          </cell>
          <cell r="M279">
            <v>3</v>
          </cell>
          <cell r="N279" t="str">
            <v>SOBREINVENTARIO</v>
          </cell>
        </row>
        <row r="280">
          <cell r="C280" t="str">
            <v>HTJA040177</v>
          </cell>
          <cell r="D280">
            <v>23450.400000000001</v>
          </cell>
          <cell r="E280">
            <v>2</v>
          </cell>
          <cell r="F280">
            <v>5000</v>
          </cell>
          <cell r="G280">
            <v>6</v>
          </cell>
          <cell r="H280">
            <v>2</v>
          </cell>
          <cell r="I280">
            <v>1</v>
          </cell>
          <cell r="J280">
            <v>1</v>
          </cell>
          <cell r="K280">
            <v>2</v>
          </cell>
          <cell r="L280">
            <v>3</v>
          </cell>
          <cell r="M280">
            <v>4</v>
          </cell>
          <cell r="N280" t="str">
            <v>PEDIR</v>
          </cell>
        </row>
        <row r="281">
          <cell r="C281" t="str">
            <v>HTJA040139</v>
          </cell>
          <cell r="D281">
            <v>23450.400000000001</v>
          </cell>
          <cell r="E281">
            <v>12</v>
          </cell>
          <cell r="F281">
            <v>5000</v>
          </cell>
          <cell r="G281">
            <v>6</v>
          </cell>
          <cell r="H281">
            <v>2</v>
          </cell>
          <cell r="I281">
            <v>1</v>
          </cell>
          <cell r="J281">
            <v>1</v>
          </cell>
          <cell r="K281">
            <v>2</v>
          </cell>
          <cell r="L281">
            <v>3</v>
          </cell>
          <cell r="M281">
            <v>4</v>
          </cell>
          <cell r="N281" t="str">
            <v>SOBREINVENTARIO</v>
          </cell>
        </row>
        <row r="282">
          <cell r="C282" t="str">
            <v>HTJA040141</v>
          </cell>
          <cell r="D282">
            <v>23450.400000000001</v>
          </cell>
          <cell r="E282">
            <v>1</v>
          </cell>
          <cell r="F282">
            <v>200000</v>
          </cell>
          <cell r="G282">
            <v>8</v>
          </cell>
          <cell r="H282">
            <v>1</v>
          </cell>
          <cell r="I282">
            <v>1</v>
          </cell>
          <cell r="J282">
            <v>1</v>
          </cell>
          <cell r="K282">
            <v>1</v>
          </cell>
          <cell r="L282">
            <v>2</v>
          </cell>
          <cell r="M282">
            <v>3</v>
          </cell>
          <cell r="N282" t="str">
            <v>PEDIR</v>
          </cell>
        </row>
        <row r="283">
          <cell r="C283" t="str">
            <v>HTJA040182</v>
          </cell>
          <cell r="D283">
            <v>23450.400000000001</v>
          </cell>
          <cell r="E283">
            <v>1</v>
          </cell>
          <cell r="F283">
            <v>200000</v>
          </cell>
          <cell r="G283">
            <v>8</v>
          </cell>
          <cell r="H283">
            <v>1</v>
          </cell>
          <cell r="I283">
            <v>1</v>
          </cell>
          <cell r="J283">
            <v>1</v>
          </cell>
          <cell r="K283">
            <v>1</v>
          </cell>
          <cell r="L283">
            <v>2</v>
          </cell>
          <cell r="M283">
            <v>3</v>
          </cell>
          <cell r="N283" t="str">
            <v>PEDIR</v>
          </cell>
        </row>
        <row r="284">
          <cell r="C284" t="str">
            <v>HTJA040278</v>
          </cell>
          <cell r="D284">
            <v>23450.400000000001</v>
          </cell>
          <cell r="E284">
            <v>1</v>
          </cell>
          <cell r="F284">
            <v>200000</v>
          </cell>
          <cell r="G284">
            <v>8</v>
          </cell>
          <cell r="H284">
            <v>1</v>
          </cell>
          <cell r="I284">
            <v>1</v>
          </cell>
          <cell r="J284">
            <v>1</v>
          </cell>
          <cell r="K284">
            <v>1</v>
          </cell>
          <cell r="L284">
            <v>2</v>
          </cell>
          <cell r="M284">
            <v>3</v>
          </cell>
          <cell r="N284" t="str">
            <v>PEDIR</v>
          </cell>
        </row>
        <row r="285">
          <cell r="C285" t="str">
            <v>HTJA040136</v>
          </cell>
          <cell r="D285">
            <v>23450.400000000001</v>
          </cell>
          <cell r="E285">
            <v>3</v>
          </cell>
          <cell r="F285">
            <v>10000</v>
          </cell>
          <cell r="G285">
            <v>11</v>
          </cell>
          <cell r="H285">
            <v>2</v>
          </cell>
          <cell r="I285">
            <v>1</v>
          </cell>
          <cell r="J285">
            <v>1</v>
          </cell>
          <cell r="K285">
            <v>2</v>
          </cell>
          <cell r="L285">
            <v>3</v>
          </cell>
          <cell r="M285">
            <v>4</v>
          </cell>
          <cell r="N285" t="str">
            <v>PEDIR</v>
          </cell>
        </row>
        <row r="286">
          <cell r="C286" t="str">
            <v>HTJA040138</v>
          </cell>
          <cell r="D286">
            <v>23450.400000000001</v>
          </cell>
          <cell r="E286">
            <v>9</v>
          </cell>
          <cell r="F286">
            <v>5000</v>
          </cell>
          <cell r="G286">
            <v>6</v>
          </cell>
          <cell r="H286">
            <v>2</v>
          </cell>
          <cell r="I286">
            <v>1</v>
          </cell>
          <cell r="J286">
            <v>1</v>
          </cell>
          <cell r="K286">
            <v>2</v>
          </cell>
          <cell r="L286">
            <v>3</v>
          </cell>
          <cell r="M286">
            <v>4</v>
          </cell>
          <cell r="N286" t="str">
            <v>SOBREINVENTARIO</v>
          </cell>
        </row>
        <row r="287">
          <cell r="C287" t="str">
            <v>N/HT</v>
          </cell>
          <cell r="D287">
            <v>0</v>
          </cell>
          <cell r="F287" t="e">
            <v>#N/A</v>
          </cell>
          <cell r="G287" t="e">
            <v>#N/A</v>
          </cell>
          <cell r="H287" t="e">
            <v>#N/A</v>
          </cell>
          <cell r="I287">
            <v>1</v>
          </cell>
          <cell r="J287">
            <v>1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</row>
        <row r="288">
          <cell r="C288" t="str">
            <v>N/HT</v>
          </cell>
          <cell r="D288">
            <v>0</v>
          </cell>
          <cell r="F288" t="e">
            <v>#N/A</v>
          </cell>
          <cell r="G288" t="e">
            <v>#N/A</v>
          </cell>
          <cell r="H288" t="e">
            <v>#N/A</v>
          </cell>
          <cell r="I288">
            <v>1</v>
          </cell>
          <cell r="J288">
            <v>1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</row>
        <row r="289">
          <cell r="C289" t="str">
            <v>N/HT</v>
          </cell>
          <cell r="D289">
            <v>0</v>
          </cell>
          <cell r="F289" t="e">
            <v>#N/A</v>
          </cell>
          <cell r="G289" t="e">
            <v>#N/A</v>
          </cell>
          <cell r="H289" t="e">
            <v>#N/A</v>
          </cell>
          <cell r="I289">
            <v>1</v>
          </cell>
          <cell r="J289">
            <v>1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</row>
        <row r="290">
          <cell r="C290" t="str">
            <v>N/HT</v>
          </cell>
          <cell r="D290">
            <v>0</v>
          </cell>
          <cell r="F290" t="e">
            <v>#N/A</v>
          </cell>
          <cell r="G290" t="e">
            <v>#N/A</v>
          </cell>
          <cell r="H290" t="e">
            <v>#N/A</v>
          </cell>
          <cell r="I290">
            <v>1</v>
          </cell>
          <cell r="J290">
            <v>1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</row>
        <row r="291">
          <cell r="C291" t="str">
            <v>N/HT</v>
          </cell>
          <cell r="D291">
            <v>0</v>
          </cell>
          <cell r="F291" t="e">
            <v>#N/A</v>
          </cell>
          <cell r="G291" t="e">
            <v>#N/A</v>
          </cell>
          <cell r="H291" t="e">
            <v>#N/A</v>
          </cell>
          <cell r="I291">
            <v>1</v>
          </cell>
          <cell r="J291">
            <v>1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</row>
        <row r="292">
          <cell r="C292" t="str">
            <v>N/HT</v>
          </cell>
          <cell r="D292">
            <v>0</v>
          </cell>
          <cell r="F292" t="e">
            <v>#N/A</v>
          </cell>
          <cell r="G292" t="e">
            <v>#N/A</v>
          </cell>
          <cell r="H292" t="e">
            <v>#N/A</v>
          </cell>
          <cell r="I292">
            <v>1</v>
          </cell>
          <cell r="J292">
            <v>1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</row>
        <row r="293">
          <cell r="C293" t="str">
            <v>N/HT</v>
          </cell>
          <cell r="D293">
            <v>0</v>
          </cell>
          <cell r="F293" t="e">
            <v>#N/A</v>
          </cell>
          <cell r="G293" t="e">
            <v>#N/A</v>
          </cell>
          <cell r="H293" t="e">
            <v>#N/A</v>
          </cell>
          <cell r="I293">
            <v>1</v>
          </cell>
          <cell r="J293">
            <v>1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</row>
        <row r="294">
          <cell r="C294" t="str">
            <v>N/HT</v>
          </cell>
          <cell r="D294">
            <v>0</v>
          </cell>
          <cell r="F294" t="e">
            <v>#N/A</v>
          </cell>
          <cell r="G294" t="e">
            <v>#N/A</v>
          </cell>
          <cell r="H294" t="e">
            <v>#N/A</v>
          </cell>
          <cell r="I294">
            <v>1</v>
          </cell>
          <cell r="J294">
            <v>1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</row>
        <row r="295">
          <cell r="C295" t="str">
            <v>N/HT</v>
          </cell>
          <cell r="D295">
            <v>0</v>
          </cell>
          <cell r="F295" t="e">
            <v>#N/A</v>
          </cell>
          <cell r="G295" t="e">
            <v>#N/A</v>
          </cell>
          <cell r="H295" t="e">
            <v>#N/A</v>
          </cell>
          <cell r="I295">
            <v>1</v>
          </cell>
          <cell r="J295">
            <v>1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</row>
        <row r="296">
          <cell r="C296" t="str">
            <v>N/HT</v>
          </cell>
          <cell r="D296">
            <v>0</v>
          </cell>
          <cell r="F296" t="e">
            <v>#N/A</v>
          </cell>
          <cell r="G296" t="e">
            <v>#N/A</v>
          </cell>
          <cell r="H296" t="e">
            <v>#N/A</v>
          </cell>
          <cell r="I296">
            <v>1</v>
          </cell>
          <cell r="J296">
            <v>1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</row>
        <row r="297">
          <cell r="C297" t="str">
            <v>N/HT</v>
          </cell>
          <cell r="D297">
            <v>0</v>
          </cell>
          <cell r="F297" t="e">
            <v>#N/A</v>
          </cell>
          <cell r="G297" t="e">
            <v>#N/A</v>
          </cell>
          <cell r="H297" t="e">
            <v>#N/A</v>
          </cell>
          <cell r="I297">
            <v>1</v>
          </cell>
          <cell r="J297">
            <v>1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</row>
        <row r="298">
          <cell r="C298" t="str">
            <v>N/HT</v>
          </cell>
          <cell r="D298">
            <v>0</v>
          </cell>
          <cell r="F298" t="e">
            <v>#N/A</v>
          </cell>
          <cell r="G298" t="e">
            <v>#N/A</v>
          </cell>
          <cell r="H298" t="e">
            <v>#N/A</v>
          </cell>
          <cell r="I298">
            <v>1</v>
          </cell>
          <cell r="J298">
            <v>1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</row>
        <row r="299">
          <cell r="C299" t="str">
            <v>N/HT</v>
          </cell>
          <cell r="D299">
            <v>0</v>
          </cell>
          <cell r="F299" t="e">
            <v>#N/A</v>
          </cell>
          <cell r="G299" t="e">
            <v>#N/A</v>
          </cell>
          <cell r="H299" t="e">
            <v>#N/A</v>
          </cell>
          <cell r="I299">
            <v>1</v>
          </cell>
          <cell r="J299">
            <v>1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</row>
        <row r="300">
          <cell r="C300" t="str">
            <v>N/HT</v>
          </cell>
          <cell r="D300">
            <v>0</v>
          </cell>
          <cell r="F300" t="e">
            <v>#N/A</v>
          </cell>
          <cell r="G300" t="e">
            <v>#N/A</v>
          </cell>
          <cell r="H300" t="e">
            <v>#N/A</v>
          </cell>
          <cell r="I300">
            <v>1</v>
          </cell>
          <cell r="J300">
            <v>1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</row>
        <row r="301">
          <cell r="C301" t="str">
            <v>N/HT</v>
          </cell>
          <cell r="D301">
            <v>0</v>
          </cell>
          <cell r="F301" t="e">
            <v>#N/A</v>
          </cell>
          <cell r="G301" t="e">
            <v>#N/A</v>
          </cell>
          <cell r="H301" t="e">
            <v>#N/A</v>
          </cell>
          <cell r="I301">
            <v>1</v>
          </cell>
          <cell r="J301">
            <v>1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</row>
        <row r="302">
          <cell r="C302" t="str">
            <v>N/HT</v>
          </cell>
          <cell r="D302">
            <v>0</v>
          </cell>
          <cell r="F302" t="e">
            <v>#N/A</v>
          </cell>
          <cell r="G302" t="e">
            <v>#N/A</v>
          </cell>
          <cell r="H302" t="e">
            <v>#N/A</v>
          </cell>
          <cell r="I302">
            <v>1</v>
          </cell>
          <cell r="J302">
            <v>1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</row>
        <row r="303">
          <cell r="C303" t="str">
            <v>N/HT</v>
          </cell>
          <cell r="D303">
            <v>0</v>
          </cell>
          <cell r="F303" t="e">
            <v>#N/A</v>
          </cell>
          <cell r="G303" t="e">
            <v>#N/A</v>
          </cell>
          <cell r="H303" t="e">
            <v>#N/A</v>
          </cell>
          <cell r="I303">
            <v>1</v>
          </cell>
          <cell r="J303">
            <v>1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</row>
        <row r="304">
          <cell r="C304" t="str">
            <v>N/HT</v>
          </cell>
          <cell r="D304">
            <v>0</v>
          </cell>
          <cell r="F304" t="e">
            <v>#N/A</v>
          </cell>
          <cell r="G304" t="e">
            <v>#N/A</v>
          </cell>
          <cell r="H304" t="e">
            <v>#N/A</v>
          </cell>
          <cell r="I304">
            <v>1</v>
          </cell>
          <cell r="J304">
            <v>1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</row>
        <row r="305">
          <cell r="C305" t="str">
            <v>N/HT</v>
          </cell>
          <cell r="D305">
            <v>0</v>
          </cell>
          <cell r="F305" t="e">
            <v>#N/A</v>
          </cell>
          <cell r="G305" t="e">
            <v>#N/A</v>
          </cell>
          <cell r="H305" t="e">
            <v>#N/A</v>
          </cell>
          <cell r="I305">
            <v>1</v>
          </cell>
          <cell r="J305">
            <v>1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</row>
        <row r="306">
          <cell r="C306" t="str">
            <v>N/HT</v>
          </cell>
          <cell r="D306">
            <v>0</v>
          </cell>
          <cell r="F306" t="e">
            <v>#N/A</v>
          </cell>
          <cell r="G306" t="e">
            <v>#N/A</v>
          </cell>
          <cell r="H306" t="e">
            <v>#N/A</v>
          </cell>
          <cell r="I306">
            <v>1</v>
          </cell>
          <cell r="J306">
            <v>1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</row>
        <row r="307">
          <cell r="C307" t="str">
            <v>N/HT</v>
          </cell>
          <cell r="D307">
            <v>0</v>
          </cell>
          <cell r="F307" t="e">
            <v>#N/A</v>
          </cell>
          <cell r="G307" t="e">
            <v>#N/A</v>
          </cell>
          <cell r="H307" t="e">
            <v>#N/A</v>
          </cell>
          <cell r="I307">
            <v>1</v>
          </cell>
          <cell r="J307">
            <v>1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</row>
        <row r="308">
          <cell r="C308" t="str">
            <v>N/HT</v>
          </cell>
          <cell r="D308">
            <v>0</v>
          </cell>
          <cell r="F308" t="e">
            <v>#N/A</v>
          </cell>
          <cell r="G308" t="e">
            <v>#N/A</v>
          </cell>
          <cell r="H308" t="e">
            <v>#N/A</v>
          </cell>
          <cell r="I308">
            <v>1</v>
          </cell>
          <cell r="J308">
            <v>1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</row>
        <row r="310">
          <cell r="C310" t="str">
            <v>No. Parte Htal:</v>
          </cell>
          <cell r="D310" t="str">
            <v>RQ</v>
          </cell>
          <cell r="E310" t="str">
            <v>Inventario</v>
          </cell>
          <cell r="F310" t="str">
            <v>Pz / Herramental</v>
          </cell>
          <cell r="G310" t="str">
            <v>Tiempo Entrega</v>
          </cell>
          <cell r="H310" t="str">
            <v>Mín</v>
          </cell>
          <cell r="I310" t="str">
            <v>Pto. Reorden</v>
          </cell>
          <cell r="J310" t="str">
            <v>Máx</v>
          </cell>
          <cell r="K310" t="str">
            <v>Mín</v>
          </cell>
          <cell r="L310" t="str">
            <v>Pto. Reorden</v>
          </cell>
          <cell r="M310" t="str">
            <v>Máx</v>
          </cell>
          <cell r="N310" t="str">
            <v>STATUS</v>
          </cell>
        </row>
        <row r="311">
          <cell r="C311" t="str">
            <v>HTJA040085</v>
          </cell>
          <cell r="D311">
            <v>0</v>
          </cell>
          <cell r="E311">
            <v>3</v>
          </cell>
          <cell r="F311">
            <v>10000</v>
          </cell>
          <cell r="G311">
            <v>8</v>
          </cell>
          <cell r="H311">
            <v>0</v>
          </cell>
          <cell r="I311">
            <v>1</v>
          </cell>
          <cell r="J311">
            <v>1</v>
          </cell>
          <cell r="K311">
            <v>0</v>
          </cell>
          <cell r="L311">
            <v>1</v>
          </cell>
          <cell r="M311">
            <v>2</v>
          </cell>
          <cell r="N311" t="str">
            <v>SOBREINVENTARIO</v>
          </cell>
        </row>
        <row r="312">
          <cell r="C312" t="str">
            <v>HTJA040304</v>
          </cell>
          <cell r="D312">
            <v>0</v>
          </cell>
          <cell r="E312">
            <v>2</v>
          </cell>
          <cell r="F312">
            <v>15000</v>
          </cell>
          <cell r="G312">
            <v>8</v>
          </cell>
          <cell r="H312">
            <v>0</v>
          </cell>
          <cell r="I312">
            <v>1</v>
          </cell>
          <cell r="J312">
            <v>1</v>
          </cell>
          <cell r="K312">
            <v>0</v>
          </cell>
          <cell r="L312">
            <v>1</v>
          </cell>
          <cell r="M312">
            <v>2</v>
          </cell>
          <cell r="N312" t="str">
            <v>OK</v>
          </cell>
        </row>
        <row r="313">
          <cell r="C313" t="str">
            <v>HTJA040305</v>
          </cell>
          <cell r="D313">
            <v>0</v>
          </cell>
          <cell r="E313">
            <v>2</v>
          </cell>
          <cell r="F313">
            <v>10000</v>
          </cell>
          <cell r="G313">
            <v>8</v>
          </cell>
          <cell r="H313">
            <v>0</v>
          </cell>
          <cell r="I313">
            <v>1</v>
          </cell>
          <cell r="J313">
            <v>1</v>
          </cell>
          <cell r="K313">
            <v>0</v>
          </cell>
          <cell r="L313">
            <v>1</v>
          </cell>
          <cell r="M313">
            <v>2</v>
          </cell>
          <cell r="N313" t="str">
            <v>OK</v>
          </cell>
        </row>
        <row r="314">
          <cell r="C314" t="str">
            <v>HTJA040083</v>
          </cell>
          <cell r="D314">
            <v>0</v>
          </cell>
          <cell r="E314">
            <v>7</v>
          </cell>
          <cell r="F314">
            <v>10000</v>
          </cell>
          <cell r="G314">
            <v>8</v>
          </cell>
          <cell r="H314">
            <v>0</v>
          </cell>
          <cell r="I314">
            <v>1</v>
          </cell>
          <cell r="J314">
            <v>1</v>
          </cell>
          <cell r="K314">
            <v>0</v>
          </cell>
          <cell r="L314">
            <v>1</v>
          </cell>
          <cell r="M314">
            <v>2</v>
          </cell>
          <cell r="N314" t="str">
            <v>SOBREINVENTARIO</v>
          </cell>
        </row>
        <row r="315">
          <cell r="C315" t="str">
            <v>HTJA040066</v>
          </cell>
          <cell r="D315">
            <v>0</v>
          </cell>
          <cell r="E315">
            <v>1</v>
          </cell>
          <cell r="F315">
            <v>10000</v>
          </cell>
          <cell r="G315">
            <v>8</v>
          </cell>
          <cell r="H315">
            <v>0</v>
          </cell>
          <cell r="I315">
            <v>1</v>
          </cell>
          <cell r="J315">
            <v>1</v>
          </cell>
          <cell r="K315">
            <v>0</v>
          </cell>
          <cell r="L315">
            <v>1</v>
          </cell>
          <cell r="M315">
            <v>2</v>
          </cell>
          <cell r="N315" t="str">
            <v>PEDIR</v>
          </cell>
        </row>
        <row r="316">
          <cell r="C316" t="str">
            <v>HTJA040307</v>
          </cell>
          <cell r="D316">
            <v>0</v>
          </cell>
          <cell r="E316">
            <v>1</v>
          </cell>
          <cell r="F316">
            <v>10000</v>
          </cell>
          <cell r="G316">
            <v>8</v>
          </cell>
          <cell r="H316">
            <v>0</v>
          </cell>
          <cell r="I316">
            <v>1</v>
          </cell>
          <cell r="J316">
            <v>1</v>
          </cell>
          <cell r="K316">
            <v>0</v>
          </cell>
          <cell r="L316">
            <v>1</v>
          </cell>
          <cell r="M316">
            <v>2</v>
          </cell>
          <cell r="N316" t="str">
            <v>PEDIR</v>
          </cell>
        </row>
        <row r="317">
          <cell r="C317" t="str">
            <v>HTJA040065</v>
          </cell>
          <cell r="D317">
            <v>0</v>
          </cell>
          <cell r="E317">
            <v>1</v>
          </cell>
          <cell r="F317">
            <v>10000</v>
          </cell>
          <cell r="G317">
            <v>8</v>
          </cell>
          <cell r="H317">
            <v>0</v>
          </cell>
          <cell r="I317">
            <v>1</v>
          </cell>
          <cell r="J317">
            <v>1</v>
          </cell>
          <cell r="K317">
            <v>0</v>
          </cell>
          <cell r="L317">
            <v>1</v>
          </cell>
          <cell r="M317">
            <v>2</v>
          </cell>
          <cell r="N317" t="str">
            <v>PEDIR</v>
          </cell>
        </row>
        <row r="318">
          <cell r="C318" t="str">
            <v>HTJA040306</v>
          </cell>
          <cell r="D318">
            <v>0</v>
          </cell>
          <cell r="E318">
            <v>2</v>
          </cell>
          <cell r="F318">
            <v>20000</v>
          </cell>
          <cell r="G318">
            <v>18</v>
          </cell>
          <cell r="H318">
            <v>0</v>
          </cell>
          <cell r="I318">
            <v>1</v>
          </cell>
          <cell r="J318">
            <v>1</v>
          </cell>
          <cell r="K318">
            <v>0</v>
          </cell>
          <cell r="L318">
            <v>1</v>
          </cell>
          <cell r="M318">
            <v>2</v>
          </cell>
          <cell r="N318" t="str">
            <v>OK</v>
          </cell>
        </row>
        <row r="319">
          <cell r="C319" t="str">
            <v>HTJA040064</v>
          </cell>
          <cell r="D319">
            <v>0</v>
          </cell>
          <cell r="E319">
            <v>0</v>
          </cell>
          <cell r="F319">
            <v>8000</v>
          </cell>
          <cell r="G319">
            <v>11</v>
          </cell>
          <cell r="H319">
            <v>0</v>
          </cell>
          <cell r="I319">
            <v>1</v>
          </cell>
          <cell r="J319">
            <v>1</v>
          </cell>
          <cell r="K319">
            <v>0</v>
          </cell>
          <cell r="L319">
            <v>1</v>
          </cell>
          <cell r="M319">
            <v>2</v>
          </cell>
          <cell r="N319" t="str">
            <v>PEDIR</v>
          </cell>
        </row>
        <row r="320">
          <cell r="C320" t="str">
            <v>HTJA040084</v>
          </cell>
          <cell r="D320">
            <v>0</v>
          </cell>
          <cell r="E320">
            <v>12</v>
          </cell>
          <cell r="F320">
            <v>3000</v>
          </cell>
          <cell r="G320">
            <v>6</v>
          </cell>
          <cell r="H320">
            <v>0</v>
          </cell>
          <cell r="I320">
            <v>1</v>
          </cell>
          <cell r="J320">
            <v>1</v>
          </cell>
          <cell r="K320">
            <v>0</v>
          </cell>
          <cell r="L320">
            <v>1</v>
          </cell>
          <cell r="M320">
            <v>2</v>
          </cell>
          <cell r="N320" t="str">
            <v>SOBREINVENTARIO</v>
          </cell>
        </row>
        <row r="321">
          <cell r="D321">
            <v>0</v>
          </cell>
          <cell r="F321" t="e">
            <v>#N/A</v>
          </cell>
          <cell r="G321" t="e">
            <v>#N/A</v>
          </cell>
          <cell r="H321" t="e">
            <v>#N/A</v>
          </cell>
          <cell r="I321">
            <v>1</v>
          </cell>
          <cell r="J321">
            <v>1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</row>
        <row r="322">
          <cell r="D322">
            <v>0</v>
          </cell>
          <cell r="F322" t="e">
            <v>#N/A</v>
          </cell>
          <cell r="G322" t="e">
            <v>#N/A</v>
          </cell>
          <cell r="H322" t="e">
            <v>#N/A</v>
          </cell>
          <cell r="I322">
            <v>1</v>
          </cell>
          <cell r="J322">
            <v>1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</row>
        <row r="323">
          <cell r="D323">
            <v>0</v>
          </cell>
          <cell r="F323" t="e">
            <v>#N/A</v>
          </cell>
          <cell r="G323" t="e">
            <v>#N/A</v>
          </cell>
          <cell r="H323" t="e">
            <v>#N/A</v>
          </cell>
          <cell r="I323">
            <v>1</v>
          </cell>
          <cell r="J323">
            <v>1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</row>
        <row r="324">
          <cell r="D324">
            <v>0</v>
          </cell>
          <cell r="F324" t="e">
            <v>#N/A</v>
          </cell>
          <cell r="G324" t="e">
            <v>#N/A</v>
          </cell>
          <cell r="H324" t="e">
            <v>#N/A</v>
          </cell>
          <cell r="I324">
            <v>1</v>
          </cell>
          <cell r="J324">
            <v>1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</row>
        <row r="325">
          <cell r="C325" t="str">
            <v>N/HT</v>
          </cell>
          <cell r="D325">
            <v>0</v>
          </cell>
          <cell r="F325" t="e">
            <v>#N/A</v>
          </cell>
          <cell r="G325" t="e">
            <v>#N/A</v>
          </cell>
          <cell r="H325" t="e">
            <v>#N/A</v>
          </cell>
          <cell r="I325">
            <v>1</v>
          </cell>
          <cell r="J325">
            <v>1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</row>
        <row r="326">
          <cell r="C326" t="str">
            <v>N/HT</v>
          </cell>
          <cell r="D326">
            <v>0</v>
          </cell>
          <cell r="F326" t="e">
            <v>#N/A</v>
          </cell>
          <cell r="G326" t="e">
            <v>#N/A</v>
          </cell>
          <cell r="H326" t="e">
            <v>#N/A</v>
          </cell>
          <cell r="I326">
            <v>1</v>
          </cell>
          <cell r="J326">
            <v>1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</row>
        <row r="327">
          <cell r="C327" t="str">
            <v>N/HT</v>
          </cell>
          <cell r="D327">
            <v>0</v>
          </cell>
          <cell r="F327" t="e">
            <v>#N/A</v>
          </cell>
          <cell r="G327" t="e">
            <v>#N/A</v>
          </cell>
          <cell r="H327" t="e">
            <v>#N/A</v>
          </cell>
          <cell r="I327">
            <v>1</v>
          </cell>
          <cell r="J327">
            <v>1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</row>
        <row r="328">
          <cell r="C328" t="str">
            <v>N/HT</v>
          </cell>
          <cell r="D328">
            <v>0</v>
          </cell>
          <cell r="F328" t="e">
            <v>#N/A</v>
          </cell>
          <cell r="G328" t="e">
            <v>#N/A</v>
          </cell>
          <cell r="H328" t="e">
            <v>#N/A</v>
          </cell>
          <cell r="I328">
            <v>1</v>
          </cell>
          <cell r="J328">
            <v>1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</row>
        <row r="329">
          <cell r="C329" t="str">
            <v>N/HT</v>
          </cell>
          <cell r="D329">
            <v>0</v>
          </cell>
          <cell r="F329" t="e">
            <v>#N/A</v>
          </cell>
          <cell r="G329" t="e">
            <v>#N/A</v>
          </cell>
          <cell r="H329" t="e">
            <v>#N/A</v>
          </cell>
          <cell r="I329">
            <v>1</v>
          </cell>
          <cell r="J329">
            <v>1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</row>
        <row r="330">
          <cell r="C330" t="str">
            <v>N/HT</v>
          </cell>
          <cell r="D330">
            <v>0</v>
          </cell>
          <cell r="F330" t="e">
            <v>#N/A</v>
          </cell>
          <cell r="G330" t="e">
            <v>#N/A</v>
          </cell>
          <cell r="H330" t="e">
            <v>#N/A</v>
          </cell>
          <cell r="I330">
            <v>1</v>
          </cell>
          <cell r="J330">
            <v>1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</row>
        <row r="331">
          <cell r="C331" t="str">
            <v>N/HT</v>
          </cell>
          <cell r="D331">
            <v>0</v>
          </cell>
          <cell r="F331" t="e">
            <v>#N/A</v>
          </cell>
          <cell r="G331" t="e">
            <v>#N/A</v>
          </cell>
          <cell r="H331" t="e">
            <v>#N/A</v>
          </cell>
          <cell r="I331">
            <v>1</v>
          </cell>
          <cell r="J331">
            <v>1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</row>
        <row r="332">
          <cell r="C332" t="str">
            <v>N/HT</v>
          </cell>
          <cell r="D332">
            <v>0</v>
          </cell>
          <cell r="F332" t="e">
            <v>#N/A</v>
          </cell>
          <cell r="G332" t="e">
            <v>#N/A</v>
          </cell>
          <cell r="H332" t="e">
            <v>#N/A</v>
          </cell>
          <cell r="I332">
            <v>1</v>
          </cell>
          <cell r="J332">
            <v>1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</row>
        <row r="333">
          <cell r="C333" t="str">
            <v>N/HT</v>
          </cell>
          <cell r="D333">
            <v>0</v>
          </cell>
          <cell r="F333" t="e">
            <v>#N/A</v>
          </cell>
          <cell r="G333" t="e">
            <v>#N/A</v>
          </cell>
          <cell r="H333" t="e">
            <v>#N/A</v>
          </cell>
          <cell r="I333">
            <v>1</v>
          </cell>
          <cell r="J333">
            <v>1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</row>
        <row r="334">
          <cell r="C334" t="str">
            <v>N/HT</v>
          </cell>
          <cell r="D334">
            <v>0</v>
          </cell>
          <cell r="F334" t="e">
            <v>#N/A</v>
          </cell>
          <cell r="G334" t="e">
            <v>#N/A</v>
          </cell>
          <cell r="H334" t="e">
            <v>#N/A</v>
          </cell>
          <cell r="I334">
            <v>1</v>
          </cell>
          <cell r="J334">
            <v>1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</row>
        <row r="335">
          <cell r="C335" t="str">
            <v>N/HT</v>
          </cell>
          <cell r="D335">
            <v>0</v>
          </cell>
          <cell r="F335" t="e">
            <v>#N/A</v>
          </cell>
          <cell r="G335" t="e">
            <v>#N/A</v>
          </cell>
          <cell r="H335" t="e">
            <v>#N/A</v>
          </cell>
          <cell r="I335">
            <v>1</v>
          </cell>
          <cell r="J335">
            <v>1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</row>
        <row r="336">
          <cell r="C336" t="str">
            <v>N/HT</v>
          </cell>
          <cell r="D336">
            <v>0</v>
          </cell>
          <cell r="F336" t="e">
            <v>#N/A</v>
          </cell>
          <cell r="G336" t="e">
            <v>#N/A</v>
          </cell>
          <cell r="H336" t="e">
            <v>#N/A</v>
          </cell>
          <cell r="I336">
            <v>1</v>
          </cell>
          <cell r="J336">
            <v>1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</row>
        <row r="337">
          <cell r="C337" t="str">
            <v>N/HT</v>
          </cell>
          <cell r="D337">
            <v>0</v>
          </cell>
          <cell r="F337" t="e">
            <v>#N/A</v>
          </cell>
          <cell r="G337" t="e">
            <v>#N/A</v>
          </cell>
          <cell r="H337" t="e">
            <v>#N/A</v>
          </cell>
          <cell r="I337">
            <v>1</v>
          </cell>
          <cell r="J337">
            <v>1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</row>
        <row r="338">
          <cell r="C338" t="str">
            <v>N/HT</v>
          </cell>
          <cell r="D338">
            <v>0</v>
          </cell>
          <cell r="F338" t="e">
            <v>#N/A</v>
          </cell>
          <cell r="G338" t="e">
            <v>#N/A</v>
          </cell>
          <cell r="H338" t="e">
            <v>#N/A</v>
          </cell>
          <cell r="I338">
            <v>1</v>
          </cell>
          <cell r="J338">
            <v>1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</row>
        <row r="339">
          <cell r="C339" t="str">
            <v>N/HT</v>
          </cell>
          <cell r="D339">
            <v>0</v>
          </cell>
          <cell r="F339" t="e">
            <v>#N/A</v>
          </cell>
          <cell r="G339" t="e">
            <v>#N/A</v>
          </cell>
          <cell r="H339" t="e">
            <v>#N/A</v>
          </cell>
          <cell r="I339">
            <v>1</v>
          </cell>
          <cell r="J339">
            <v>1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</row>
        <row r="340">
          <cell r="C340" t="str">
            <v>N/HT</v>
          </cell>
          <cell r="D340">
            <v>0</v>
          </cell>
          <cell r="F340" t="e">
            <v>#N/A</v>
          </cell>
          <cell r="G340" t="e">
            <v>#N/A</v>
          </cell>
          <cell r="H340" t="e">
            <v>#N/A</v>
          </cell>
          <cell r="I340">
            <v>1</v>
          </cell>
          <cell r="J340">
            <v>1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</row>
        <row r="341">
          <cell r="C341" t="str">
            <v>N/HT</v>
          </cell>
          <cell r="D341">
            <v>0</v>
          </cell>
          <cell r="F341" t="e">
            <v>#N/A</v>
          </cell>
          <cell r="G341" t="e">
            <v>#N/A</v>
          </cell>
          <cell r="H341" t="e">
            <v>#N/A</v>
          </cell>
          <cell r="I341">
            <v>1</v>
          </cell>
          <cell r="J341">
            <v>1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</row>
        <row r="342">
          <cell r="C342" t="str">
            <v>N/HT</v>
          </cell>
          <cell r="D342">
            <v>0</v>
          </cell>
          <cell r="F342" t="e">
            <v>#N/A</v>
          </cell>
          <cell r="G342" t="e">
            <v>#N/A</v>
          </cell>
          <cell r="H342" t="e">
            <v>#N/A</v>
          </cell>
          <cell r="I342">
            <v>1</v>
          </cell>
          <cell r="J342">
            <v>1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</row>
        <row r="344">
          <cell r="C344" t="str">
            <v>No. Parte Htal:</v>
          </cell>
          <cell r="D344" t="str">
            <v>RQ</v>
          </cell>
          <cell r="E344" t="str">
            <v>Inventario</v>
          </cell>
          <cell r="F344" t="str">
            <v>Pz / Herramental</v>
          </cell>
          <cell r="G344" t="str">
            <v>Tiempo Entrega</v>
          </cell>
          <cell r="H344" t="str">
            <v>Mín</v>
          </cell>
          <cell r="I344" t="str">
            <v>Pto. Reorden</v>
          </cell>
          <cell r="J344" t="str">
            <v>Máx</v>
          </cell>
          <cell r="K344" t="str">
            <v>Mín</v>
          </cell>
          <cell r="L344" t="str">
            <v>Pto. Reorden</v>
          </cell>
          <cell r="M344" t="str">
            <v>Máx</v>
          </cell>
          <cell r="N344" t="str">
            <v>STATUS</v>
          </cell>
        </row>
        <row r="345">
          <cell r="C345" t="str">
            <v>HTJA040189</v>
          </cell>
          <cell r="D345">
            <v>0</v>
          </cell>
          <cell r="E345">
            <v>2</v>
          </cell>
          <cell r="F345">
            <v>200000</v>
          </cell>
          <cell r="G345">
            <v>8</v>
          </cell>
          <cell r="H345">
            <v>0</v>
          </cell>
          <cell r="I345">
            <v>1</v>
          </cell>
          <cell r="J345">
            <v>1</v>
          </cell>
          <cell r="K345">
            <v>0</v>
          </cell>
          <cell r="L345">
            <v>1</v>
          </cell>
          <cell r="M345">
            <v>2</v>
          </cell>
          <cell r="N345" t="str">
            <v>OK</v>
          </cell>
        </row>
        <row r="346">
          <cell r="C346" t="str">
            <v>HTJA040188</v>
          </cell>
          <cell r="D346">
            <v>0</v>
          </cell>
          <cell r="E346">
            <v>2</v>
          </cell>
          <cell r="F346">
            <v>200000</v>
          </cell>
          <cell r="G346">
            <v>8</v>
          </cell>
          <cell r="H346">
            <v>0</v>
          </cell>
          <cell r="I346">
            <v>1</v>
          </cell>
          <cell r="J346">
            <v>1</v>
          </cell>
          <cell r="K346">
            <v>0</v>
          </cell>
          <cell r="L346">
            <v>1</v>
          </cell>
          <cell r="M346">
            <v>2</v>
          </cell>
          <cell r="N346" t="str">
            <v>OK</v>
          </cell>
        </row>
        <row r="347">
          <cell r="C347" t="str">
            <v>HTJA040067</v>
          </cell>
          <cell r="D347">
            <v>0</v>
          </cell>
          <cell r="E347">
            <v>2</v>
          </cell>
          <cell r="F347">
            <v>8000</v>
          </cell>
          <cell r="G347">
            <v>6</v>
          </cell>
          <cell r="H347">
            <v>0</v>
          </cell>
          <cell r="I347">
            <v>1</v>
          </cell>
          <cell r="J347">
            <v>1</v>
          </cell>
          <cell r="K347">
            <v>0</v>
          </cell>
          <cell r="L347">
            <v>1</v>
          </cell>
          <cell r="M347">
            <v>2</v>
          </cell>
          <cell r="N347" t="str">
            <v>OK</v>
          </cell>
        </row>
        <row r="348">
          <cell r="C348" t="str">
            <v>HTJA040081</v>
          </cell>
          <cell r="D348">
            <v>0</v>
          </cell>
          <cell r="E348">
            <v>0</v>
          </cell>
          <cell r="F348">
            <v>5000</v>
          </cell>
          <cell r="G348">
            <v>6</v>
          </cell>
          <cell r="H348">
            <v>0</v>
          </cell>
          <cell r="I348">
            <v>1</v>
          </cell>
          <cell r="J348">
            <v>1</v>
          </cell>
          <cell r="K348">
            <v>0</v>
          </cell>
          <cell r="L348">
            <v>1</v>
          </cell>
          <cell r="M348">
            <v>2</v>
          </cell>
          <cell r="N348" t="str">
            <v>PEDIR</v>
          </cell>
        </row>
        <row r="349">
          <cell r="C349" t="str">
            <v>HTJA040114</v>
          </cell>
          <cell r="D349">
            <v>0</v>
          </cell>
          <cell r="E349">
            <v>5</v>
          </cell>
          <cell r="F349">
            <v>5000</v>
          </cell>
          <cell r="G349">
            <v>6</v>
          </cell>
          <cell r="H349">
            <v>0</v>
          </cell>
          <cell r="I349">
            <v>1</v>
          </cell>
          <cell r="J349">
            <v>1</v>
          </cell>
          <cell r="K349">
            <v>0</v>
          </cell>
          <cell r="L349">
            <v>1</v>
          </cell>
          <cell r="M349">
            <v>2</v>
          </cell>
          <cell r="N349" t="str">
            <v>SOBREINVENTARIO</v>
          </cell>
        </row>
        <row r="350">
          <cell r="C350" t="str">
            <v>HTJA040159</v>
          </cell>
          <cell r="D350">
            <v>0</v>
          </cell>
          <cell r="E350">
            <v>1</v>
          </cell>
          <cell r="F350">
            <v>200000</v>
          </cell>
          <cell r="G350">
            <v>8</v>
          </cell>
          <cell r="H350">
            <v>0</v>
          </cell>
          <cell r="I350">
            <v>1</v>
          </cell>
          <cell r="J350">
            <v>1</v>
          </cell>
          <cell r="K350">
            <v>0</v>
          </cell>
          <cell r="L350">
            <v>1</v>
          </cell>
          <cell r="M350">
            <v>2</v>
          </cell>
          <cell r="N350" t="str">
            <v>PEDIR</v>
          </cell>
        </row>
        <row r="351">
          <cell r="C351" t="str">
            <v>HTJA040155</v>
          </cell>
          <cell r="D351">
            <v>0</v>
          </cell>
          <cell r="E351">
            <v>1</v>
          </cell>
          <cell r="F351">
            <v>200000</v>
          </cell>
          <cell r="G351">
            <v>8</v>
          </cell>
          <cell r="H351">
            <v>0</v>
          </cell>
          <cell r="I351">
            <v>1</v>
          </cell>
          <cell r="J351">
            <v>1</v>
          </cell>
          <cell r="K351">
            <v>0</v>
          </cell>
          <cell r="L351">
            <v>1</v>
          </cell>
          <cell r="M351">
            <v>2</v>
          </cell>
          <cell r="N351" t="str">
            <v>PEDIR</v>
          </cell>
        </row>
        <row r="352">
          <cell r="C352" t="str">
            <v>HTJA040156 (c2000)</v>
          </cell>
          <cell r="D352">
            <v>0</v>
          </cell>
          <cell r="E352">
            <v>3</v>
          </cell>
          <cell r="F352">
            <v>8000</v>
          </cell>
          <cell r="G352">
            <v>11</v>
          </cell>
          <cell r="H352">
            <v>0</v>
          </cell>
          <cell r="I352">
            <v>1</v>
          </cell>
          <cell r="J352">
            <v>1</v>
          </cell>
          <cell r="K352">
            <v>0</v>
          </cell>
          <cell r="L352">
            <v>1</v>
          </cell>
          <cell r="M352">
            <v>2</v>
          </cell>
          <cell r="N352" t="str">
            <v>SOBREINVENTARIO</v>
          </cell>
        </row>
        <row r="353">
          <cell r="C353" t="str">
            <v>HTJA040025</v>
          </cell>
          <cell r="D353">
            <v>0</v>
          </cell>
          <cell r="E353">
            <v>8</v>
          </cell>
          <cell r="F353">
            <v>5000</v>
          </cell>
          <cell r="G353">
            <v>6</v>
          </cell>
          <cell r="H353">
            <v>0</v>
          </cell>
          <cell r="I353">
            <v>1</v>
          </cell>
          <cell r="J353">
            <v>1</v>
          </cell>
          <cell r="K353">
            <v>0</v>
          </cell>
          <cell r="L353">
            <v>1</v>
          </cell>
          <cell r="M353">
            <v>2</v>
          </cell>
          <cell r="N353" t="str">
            <v>SOBREINVENTARIO</v>
          </cell>
        </row>
        <row r="354">
          <cell r="C354" t="str">
            <v>N/HT</v>
          </cell>
          <cell r="D354">
            <v>0</v>
          </cell>
          <cell r="F354" t="e">
            <v>#N/A</v>
          </cell>
          <cell r="G354" t="e">
            <v>#N/A</v>
          </cell>
          <cell r="H354" t="e">
            <v>#N/A</v>
          </cell>
          <cell r="I354">
            <v>1</v>
          </cell>
          <cell r="J354">
            <v>1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</row>
        <row r="355">
          <cell r="C355" t="str">
            <v>N/HT</v>
          </cell>
          <cell r="D355">
            <v>0</v>
          </cell>
          <cell r="F355" t="e">
            <v>#N/A</v>
          </cell>
          <cell r="G355" t="e">
            <v>#N/A</v>
          </cell>
          <cell r="H355" t="e">
            <v>#N/A</v>
          </cell>
          <cell r="I355">
            <v>1</v>
          </cell>
          <cell r="J355">
            <v>1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</row>
        <row r="356">
          <cell r="C356" t="str">
            <v>N/HT</v>
          </cell>
          <cell r="D356">
            <v>0</v>
          </cell>
          <cell r="F356" t="e">
            <v>#N/A</v>
          </cell>
          <cell r="G356" t="e">
            <v>#N/A</v>
          </cell>
          <cell r="H356" t="e">
            <v>#N/A</v>
          </cell>
          <cell r="I356">
            <v>1</v>
          </cell>
          <cell r="J356">
            <v>1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</row>
        <row r="357">
          <cell r="C357" t="str">
            <v>N/HT</v>
          </cell>
          <cell r="D357">
            <v>0</v>
          </cell>
          <cell r="F357" t="e">
            <v>#N/A</v>
          </cell>
          <cell r="G357" t="e">
            <v>#N/A</v>
          </cell>
          <cell r="H357" t="e">
            <v>#N/A</v>
          </cell>
          <cell r="I357">
            <v>1</v>
          </cell>
          <cell r="J357">
            <v>1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</row>
        <row r="358">
          <cell r="C358" t="str">
            <v>N/HT</v>
          </cell>
          <cell r="D358">
            <v>0</v>
          </cell>
          <cell r="F358" t="e">
            <v>#N/A</v>
          </cell>
          <cell r="G358" t="e">
            <v>#N/A</v>
          </cell>
          <cell r="H358" t="e">
            <v>#N/A</v>
          </cell>
          <cell r="I358">
            <v>1</v>
          </cell>
          <cell r="J358">
            <v>1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</row>
        <row r="359">
          <cell r="C359" t="str">
            <v>N/HT</v>
          </cell>
          <cell r="D359">
            <v>0</v>
          </cell>
          <cell r="F359" t="e">
            <v>#N/A</v>
          </cell>
          <cell r="G359" t="e">
            <v>#N/A</v>
          </cell>
          <cell r="H359" t="e">
            <v>#N/A</v>
          </cell>
          <cell r="I359">
            <v>1</v>
          </cell>
          <cell r="J359">
            <v>1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</row>
        <row r="360">
          <cell r="C360" t="str">
            <v>N/HT</v>
          </cell>
          <cell r="D360">
            <v>0</v>
          </cell>
          <cell r="F360" t="e">
            <v>#N/A</v>
          </cell>
          <cell r="G360" t="e">
            <v>#N/A</v>
          </cell>
          <cell r="H360" t="e">
            <v>#N/A</v>
          </cell>
          <cell r="I360">
            <v>1</v>
          </cell>
          <cell r="J360">
            <v>1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</row>
        <row r="361">
          <cell r="C361" t="str">
            <v>N/HT</v>
          </cell>
          <cell r="D361">
            <v>0</v>
          </cell>
          <cell r="F361" t="e">
            <v>#N/A</v>
          </cell>
          <cell r="G361" t="e">
            <v>#N/A</v>
          </cell>
          <cell r="H361" t="e">
            <v>#N/A</v>
          </cell>
          <cell r="I361">
            <v>1</v>
          </cell>
          <cell r="J361">
            <v>1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</row>
        <row r="362">
          <cell r="C362" t="str">
            <v>N/HT</v>
          </cell>
          <cell r="D362">
            <v>0</v>
          </cell>
          <cell r="F362" t="e">
            <v>#N/A</v>
          </cell>
          <cell r="G362" t="e">
            <v>#N/A</v>
          </cell>
          <cell r="H362" t="e">
            <v>#N/A</v>
          </cell>
          <cell r="I362">
            <v>1</v>
          </cell>
          <cell r="J362">
            <v>1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</row>
        <row r="363">
          <cell r="C363" t="str">
            <v>N/HT</v>
          </cell>
          <cell r="D363">
            <v>0</v>
          </cell>
          <cell r="F363" t="e">
            <v>#N/A</v>
          </cell>
          <cell r="G363" t="e">
            <v>#N/A</v>
          </cell>
          <cell r="H363" t="e">
            <v>#N/A</v>
          </cell>
          <cell r="I363">
            <v>1</v>
          </cell>
          <cell r="J363">
            <v>1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</row>
        <row r="364">
          <cell r="C364" t="str">
            <v>N/HT</v>
          </cell>
          <cell r="D364">
            <v>0</v>
          </cell>
          <cell r="F364" t="e">
            <v>#N/A</v>
          </cell>
          <cell r="G364" t="e">
            <v>#N/A</v>
          </cell>
          <cell r="H364" t="e">
            <v>#N/A</v>
          </cell>
          <cell r="I364">
            <v>1</v>
          </cell>
          <cell r="J364">
            <v>1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</row>
        <row r="365">
          <cell r="C365" t="str">
            <v>N/HT</v>
          </cell>
          <cell r="D365">
            <v>0</v>
          </cell>
          <cell r="F365" t="e">
            <v>#N/A</v>
          </cell>
          <cell r="G365" t="e">
            <v>#N/A</v>
          </cell>
          <cell r="H365" t="e">
            <v>#N/A</v>
          </cell>
          <cell r="I365">
            <v>1</v>
          </cell>
          <cell r="J365">
            <v>1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</row>
        <row r="366">
          <cell r="C366" t="str">
            <v>N/HT</v>
          </cell>
          <cell r="D366">
            <v>0</v>
          </cell>
          <cell r="F366" t="e">
            <v>#N/A</v>
          </cell>
          <cell r="G366" t="e">
            <v>#N/A</v>
          </cell>
          <cell r="H366" t="e">
            <v>#N/A</v>
          </cell>
          <cell r="I366">
            <v>1</v>
          </cell>
          <cell r="J366">
            <v>1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</row>
        <row r="367">
          <cell r="C367" t="str">
            <v>N/HT</v>
          </cell>
          <cell r="D367">
            <v>0</v>
          </cell>
          <cell r="F367" t="e">
            <v>#N/A</v>
          </cell>
          <cell r="G367" t="e">
            <v>#N/A</v>
          </cell>
          <cell r="H367" t="e">
            <v>#N/A</v>
          </cell>
          <cell r="I367">
            <v>1</v>
          </cell>
          <cell r="J367">
            <v>1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</row>
        <row r="368">
          <cell r="C368" t="str">
            <v>N/HT</v>
          </cell>
          <cell r="D368">
            <v>0</v>
          </cell>
          <cell r="F368" t="e">
            <v>#N/A</v>
          </cell>
          <cell r="G368" t="e">
            <v>#N/A</v>
          </cell>
          <cell r="H368" t="e">
            <v>#N/A</v>
          </cell>
          <cell r="I368">
            <v>1</v>
          </cell>
          <cell r="J368">
            <v>1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</row>
        <row r="369">
          <cell r="C369" t="str">
            <v>N/HT</v>
          </cell>
          <cell r="D369">
            <v>0</v>
          </cell>
          <cell r="F369" t="e">
            <v>#N/A</v>
          </cell>
          <cell r="G369" t="e">
            <v>#N/A</v>
          </cell>
          <cell r="H369" t="e">
            <v>#N/A</v>
          </cell>
          <cell r="I369">
            <v>1</v>
          </cell>
          <cell r="J369">
            <v>1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</row>
        <row r="370">
          <cell r="C370" t="str">
            <v>N/HT</v>
          </cell>
          <cell r="D370">
            <v>0</v>
          </cell>
          <cell r="F370" t="e">
            <v>#N/A</v>
          </cell>
          <cell r="G370" t="e">
            <v>#N/A</v>
          </cell>
          <cell r="H370" t="e">
            <v>#N/A</v>
          </cell>
          <cell r="I370">
            <v>1</v>
          </cell>
          <cell r="J370">
            <v>1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</row>
        <row r="371">
          <cell r="C371" t="str">
            <v>N/HT</v>
          </cell>
          <cell r="D371">
            <v>0</v>
          </cell>
          <cell r="F371" t="e">
            <v>#N/A</v>
          </cell>
          <cell r="G371" t="e">
            <v>#N/A</v>
          </cell>
          <cell r="H371" t="e">
            <v>#N/A</v>
          </cell>
          <cell r="I371">
            <v>1</v>
          </cell>
          <cell r="J371">
            <v>1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</row>
        <row r="372">
          <cell r="C372" t="str">
            <v>N/HT</v>
          </cell>
          <cell r="D372">
            <v>0</v>
          </cell>
          <cell r="F372" t="e">
            <v>#N/A</v>
          </cell>
          <cell r="G372" t="e">
            <v>#N/A</v>
          </cell>
          <cell r="H372" t="e">
            <v>#N/A</v>
          </cell>
          <cell r="I372">
            <v>1</v>
          </cell>
          <cell r="J372">
            <v>1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</row>
        <row r="373">
          <cell r="C373" t="str">
            <v>N/HT</v>
          </cell>
          <cell r="D373">
            <v>0</v>
          </cell>
          <cell r="F373" t="e">
            <v>#N/A</v>
          </cell>
          <cell r="G373" t="e">
            <v>#N/A</v>
          </cell>
          <cell r="H373" t="e">
            <v>#N/A</v>
          </cell>
          <cell r="I373">
            <v>1</v>
          </cell>
          <cell r="J373">
            <v>1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</row>
        <row r="374">
          <cell r="C374" t="str">
            <v>N/HT</v>
          </cell>
          <cell r="D374">
            <v>0</v>
          </cell>
          <cell r="F374" t="e">
            <v>#N/A</v>
          </cell>
          <cell r="G374" t="e">
            <v>#N/A</v>
          </cell>
          <cell r="H374" t="e">
            <v>#N/A</v>
          </cell>
          <cell r="I374">
            <v>1</v>
          </cell>
          <cell r="J374">
            <v>1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</row>
        <row r="375">
          <cell r="C375" t="str">
            <v>N/HT</v>
          </cell>
          <cell r="D375">
            <v>0</v>
          </cell>
          <cell r="F375" t="e">
            <v>#N/A</v>
          </cell>
          <cell r="G375" t="e">
            <v>#N/A</v>
          </cell>
          <cell r="H375" t="e">
            <v>#N/A</v>
          </cell>
          <cell r="I375">
            <v>1</v>
          </cell>
          <cell r="J375">
            <v>1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</row>
        <row r="376">
          <cell r="C376" t="str">
            <v>N/HT</v>
          </cell>
          <cell r="D376">
            <v>0</v>
          </cell>
          <cell r="F376" t="e">
            <v>#N/A</v>
          </cell>
          <cell r="G376" t="e">
            <v>#N/A</v>
          </cell>
          <cell r="H376" t="e">
            <v>#N/A</v>
          </cell>
          <cell r="I376">
            <v>1</v>
          </cell>
          <cell r="J376">
            <v>1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</row>
        <row r="378">
          <cell r="C378" t="str">
            <v>No. Parte Htal:</v>
          </cell>
          <cell r="D378" t="str">
            <v>RQ</v>
          </cell>
          <cell r="E378" t="str">
            <v>Inventario</v>
          </cell>
          <cell r="F378" t="str">
            <v>Pz / Herramental</v>
          </cell>
          <cell r="G378" t="str">
            <v>Tiempo Entrega</v>
          </cell>
          <cell r="H378" t="str">
            <v>Mín</v>
          </cell>
          <cell r="I378" t="str">
            <v>Pto. Reorden</v>
          </cell>
          <cell r="J378" t="str">
            <v>Máx</v>
          </cell>
          <cell r="K378" t="str">
            <v>Mín</v>
          </cell>
          <cell r="L378" t="str">
            <v>Pto. Reorden</v>
          </cell>
          <cell r="M378" t="str">
            <v>Máx</v>
          </cell>
          <cell r="N378" t="str">
            <v>STATUS</v>
          </cell>
        </row>
        <row r="379">
          <cell r="C379" t="str">
            <v>HTJA040051</v>
          </cell>
          <cell r="D379">
            <v>476394.33771294059</v>
          </cell>
          <cell r="E379">
            <v>2</v>
          </cell>
          <cell r="F379">
            <v>100000</v>
          </cell>
          <cell r="G379">
            <v>8</v>
          </cell>
          <cell r="H379">
            <v>2</v>
          </cell>
          <cell r="I379">
            <v>1</v>
          </cell>
          <cell r="J379">
            <v>1</v>
          </cell>
          <cell r="K379">
            <v>2</v>
          </cell>
          <cell r="L379">
            <v>3</v>
          </cell>
          <cell r="M379">
            <v>4</v>
          </cell>
          <cell r="N379" t="str">
            <v>PEDIR</v>
          </cell>
        </row>
        <row r="380">
          <cell r="C380" t="str">
            <v>HTJA040259</v>
          </cell>
          <cell r="D380">
            <v>476394.33771294059</v>
          </cell>
          <cell r="E380">
            <v>1</v>
          </cell>
          <cell r="F380">
            <v>100000</v>
          </cell>
          <cell r="G380">
            <v>8</v>
          </cell>
          <cell r="H380">
            <v>2</v>
          </cell>
          <cell r="I380">
            <v>1</v>
          </cell>
          <cell r="J380">
            <v>1</v>
          </cell>
          <cell r="K380">
            <v>2</v>
          </cell>
          <cell r="L380">
            <v>3</v>
          </cell>
          <cell r="M380">
            <v>4</v>
          </cell>
          <cell r="N380" t="str">
            <v>URGENTE</v>
          </cell>
        </row>
        <row r="381">
          <cell r="C381" t="str">
            <v>HTJA040048</v>
          </cell>
          <cell r="D381">
            <v>476394.33771294059</v>
          </cell>
          <cell r="E381">
            <v>2</v>
          </cell>
          <cell r="F381">
            <v>100000</v>
          </cell>
          <cell r="G381">
            <v>10</v>
          </cell>
          <cell r="H381">
            <v>3</v>
          </cell>
          <cell r="I381">
            <v>1</v>
          </cell>
          <cell r="J381">
            <v>1</v>
          </cell>
          <cell r="K381">
            <v>3</v>
          </cell>
          <cell r="L381">
            <v>4</v>
          </cell>
          <cell r="M381">
            <v>5</v>
          </cell>
          <cell r="N381" t="str">
            <v>URGENTE</v>
          </cell>
        </row>
        <row r="382">
          <cell r="C382" t="str">
            <v>HTJA040315</v>
          </cell>
          <cell r="D382">
            <v>476394.33771294059</v>
          </cell>
          <cell r="E382">
            <v>2</v>
          </cell>
          <cell r="F382">
            <v>100000</v>
          </cell>
          <cell r="G382">
            <v>10</v>
          </cell>
          <cell r="H382">
            <v>3</v>
          </cell>
          <cell r="I382">
            <v>1</v>
          </cell>
          <cell r="J382">
            <v>1</v>
          </cell>
          <cell r="K382">
            <v>3</v>
          </cell>
          <cell r="L382">
            <v>4</v>
          </cell>
          <cell r="M382">
            <v>5</v>
          </cell>
          <cell r="N382" t="str">
            <v>URGENTE</v>
          </cell>
        </row>
        <row r="383">
          <cell r="C383" t="str">
            <v>HTJA040049</v>
          </cell>
          <cell r="D383">
            <v>476394.33771294059</v>
          </cell>
          <cell r="E383">
            <v>2</v>
          </cell>
          <cell r="F383">
            <v>100000</v>
          </cell>
          <cell r="G383">
            <v>10</v>
          </cell>
          <cell r="H383">
            <v>3</v>
          </cell>
          <cell r="I383">
            <v>1</v>
          </cell>
          <cell r="J383">
            <v>1</v>
          </cell>
          <cell r="K383">
            <v>3</v>
          </cell>
          <cell r="L383">
            <v>4</v>
          </cell>
          <cell r="M383">
            <v>5</v>
          </cell>
          <cell r="N383" t="str">
            <v>URGENTE</v>
          </cell>
        </row>
        <row r="384">
          <cell r="C384" t="str">
            <v>HTJA040316</v>
          </cell>
          <cell r="D384">
            <v>476394.33771294059</v>
          </cell>
          <cell r="E384">
            <v>2</v>
          </cell>
          <cell r="F384">
            <v>100000</v>
          </cell>
          <cell r="G384">
            <v>10</v>
          </cell>
          <cell r="H384">
            <v>3</v>
          </cell>
          <cell r="I384">
            <v>1</v>
          </cell>
          <cell r="J384">
            <v>1</v>
          </cell>
          <cell r="K384">
            <v>3</v>
          </cell>
          <cell r="L384">
            <v>4</v>
          </cell>
          <cell r="M384">
            <v>5</v>
          </cell>
          <cell r="N384" t="str">
            <v>URGENTE</v>
          </cell>
        </row>
        <row r="385">
          <cell r="C385" t="str">
            <v>HTJA040178</v>
          </cell>
          <cell r="D385">
            <v>476394.33771294059</v>
          </cell>
          <cell r="E385">
            <v>3</v>
          </cell>
          <cell r="F385">
            <v>100000</v>
          </cell>
          <cell r="G385">
            <v>8</v>
          </cell>
          <cell r="H385">
            <v>2</v>
          </cell>
          <cell r="I385">
            <v>1</v>
          </cell>
          <cell r="J385">
            <v>1</v>
          </cell>
          <cell r="K385">
            <v>2</v>
          </cell>
          <cell r="L385">
            <v>3</v>
          </cell>
          <cell r="M385">
            <v>4</v>
          </cell>
          <cell r="N385" t="str">
            <v>PEDIR</v>
          </cell>
        </row>
        <row r="386">
          <cell r="C386" t="str">
            <v>HTJA040030</v>
          </cell>
          <cell r="D386">
            <v>476394.33771294059</v>
          </cell>
          <cell r="E386">
            <v>6</v>
          </cell>
          <cell r="F386">
            <v>100000</v>
          </cell>
          <cell r="G386">
            <v>8</v>
          </cell>
          <cell r="H386">
            <v>2</v>
          </cell>
          <cell r="I386">
            <v>1</v>
          </cell>
          <cell r="J386">
            <v>1</v>
          </cell>
          <cell r="K386">
            <v>2</v>
          </cell>
          <cell r="L386">
            <v>3</v>
          </cell>
          <cell r="M386">
            <v>4</v>
          </cell>
          <cell r="N386" t="str">
            <v>SOBREINVENTARIO</v>
          </cell>
        </row>
        <row r="387">
          <cell r="C387" t="str">
            <v>HTJA040142</v>
          </cell>
          <cell r="D387">
            <v>476394.33771294059</v>
          </cell>
          <cell r="E387">
            <v>9</v>
          </cell>
          <cell r="F387">
            <v>100000</v>
          </cell>
          <cell r="G387">
            <v>8</v>
          </cell>
          <cell r="H387">
            <v>2</v>
          </cell>
          <cell r="I387">
            <v>1</v>
          </cell>
          <cell r="J387">
            <v>1</v>
          </cell>
          <cell r="K387">
            <v>2</v>
          </cell>
          <cell r="L387">
            <v>3</v>
          </cell>
          <cell r="M387">
            <v>4</v>
          </cell>
          <cell r="N387" t="str">
            <v>SOBREINVENTARIO</v>
          </cell>
        </row>
        <row r="388">
          <cell r="C388" t="str">
            <v>HTJA040086</v>
          </cell>
          <cell r="D388">
            <v>476394.33771294059</v>
          </cell>
          <cell r="E388">
            <v>0</v>
          </cell>
          <cell r="F388">
            <v>500000</v>
          </cell>
          <cell r="G388">
            <v>10</v>
          </cell>
          <cell r="H388">
            <v>1</v>
          </cell>
          <cell r="I388">
            <v>1</v>
          </cell>
          <cell r="J388">
            <v>1</v>
          </cell>
          <cell r="K388">
            <v>1</v>
          </cell>
          <cell r="L388">
            <v>2</v>
          </cell>
          <cell r="M388">
            <v>3</v>
          </cell>
          <cell r="N388" t="str">
            <v>URGENTE</v>
          </cell>
        </row>
        <row r="389">
          <cell r="C389" t="str">
            <v>HTJA040071</v>
          </cell>
          <cell r="D389">
            <v>476394.33771294059</v>
          </cell>
          <cell r="E389">
            <v>1</v>
          </cell>
          <cell r="F389">
            <v>500000</v>
          </cell>
          <cell r="G389">
            <v>10</v>
          </cell>
          <cell r="H389">
            <v>1</v>
          </cell>
          <cell r="I389">
            <v>1</v>
          </cell>
          <cell r="J389">
            <v>1</v>
          </cell>
          <cell r="K389">
            <v>1</v>
          </cell>
          <cell r="L389">
            <v>2</v>
          </cell>
          <cell r="M389">
            <v>3</v>
          </cell>
          <cell r="N389" t="str">
            <v>PEDIR</v>
          </cell>
        </row>
        <row r="390">
          <cell r="C390" t="str">
            <v>HTJA040012</v>
          </cell>
          <cell r="D390">
            <v>476394.33771294059</v>
          </cell>
          <cell r="E390">
            <v>2</v>
          </cell>
          <cell r="F390">
            <v>500000</v>
          </cell>
          <cell r="G390">
            <v>10</v>
          </cell>
          <cell r="H390">
            <v>1</v>
          </cell>
          <cell r="I390">
            <v>1</v>
          </cell>
          <cell r="J390">
            <v>1</v>
          </cell>
          <cell r="K390">
            <v>1</v>
          </cell>
          <cell r="L390">
            <v>2</v>
          </cell>
          <cell r="M390">
            <v>3</v>
          </cell>
          <cell r="N390" t="str">
            <v>PEDIR</v>
          </cell>
        </row>
        <row r="391">
          <cell r="C391" t="str">
            <v>HTJA040046</v>
          </cell>
          <cell r="D391">
            <v>476394.33771294059</v>
          </cell>
          <cell r="E391">
            <v>2</v>
          </cell>
          <cell r="F391">
            <v>200000</v>
          </cell>
          <cell r="G391">
            <v>10</v>
          </cell>
          <cell r="H391">
            <v>2</v>
          </cell>
          <cell r="I391">
            <v>1</v>
          </cell>
          <cell r="J391">
            <v>1</v>
          </cell>
          <cell r="K391">
            <v>2</v>
          </cell>
          <cell r="L391">
            <v>3</v>
          </cell>
          <cell r="M391">
            <v>4</v>
          </cell>
          <cell r="N391" t="str">
            <v>PEDIR</v>
          </cell>
        </row>
        <row r="392">
          <cell r="C392" t="str">
            <v>HTJA040070</v>
          </cell>
          <cell r="D392">
            <v>476394.33771294059</v>
          </cell>
          <cell r="E392">
            <v>1</v>
          </cell>
          <cell r="F392">
            <v>200000</v>
          </cell>
          <cell r="G392">
            <v>10</v>
          </cell>
          <cell r="H392">
            <v>2</v>
          </cell>
          <cell r="I392">
            <v>1</v>
          </cell>
          <cell r="J392">
            <v>1</v>
          </cell>
          <cell r="K392">
            <v>2</v>
          </cell>
          <cell r="L392">
            <v>3</v>
          </cell>
          <cell r="M392">
            <v>4</v>
          </cell>
          <cell r="N392" t="str">
            <v>URGENTE</v>
          </cell>
        </row>
        <row r="393">
          <cell r="C393" t="str">
            <v>HTJA040043</v>
          </cell>
          <cell r="D393">
            <v>476394.33771294059</v>
          </cell>
          <cell r="E393">
            <v>1</v>
          </cell>
          <cell r="F393">
            <v>100000</v>
          </cell>
          <cell r="G393">
            <v>10</v>
          </cell>
          <cell r="H393">
            <v>3</v>
          </cell>
          <cell r="I393">
            <v>1</v>
          </cell>
          <cell r="J393">
            <v>1</v>
          </cell>
          <cell r="K393">
            <v>3</v>
          </cell>
          <cell r="L393">
            <v>4</v>
          </cell>
          <cell r="M393">
            <v>5</v>
          </cell>
          <cell r="N393" t="str">
            <v>URGENTE</v>
          </cell>
        </row>
        <row r="394">
          <cell r="C394" t="str">
            <v>HTJA040078</v>
          </cell>
          <cell r="D394">
            <v>476394.33771294059</v>
          </cell>
          <cell r="E394">
            <v>1</v>
          </cell>
          <cell r="F394">
            <v>100000</v>
          </cell>
          <cell r="G394">
            <v>10</v>
          </cell>
          <cell r="H394">
            <v>3</v>
          </cell>
          <cell r="I394">
            <v>1</v>
          </cell>
          <cell r="J394">
            <v>1</v>
          </cell>
          <cell r="K394">
            <v>3</v>
          </cell>
          <cell r="L394">
            <v>4</v>
          </cell>
          <cell r="M394">
            <v>5</v>
          </cell>
          <cell r="N394" t="str">
            <v>URGENTE</v>
          </cell>
        </row>
        <row r="395">
          <cell r="C395" t="str">
            <v>HTJA040042</v>
          </cell>
          <cell r="D395">
            <v>476394.33771294059</v>
          </cell>
          <cell r="E395">
            <v>1</v>
          </cell>
          <cell r="F395">
            <v>200000</v>
          </cell>
          <cell r="G395">
            <v>10</v>
          </cell>
          <cell r="H395">
            <v>2</v>
          </cell>
          <cell r="I395">
            <v>1</v>
          </cell>
          <cell r="J395">
            <v>1</v>
          </cell>
          <cell r="K395">
            <v>2</v>
          </cell>
          <cell r="L395">
            <v>3</v>
          </cell>
          <cell r="M395">
            <v>4</v>
          </cell>
          <cell r="N395" t="str">
            <v>URGENTE</v>
          </cell>
        </row>
        <row r="396">
          <cell r="C396" t="str">
            <v>HTJA040312</v>
          </cell>
          <cell r="D396">
            <v>476394.33771294059</v>
          </cell>
          <cell r="E396">
            <v>2</v>
          </cell>
          <cell r="F396">
            <v>200000</v>
          </cell>
          <cell r="G396">
            <v>10</v>
          </cell>
          <cell r="H396">
            <v>2</v>
          </cell>
          <cell r="I396">
            <v>1</v>
          </cell>
          <cell r="J396">
            <v>1</v>
          </cell>
          <cell r="K396">
            <v>2</v>
          </cell>
          <cell r="L396">
            <v>3</v>
          </cell>
          <cell r="M396">
            <v>4</v>
          </cell>
          <cell r="N396" t="str">
            <v>PEDIR</v>
          </cell>
        </row>
        <row r="397">
          <cell r="C397" t="str">
            <v>HTJA040055</v>
          </cell>
          <cell r="D397">
            <v>476394.33771294059</v>
          </cell>
          <cell r="E397">
            <v>2</v>
          </cell>
          <cell r="F397">
            <v>200000</v>
          </cell>
          <cell r="G397">
            <v>10</v>
          </cell>
          <cell r="H397">
            <v>2</v>
          </cell>
          <cell r="I397">
            <v>1</v>
          </cell>
          <cell r="J397">
            <v>1</v>
          </cell>
          <cell r="K397">
            <v>2</v>
          </cell>
          <cell r="L397">
            <v>3</v>
          </cell>
          <cell r="M397">
            <v>4</v>
          </cell>
          <cell r="N397" t="str">
            <v>PEDIR</v>
          </cell>
        </row>
        <row r="398">
          <cell r="C398" t="str">
            <v>HTJA040104</v>
          </cell>
          <cell r="D398">
            <v>476394.33771294059</v>
          </cell>
          <cell r="E398">
            <v>0</v>
          </cell>
          <cell r="F398">
            <v>200000</v>
          </cell>
          <cell r="G398">
            <v>10</v>
          </cell>
          <cell r="H398">
            <v>2</v>
          </cell>
          <cell r="I398">
            <v>1</v>
          </cell>
          <cell r="J398">
            <v>1</v>
          </cell>
          <cell r="K398">
            <v>2</v>
          </cell>
          <cell r="L398">
            <v>3</v>
          </cell>
          <cell r="M398">
            <v>4</v>
          </cell>
          <cell r="N398" t="str">
            <v>URGENTE</v>
          </cell>
        </row>
        <row r="399">
          <cell r="C399" t="str">
            <v>HTJA040011</v>
          </cell>
          <cell r="D399">
            <v>476394.33771294059</v>
          </cell>
          <cell r="E399">
            <v>3</v>
          </cell>
          <cell r="F399">
            <v>200000</v>
          </cell>
          <cell r="G399">
            <v>10</v>
          </cell>
          <cell r="H399">
            <v>2</v>
          </cell>
          <cell r="I399">
            <v>1</v>
          </cell>
          <cell r="J399">
            <v>1</v>
          </cell>
          <cell r="K399">
            <v>2</v>
          </cell>
          <cell r="L399">
            <v>3</v>
          </cell>
          <cell r="M399">
            <v>4</v>
          </cell>
          <cell r="N399" t="str">
            <v>PEDIR</v>
          </cell>
        </row>
        <row r="400">
          <cell r="C400" t="str">
            <v>HTJA040075</v>
          </cell>
          <cell r="D400">
            <v>476394.33771294059</v>
          </cell>
          <cell r="E400">
            <v>2</v>
          </cell>
          <cell r="F400">
            <v>200000</v>
          </cell>
          <cell r="G400">
            <v>10</v>
          </cell>
          <cell r="H400">
            <v>2</v>
          </cell>
          <cell r="I400">
            <v>1</v>
          </cell>
          <cell r="J400">
            <v>1</v>
          </cell>
          <cell r="K400">
            <v>2</v>
          </cell>
          <cell r="L400">
            <v>3</v>
          </cell>
          <cell r="M400">
            <v>4</v>
          </cell>
          <cell r="N400" t="str">
            <v>PEDIR</v>
          </cell>
        </row>
        <row r="401">
          <cell r="C401" t="str">
            <v>HTJA040013</v>
          </cell>
          <cell r="D401">
            <v>476394.33771294059</v>
          </cell>
          <cell r="E401">
            <v>1</v>
          </cell>
          <cell r="F401">
            <v>500000</v>
          </cell>
          <cell r="G401">
            <v>10</v>
          </cell>
          <cell r="H401">
            <v>1</v>
          </cell>
          <cell r="I401">
            <v>1</v>
          </cell>
          <cell r="J401">
            <v>1</v>
          </cell>
          <cell r="K401">
            <v>1</v>
          </cell>
          <cell r="L401">
            <v>2</v>
          </cell>
          <cell r="M401">
            <v>3</v>
          </cell>
          <cell r="N401" t="str">
            <v>PEDIR</v>
          </cell>
        </row>
        <row r="402">
          <cell r="C402" t="str">
            <v>HTJA040044</v>
          </cell>
          <cell r="D402">
            <v>476394.33771294059</v>
          </cell>
          <cell r="E402">
            <v>1</v>
          </cell>
          <cell r="F402">
            <v>500000</v>
          </cell>
          <cell r="G402">
            <v>10</v>
          </cell>
          <cell r="H402">
            <v>1</v>
          </cell>
          <cell r="I402">
            <v>1</v>
          </cell>
          <cell r="J402">
            <v>1</v>
          </cell>
          <cell r="K402">
            <v>1</v>
          </cell>
          <cell r="L402">
            <v>2</v>
          </cell>
          <cell r="M402">
            <v>3</v>
          </cell>
          <cell r="N402" t="str">
            <v>PEDIR</v>
          </cell>
        </row>
        <row r="403">
          <cell r="C403" t="str">
            <v>HTJA040054</v>
          </cell>
          <cell r="D403">
            <v>476394.33771294059</v>
          </cell>
          <cell r="E403">
            <v>1</v>
          </cell>
          <cell r="F403">
            <v>200000</v>
          </cell>
          <cell r="G403">
            <v>10</v>
          </cell>
          <cell r="H403">
            <v>2</v>
          </cell>
          <cell r="I403">
            <v>1</v>
          </cell>
          <cell r="J403">
            <v>1</v>
          </cell>
          <cell r="K403">
            <v>2</v>
          </cell>
          <cell r="L403">
            <v>3</v>
          </cell>
          <cell r="M403">
            <v>4</v>
          </cell>
          <cell r="N403" t="str">
            <v>URGENTE</v>
          </cell>
        </row>
        <row r="404">
          <cell r="C404" t="str">
            <v>HTJA040183</v>
          </cell>
          <cell r="D404">
            <v>476394.33771294059</v>
          </cell>
          <cell r="E404">
            <v>1</v>
          </cell>
          <cell r="F404">
            <v>100000</v>
          </cell>
          <cell r="G404">
            <v>10</v>
          </cell>
          <cell r="H404">
            <v>3</v>
          </cell>
          <cell r="I404">
            <v>1</v>
          </cell>
          <cell r="J404">
            <v>1</v>
          </cell>
          <cell r="K404">
            <v>3</v>
          </cell>
          <cell r="L404">
            <v>4</v>
          </cell>
          <cell r="M404">
            <v>5</v>
          </cell>
          <cell r="N404" t="str">
            <v>URGENTE</v>
          </cell>
        </row>
        <row r="405">
          <cell r="C405" t="str">
            <v>HTJA040160</v>
          </cell>
          <cell r="D405">
            <v>476394.33771294059</v>
          </cell>
          <cell r="E405">
            <v>2</v>
          </cell>
          <cell r="F405">
            <v>100000</v>
          </cell>
          <cell r="G405">
            <v>10</v>
          </cell>
          <cell r="H405">
            <v>3</v>
          </cell>
          <cell r="I405">
            <v>1</v>
          </cell>
          <cell r="J405">
            <v>1</v>
          </cell>
          <cell r="K405">
            <v>3</v>
          </cell>
          <cell r="L405">
            <v>4</v>
          </cell>
          <cell r="M405">
            <v>5</v>
          </cell>
          <cell r="N405" t="str">
            <v>URGENTE</v>
          </cell>
        </row>
        <row r="406">
          <cell r="C406" t="str">
            <v>HTJA040196</v>
          </cell>
          <cell r="D406">
            <v>476394.33771294059</v>
          </cell>
          <cell r="E406">
            <v>1</v>
          </cell>
          <cell r="F406">
            <v>500000</v>
          </cell>
          <cell r="G406">
            <v>10</v>
          </cell>
          <cell r="H406">
            <v>1</v>
          </cell>
          <cell r="I406">
            <v>1</v>
          </cell>
          <cell r="J406">
            <v>1</v>
          </cell>
          <cell r="K406">
            <v>1</v>
          </cell>
          <cell r="L406">
            <v>2</v>
          </cell>
          <cell r="M406">
            <v>3</v>
          </cell>
          <cell r="N406" t="str">
            <v>PEDIR</v>
          </cell>
        </row>
        <row r="407">
          <cell r="C407" t="str">
            <v>HTJA040201</v>
          </cell>
          <cell r="D407">
            <v>476394.33771294059</v>
          </cell>
          <cell r="E407">
            <v>1</v>
          </cell>
          <cell r="F407">
            <v>500000</v>
          </cell>
          <cell r="G407">
            <v>10</v>
          </cell>
          <cell r="H407">
            <v>1</v>
          </cell>
          <cell r="I407">
            <v>1</v>
          </cell>
          <cell r="J407">
            <v>1</v>
          </cell>
          <cell r="K407">
            <v>1</v>
          </cell>
          <cell r="L407">
            <v>2</v>
          </cell>
          <cell r="M407">
            <v>3</v>
          </cell>
          <cell r="N407" t="str">
            <v>PEDIR</v>
          </cell>
        </row>
        <row r="408">
          <cell r="C408" t="str">
            <v>HTJA040202</v>
          </cell>
          <cell r="D408">
            <v>476394.33771294059</v>
          </cell>
          <cell r="E408">
            <v>1</v>
          </cell>
          <cell r="F408">
            <v>500000</v>
          </cell>
          <cell r="G408">
            <v>10</v>
          </cell>
          <cell r="H408">
            <v>1</v>
          </cell>
          <cell r="I408">
            <v>1</v>
          </cell>
          <cell r="J408">
            <v>1</v>
          </cell>
          <cell r="K408">
            <v>1</v>
          </cell>
          <cell r="L408">
            <v>2</v>
          </cell>
          <cell r="M408">
            <v>3</v>
          </cell>
          <cell r="N408" t="str">
            <v>PEDIR</v>
          </cell>
        </row>
        <row r="409">
          <cell r="D409">
            <v>0</v>
          </cell>
          <cell r="F409" t="e">
            <v>#N/A</v>
          </cell>
          <cell r="G409" t="e">
            <v>#N/A</v>
          </cell>
          <cell r="H409" t="e">
            <v>#N/A</v>
          </cell>
          <cell r="I409">
            <v>1</v>
          </cell>
          <cell r="J409">
            <v>1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</row>
        <row r="410">
          <cell r="C410" t="str">
            <v>N/HT</v>
          </cell>
          <cell r="D410">
            <v>0</v>
          </cell>
          <cell r="F410" t="e">
            <v>#N/A</v>
          </cell>
          <cell r="G410" t="e">
            <v>#N/A</v>
          </cell>
          <cell r="H410" t="e">
            <v>#N/A</v>
          </cell>
          <cell r="I410">
            <v>1</v>
          </cell>
          <cell r="J410">
            <v>1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</row>
        <row r="412">
          <cell r="C412" t="str">
            <v>No. Parte Htal:</v>
          </cell>
          <cell r="D412" t="str">
            <v>RQ</v>
          </cell>
          <cell r="E412" t="str">
            <v>Inventario</v>
          </cell>
          <cell r="F412" t="str">
            <v>Pz / Herramental</v>
          </cell>
          <cell r="G412" t="str">
            <v>Tiempo Entrega</v>
          </cell>
          <cell r="H412" t="str">
            <v>Mín</v>
          </cell>
          <cell r="I412" t="str">
            <v>Pto. Reorden</v>
          </cell>
          <cell r="J412" t="str">
            <v>Máx</v>
          </cell>
          <cell r="K412" t="str">
            <v>Mín</v>
          </cell>
          <cell r="L412" t="str">
            <v>Pto. Reorden</v>
          </cell>
          <cell r="M412" t="str">
            <v>Máx</v>
          </cell>
          <cell r="N412" t="str">
            <v>STATUS</v>
          </cell>
        </row>
        <row r="413">
          <cell r="C413" t="str">
            <v>HTJA040038</v>
          </cell>
          <cell r="D413">
            <v>38227.399999999994</v>
          </cell>
          <cell r="E413">
            <v>3</v>
          </cell>
          <cell r="F413">
            <v>5000</v>
          </cell>
          <cell r="G413">
            <v>6</v>
          </cell>
          <cell r="H413">
            <v>2</v>
          </cell>
          <cell r="I413">
            <v>1</v>
          </cell>
          <cell r="J413">
            <v>1</v>
          </cell>
          <cell r="K413">
            <v>2</v>
          </cell>
          <cell r="L413">
            <v>3</v>
          </cell>
          <cell r="M413">
            <v>4</v>
          </cell>
          <cell r="N413" t="str">
            <v>PEDIR</v>
          </cell>
        </row>
        <row r="414">
          <cell r="C414" t="str">
            <v>HTJA040126</v>
          </cell>
          <cell r="D414">
            <v>38227.399999999994</v>
          </cell>
          <cell r="E414">
            <v>4</v>
          </cell>
          <cell r="F414">
            <v>5000</v>
          </cell>
          <cell r="G414">
            <v>6</v>
          </cell>
          <cell r="H414">
            <v>2</v>
          </cell>
          <cell r="I414">
            <v>1</v>
          </cell>
          <cell r="J414">
            <v>1</v>
          </cell>
          <cell r="K414">
            <v>2</v>
          </cell>
          <cell r="L414">
            <v>3</v>
          </cell>
          <cell r="M414">
            <v>4</v>
          </cell>
          <cell r="N414" t="str">
            <v>OK</v>
          </cell>
        </row>
        <row r="415">
          <cell r="C415" t="str">
            <v>HTJA040036</v>
          </cell>
          <cell r="D415">
            <v>38227.399999999994</v>
          </cell>
          <cell r="E415">
            <v>1</v>
          </cell>
          <cell r="F415">
            <v>100000</v>
          </cell>
          <cell r="G415">
            <v>10</v>
          </cell>
          <cell r="H415">
            <v>1</v>
          </cell>
          <cell r="I415">
            <v>1</v>
          </cell>
          <cell r="J415">
            <v>1</v>
          </cell>
          <cell r="K415">
            <v>1</v>
          </cell>
          <cell r="L415">
            <v>2</v>
          </cell>
          <cell r="M415">
            <v>3</v>
          </cell>
          <cell r="N415" t="str">
            <v>PEDIR</v>
          </cell>
        </row>
        <row r="416">
          <cell r="C416" t="str">
            <v>HTJA040069</v>
          </cell>
          <cell r="D416">
            <v>38227.399999999994</v>
          </cell>
          <cell r="E416">
            <v>2</v>
          </cell>
          <cell r="F416">
            <v>100000</v>
          </cell>
          <cell r="G416">
            <v>10</v>
          </cell>
          <cell r="H416">
            <v>1</v>
          </cell>
          <cell r="I416">
            <v>1</v>
          </cell>
          <cell r="J416">
            <v>1</v>
          </cell>
          <cell r="K416">
            <v>1</v>
          </cell>
          <cell r="L416">
            <v>2</v>
          </cell>
          <cell r="M416">
            <v>3</v>
          </cell>
          <cell r="N416" t="str">
            <v>PEDIR</v>
          </cell>
        </row>
        <row r="417">
          <cell r="C417" t="str">
            <v>HTJA040068</v>
          </cell>
          <cell r="D417">
            <v>38227.399999999994</v>
          </cell>
          <cell r="E417">
            <v>2</v>
          </cell>
          <cell r="F417">
            <v>8000</v>
          </cell>
          <cell r="G417">
            <v>11</v>
          </cell>
          <cell r="H417">
            <v>3</v>
          </cell>
          <cell r="I417">
            <v>1</v>
          </cell>
          <cell r="J417">
            <v>1</v>
          </cell>
          <cell r="K417">
            <v>3</v>
          </cell>
          <cell r="L417">
            <v>4</v>
          </cell>
          <cell r="M417">
            <v>5</v>
          </cell>
          <cell r="N417" t="str">
            <v>URGENTE</v>
          </cell>
        </row>
        <row r="418">
          <cell r="C418" t="str">
            <v>HTJA040125</v>
          </cell>
          <cell r="D418">
            <v>38227.399999999994</v>
          </cell>
          <cell r="E418">
            <v>8</v>
          </cell>
          <cell r="F418">
            <v>4000</v>
          </cell>
          <cell r="G418">
            <v>6</v>
          </cell>
          <cell r="H418">
            <v>3</v>
          </cell>
          <cell r="I418">
            <v>1</v>
          </cell>
          <cell r="J418">
            <v>1</v>
          </cell>
          <cell r="K418">
            <v>3</v>
          </cell>
          <cell r="L418">
            <v>4</v>
          </cell>
          <cell r="M418">
            <v>5</v>
          </cell>
          <cell r="N418" t="str">
            <v>SOBREINVENTARIO</v>
          </cell>
        </row>
        <row r="419">
          <cell r="C419" t="str">
            <v>N/HT</v>
          </cell>
          <cell r="D419">
            <v>0</v>
          </cell>
          <cell r="F419" t="e">
            <v>#N/A</v>
          </cell>
          <cell r="G419" t="e">
            <v>#N/A</v>
          </cell>
          <cell r="H419" t="e">
            <v>#N/A</v>
          </cell>
          <cell r="I419">
            <v>1</v>
          </cell>
          <cell r="J419">
            <v>1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</row>
        <row r="420">
          <cell r="C420" t="str">
            <v>N/HT</v>
          </cell>
          <cell r="D420">
            <v>0</v>
          </cell>
          <cell r="F420" t="e">
            <v>#N/A</v>
          </cell>
          <cell r="G420" t="e">
            <v>#N/A</v>
          </cell>
          <cell r="H420" t="e">
            <v>#N/A</v>
          </cell>
          <cell r="I420">
            <v>1</v>
          </cell>
          <cell r="J420">
            <v>1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</row>
        <row r="421">
          <cell r="C421" t="str">
            <v>N/HT</v>
          </cell>
          <cell r="D421">
            <v>0</v>
          </cell>
          <cell r="F421" t="e">
            <v>#N/A</v>
          </cell>
          <cell r="G421" t="e">
            <v>#N/A</v>
          </cell>
          <cell r="H421" t="e">
            <v>#N/A</v>
          </cell>
          <cell r="I421">
            <v>1</v>
          </cell>
          <cell r="J421">
            <v>1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</row>
        <row r="422">
          <cell r="C422" t="str">
            <v>N/HT</v>
          </cell>
          <cell r="D422">
            <v>0</v>
          </cell>
          <cell r="F422" t="e">
            <v>#N/A</v>
          </cell>
          <cell r="G422" t="e">
            <v>#N/A</v>
          </cell>
          <cell r="H422" t="e">
            <v>#N/A</v>
          </cell>
          <cell r="I422">
            <v>1</v>
          </cell>
          <cell r="J422">
            <v>1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</row>
        <row r="423">
          <cell r="C423" t="str">
            <v>N/HT</v>
          </cell>
          <cell r="D423">
            <v>0</v>
          </cell>
          <cell r="F423" t="e">
            <v>#N/A</v>
          </cell>
          <cell r="G423" t="e">
            <v>#N/A</v>
          </cell>
          <cell r="H423" t="e">
            <v>#N/A</v>
          </cell>
          <cell r="I423">
            <v>1</v>
          </cell>
          <cell r="J423">
            <v>1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</row>
        <row r="424">
          <cell r="C424" t="str">
            <v>N/HT</v>
          </cell>
          <cell r="D424">
            <v>0</v>
          </cell>
          <cell r="E424" t="str">
            <v xml:space="preserve"> </v>
          </cell>
          <cell r="F424" t="e">
            <v>#N/A</v>
          </cell>
          <cell r="G424" t="e">
            <v>#N/A</v>
          </cell>
          <cell r="H424" t="e">
            <v>#N/A</v>
          </cell>
          <cell r="I424">
            <v>1</v>
          </cell>
          <cell r="J424">
            <v>1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</row>
        <row r="425">
          <cell r="C425" t="str">
            <v>N/HT</v>
          </cell>
          <cell r="D425">
            <v>0</v>
          </cell>
          <cell r="F425" t="e">
            <v>#N/A</v>
          </cell>
          <cell r="G425" t="e">
            <v>#N/A</v>
          </cell>
          <cell r="H425" t="e">
            <v>#N/A</v>
          </cell>
          <cell r="I425">
            <v>1</v>
          </cell>
          <cell r="J425">
            <v>1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</row>
        <row r="426">
          <cell r="C426" t="str">
            <v>N/HT</v>
          </cell>
          <cell r="D426">
            <v>0</v>
          </cell>
          <cell r="F426" t="e">
            <v>#N/A</v>
          </cell>
          <cell r="G426" t="e">
            <v>#N/A</v>
          </cell>
          <cell r="H426" t="e">
            <v>#N/A</v>
          </cell>
          <cell r="I426">
            <v>1</v>
          </cell>
          <cell r="J426">
            <v>1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</row>
        <row r="427">
          <cell r="C427" t="str">
            <v>N/HT</v>
          </cell>
          <cell r="D427">
            <v>0</v>
          </cell>
          <cell r="F427" t="e">
            <v>#N/A</v>
          </cell>
          <cell r="G427" t="e">
            <v>#N/A</v>
          </cell>
          <cell r="H427" t="e">
            <v>#N/A</v>
          </cell>
          <cell r="I427">
            <v>1</v>
          </cell>
          <cell r="J427">
            <v>1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</row>
        <row r="428">
          <cell r="C428" t="str">
            <v>N/HT</v>
          </cell>
          <cell r="D428">
            <v>0</v>
          </cell>
          <cell r="F428" t="e">
            <v>#N/A</v>
          </cell>
          <cell r="G428" t="e">
            <v>#N/A</v>
          </cell>
          <cell r="H428" t="e">
            <v>#N/A</v>
          </cell>
          <cell r="I428">
            <v>1</v>
          </cell>
          <cell r="J428">
            <v>1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</row>
        <row r="429">
          <cell r="C429" t="str">
            <v>N/HT</v>
          </cell>
          <cell r="D429">
            <v>0</v>
          </cell>
          <cell r="F429" t="e">
            <v>#N/A</v>
          </cell>
          <cell r="G429" t="e">
            <v>#N/A</v>
          </cell>
          <cell r="H429" t="e">
            <v>#N/A</v>
          </cell>
          <cell r="I429">
            <v>1</v>
          </cell>
          <cell r="J429">
            <v>1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</row>
        <row r="430">
          <cell r="C430" t="str">
            <v>N/HT</v>
          </cell>
          <cell r="D430">
            <v>0</v>
          </cell>
          <cell r="F430" t="e">
            <v>#N/A</v>
          </cell>
          <cell r="G430" t="e">
            <v>#N/A</v>
          </cell>
          <cell r="H430" t="e">
            <v>#N/A</v>
          </cell>
          <cell r="I430">
            <v>1</v>
          </cell>
          <cell r="J430">
            <v>1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</row>
        <row r="431">
          <cell r="C431" t="str">
            <v>N/HT</v>
          </cell>
          <cell r="D431">
            <v>0</v>
          </cell>
          <cell r="F431" t="e">
            <v>#N/A</v>
          </cell>
          <cell r="G431" t="e">
            <v>#N/A</v>
          </cell>
          <cell r="H431" t="e">
            <v>#N/A</v>
          </cell>
          <cell r="I431">
            <v>1</v>
          </cell>
          <cell r="J431">
            <v>1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</row>
        <row r="432">
          <cell r="C432" t="str">
            <v>N/HT</v>
          </cell>
          <cell r="D432">
            <v>0</v>
          </cell>
          <cell r="F432" t="e">
            <v>#N/A</v>
          </cell>
          <cell r="G432" t="e">
            <v>#N/A</v>
          </cell>
          <cell r="H432" t="e">
            <v>#N/A</v>
          </cell>
          <cell r="I432">
            <v>1</v>
          </cell>
          <cell r="J432">
            <v>1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</row>
        <row r="433">
          <cell r="C433" t="str">
            <v>N/HT</v>
          </cell>
          <cell r="D433">
            <v>0</v>
          </cell>
          <cell r="F433" t="e">
            <v>#N/A</v>
          </cell>
          <cell r="G433" t="e">
            <v>#N/A</v>
          </cell>
          <cell r="H433" t="e">
            <v>#N/A</v>
          </cell>
          <cell r="I433">
            <v>1</v>
          </cell>
          <cell r="J433">
            <v>1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</row>
        <row r="434">
          <cell r="C434" t="str">
            <v>N/HT</v>
          </cell>
          <cell r="D434">
            <v>0</v>
          </cell>
          <cell r="F434" t="e">
            <v>#N/A</v>
          </cell>
          <cell r="G434" t="e">
            <v>#N/A</v>
          </cell>
          <cell r="H434" t="e">
            <v>#N/A</v>
          </cell>
          <cell r="I434">
            <v>1</v>
          </cell>
          <cell r="J434">
            <v>1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</row>
        <row r="435">
          <cell r="C435" t="str">
            <v>N/HT</v>
          </cell>
          <cell r="D435">
            <v>0</v>
          </cell>
          <cell r="F435" t="e">
            <v>#N/A</v>
          </cell>
          <cell r="G435" t="e">
            <v>#N/A</v>
          </cell>
          <cell r="H435" t="e">
            <v>#N/A</v>
          </cell>
          <cell r="I435">
            <v>1</v>
          </cell>
          <cell r="J435">
            <v>1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</row>
        <row r="436">
          <cell r="C436" t="str">
            <v>N/HT</v>
          </cell>
          <cell r="D436">
            <v>0</v>
          </cell>
          <cell r="F436" t="e">
            <v>#N/A</v>
          </cell>
          <cell r="G436" t="e">
            <v>#N/A</v>
          </cell>
          <cell r="H436" t="e">
            <v>#N/A</v>
          </cell>
          <cell r="I436">
            <v>1</v>
          </cell>
          <cell r="J436">
            <v>1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</row>
        <row r="437">
          <cell r="C437" t="str">
            <v>N/HT</v>
          </cell>
          <cell r="D437">
            <v>0</v>
          </cell>
          <cell r="F437" t="e">
            <v>#N/A</v>
          </cell>
          <cell r="G437" t="e">
            <v>#N/A</v>
          </cell>
          <cell r="H437" t="e">
            <v>#N/A</v>
          </cell>
          <cell r="I437">
            <v>1</v>
          </cell>
          <cell r="J437">
            <v>1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</row>
        <row r="438">
          <cell r="C438" t="str">
            <v>N/HT</v>
          </cell>
          <cell r="D438">
            <v>0</v>
          </cell>
          <cell r="F438" t="e">
            <v>#N/A</v>
          </cell>
          <cell r="G438" t="e">
            <v>#N/A</v>
          </cell>
          <cell r="H438" t="e">
            <v>#N/A</v>
          </cell>
          <cell r="I438">
            <v>1</v>
          </cell>
          <cell r="J438">
            <v>1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</row>
        <row r="439">
          <cell r="C439" t="str">
            <v>N/HT</v>
          </cell>
          <cell r="D439">
            <v>0</v>
          </cell>
          <cell r="F439" t="e">
            <v>#N/A</v>
          </cell>
          <cell r="G439" t="e">
            <v>#N/A</v>
          </cell>
          <cell r="H439" t="e">
            <v>#N/A</v>
          </cell>
          <cell r="I439">
            <v>1</v>
          </cell>
          <cell r="J439">
            <v>1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</row>
        <row r="440">
          <cell r="C440" t="str">
            <v>N/HT</v>
          </cell>
          <cell r="D440">
            <v>0</v>
          </cell>
          <cell r="F440" t="e">
            <v>#N/A</v>
          </cell>
          <cell r="G440" t="e">
            <v>#N/A</v>
          </cell>
          <cell r="H440" t="e">
            <v>#N/A</v>
          </cell>
          <cell r="I440">
            <v>1</v>
          </cell>
          <cell r="J440">
            <v>1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</row>
        <row r="441">
          <cell r="C441" t="str">
            <v>N/HT</v>
          </cell>
          <cell r="D441">
            <v>0</v>
          </cell>
          <cell r="F441" t="e">
            <v>#N/A</v>
          </cell>
          <cell r="G441" t="e">
            <v>#N/A</v>
          </cell>
          <cell r="H441" t="e">
            <v>#N/A</v>
          </cell>
          <cell r="I441">
            <v>1</v>
          </cell>
          <cell r="J441">
            <v>1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</row>
        <row r="442">
          <cell r="C442" t="str">
            <v>N/HT</v>
          </cell>
          <cell r="D442">
            <v>0</v>
          </cell>
          <cell r="F442" t="e">
            <v>#N/A</v>
          </cell>
          <cell r="G442" t="e">
            <v>#N/A</v>
          </cell>
          <cell r="H442" t="e">
            <v>#N/A</v>
          </cell>
          <cell r="I442">
            <v>1</v>
          </cell>
          <cell r="J442">
            <v>1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</row>
        <row r="443">
          <cell r="C443" t="str">
            <v>N/HT</v>
          </cell>
          <cell r="D443">
            <v>0</v>
          </cell>
          <cell r="F443" t="e">
            <v>#N/A</v>
          </cell>
          <cell r="G443" t="e">
            <v>#N/A</v>
          </cell>
          <cell r="H443" t="e">
            <v>#N/A</v>
          </cell>
          <cell r="I443">
            <v>1</v>
          </cell>
          <cell r="J443">
            <v>1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</row>
        <row r="444">
          <cell r="C444" t="str">
            <v>N/HT</v>
          </cell>
          <cell r="D444">
            <v>0</v>
          </cell>
          <cell r="F444" t="e">
            <v>#N/A</v>
          </cell>
          <cell r="G444" t="e">
            <v>#N/A</v>
          </cell>
          <cell r="H444" t="e">
            <v>#N/A</v>
          </cell>
          <cell r="I444">
            <v>1</v>
          </cell>
          <cell r="J444">
            <v>1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</row>
        <row r="446">
          <cell r="C446" t="str">
            <v>No. Parte Htal:</v>
          </cell>
          <cell r="D446" t="str">
            <v>RQ</v>
          </cell>
          <cell r="E446" t="str">
            <v>Inventario</v>
          </cell>
          <cell r="F446" t="str">
            <v>Pz / Herramental</v>
          </cell>
          <cell r="G446" t="str">
            <v>Tiempo Entrega</v>
          </cell>
          <cell r="H446" t="str">
            <v>Mín</v>
          </cell>
          <cell r="I446" t="str">
            <v>Pto. Reorden</v>
          </cell>
          <cell r="J446" t="str">
            <v>Máx</v>
          </cell>
          <cell r="K446" t="str">
            <v>Mín</v>
          </cell>
          <cell r="L446" t="str">
            <v>Pto. Reorden</v>
          </cell>
          <cell r="M446" t="str">
            <v>Máx</v>
          </cell>
          <cell r="N446" t="str">
            <v>STATUS</v>
          </cell>
        </row>
        <row r="447">
          <cell r="C447" t="str">
            <v>HTJA040218</v>
          </cell>
          <cell r="D447">
            <v>13520.454678603319</v>
          </cell>
          <cell r="E447">
            <v>2</v>
          </cell>
          <cell r="F447">
            <v>100000</v>
          </cell>
          <cell r="G447">
            <v>8</v>
          </cell>
          <cell r="H447">
            <v>1</v>
          </cell>
          <cell r="I447">
            <v>1</v>
          </cell>
          <cell r="J447">
            <v>1</v>
          </cell>
          <cell r="K447">
            <v>1</v>
          </cell>
          <cell r="L447">
            <v>2</v>
          </cell>
          <cell r="M447">
            <v>3</v>
          </cell>
          <cell r="N447" t="str">
            <v>PEDIR</v>
          </cell>
        </row>
        <row r="448">
          <cell r="C448" t="str">
            <v>HTJA040239</v>
          </cell>
          <cell r="D448">
            <v>13520.454678603319</v>
          </cell>
          <cell r="E448">
            <v>5</v>
          </cell>
          <cell r="F448">
            <v>5000</v>
          </cell>
          <cell r="G448">
            <v>6</v>
          </cell>
          <cell r="H448">
            <v>1</v>
          </cell>
          <cell r="I448">
            <v>1</v>
          </cell>
          <cell r="J448">
            <v>1</v>
          </cell>
          <cell r="K448">
            <v>1</v>
          </cell>
          <cell r="L448">
            <v>2</v>
          </cell>
          <cell r="M448">
            <v>3</v>
          </cell>
          <cell r="N448" t="str">
            <v>SOBREINVENTARIO</v>
          </cell>
        </row>
        <row r="449">
          <cell r="C449" t="str">
            <v>HTJA040217</v>
          </cell>
          <cell r="D449">
            <v>13520.454678603319</v>
          </cell>
          <cell r="E449">
            <v>11</v>
          </cell>
          <cell r="F449">
            <v>5000</v>
          </cell>
          <cell r="G449">
            <v>6</v>
          </cell>
          <cell r="H449">
            <v>1</v>
          </cell>
          <cell r="I449">
            <v>1</v>
          </cell>
          <cell r="J449">
            <v>1</v>
          </cell>
          <cell r="K449">
            <v>1</v>
          </cell>
          <cell r="L449">
            <v>2</v>
          </cell>
          <cell r="M449">
            <v>3</v>
          </cell>
          <cell r="N449" t="str">
            <v>SOBREINVENTARIO</v>
          </cell>
        </row>
        <row r="450">
          <cell r="C450" t="str">
            <v>HTJA040241</v>
          </cell>
          <cell r="D450">
            <v>13520.454678603319</v>
          </cell>
          <cell r="E450">
            <v>3</v>
          </cell>
          <cell r="F450">
            <v>100000</v>
          </cell>
          <cell r="G450">
            <v>10</v>
          </cell>
          <cell r="H450">
            <v>1</v>
          </cell>
          <cell r="I450">
            <v>1</v>
          </cell>
          <cell r="J450">
            <v>1</v>
          </cell>
          <cell r="K450">
            <v>1</v>
          </cell>
          <cell r="L450">
            <v>2</v>
          </cell>
          <cell r="M450">
            <v>3</v>
          </cell>
          <cell r="N450" t="str">
            <v>OK</v>
          </cell>
        </row>
        <row r="451">
          <cell r="C451" t="str">
            <v>HTJA040219</v>
          </cell>
          <cell r="D451">
            <v>13520.454678603319</v>
          </cell>
          <cell r="E451">
            <v>1</v>
          </cell>
          <cell r="F451">
            <v>100000</v>
          </cell>
          <cell r="G451">
            <v>10</v>
          </cell>
          <cell r="H451">
            <v>1</v>
          </cell>
          <cell r="I451">
            <v>1</v>
          </cell>
          <cell r="J451">
            <v>1</v>
          </cell>
          <cell r="K451">
            <v>1</v>
          </cell>
          <cell r="L451">
            <v>2</v>
          </cell>
          <cell r="M451">
            <v>3</v>
          </cell>
          <cell r="N451" t="str">
            <v>PEDIR</v>
          </cell>
        </row>
        <row r="452">
          <cell r="C452" t="str">
            <v>HTJA040240</v>
          </cell>
          <cell r="D452">
            <v>13520.454678603319</v>
          </cell>
          <cell r="E452">
            <v>1</v>
          </cell>
          <cell r="F452">
            <v>100000</v>
          </cell>
          <cell r="G452">
            <v>10</v>
          </cell>
          <cell r="H452">
            <v>1</v>
          </cell>
          <cell r="I452">
            <v>1</v>
          </cell>
          <cell r="J452">
            <v>1</v>
          </cell>
          <cell r="K452">
            <v>1</v>
          </cell>
          <cell r="L452">
            <v>2</v>
          </cell>
          <cell r="M452">
            <v>3</v>
          </cell>
          <cell r="N452" t="str">
            <v>PEDIR</v>
          </cell>
        </row>
        <row r="453">
          <cell r="C453" t="str">
            <v>HTJA040215</v>
          </cell>
          <cell r="D453">
            <v>13520.454678603319</v>
          </cell>
          <cell r="E453">
            <v>6</v>
          </cell>
          <cell r="F453">
            <v>8000</v>
          </cell>
          <cell r="G453">
            <v>11</v>
          </cell>
          <cell r="H453">
            <v>1</v>
          </cell>
          <cell r="I453">
            <v>1</v>
          </cell>
          <cell r="J453">
            <v>1</v>
          </cell>
          <cell r="K453">
            <v>1</v>
          </cell>
          <cell r="L453">
            <v>2</v>
          </cell>
          <cell r="M453">
            <v>3</v>
          </cell>
          <cell r="N453" t="str">
            <v>SOBREINVENTARIO</v>
          </cell>
        </row>
        <row r="454">
          <cell r="C454" t="str">
            <v>HTJA040216</v>
          </cell>
          <cell r="D454">
            <v>13520.454678603319</v>
          </cell>
          <cell r="E454">
            <v>4</v>
          </cell>
          <cell r="F454">
            <v>5000</v>
          </cell>
          <cell r="G454">
            <v>6</v>
          </cell>
          <cell r="H454">
            <v>1</v>
          </cell>
          <cell r="I454">
            <v>1</v>
          </cell>
          <cell r="J454">
            <v>1</v>
          </cell>
          <cell r="K454">
            <v>1</v>
          </cell>
          <cell r="L454">
            <v>2</v>
          </cell>
          <cell r="M454">
            <v>3</v>
          </cell>
          <cell r="N454" t="str">
            <v>SOBREINVENTARIO</v>
          </cell>
        </row>
        <row r="455">
          <cell r="C455" t="str">
            <v>N/HT</v>
          </cell>
          <cell r="D455">
            <v>0</v>
          </cell>
          <cell r="F455" t="e">
            <v>#N/A</v>
          </cell>
          <cell r="G455" t="e">
            <v>#N/A</v>
          </cell>
          <cell r="H455" t="e">
            <v>#N/A</v>
          </cell>
          <cell r="I455">
            <v>1</v>
          </cell>
          <cell r="J455">
            <v>1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</row>
        <row r="456">
          <cell r="C456" t="str">
            <v>N/HT</v>
          </cell>
          <cell r="D456">
            <v>0</v>
          </cell>
          <cell r="F456" t="e">
            <v>#N/A</v>
          </cell>
          <cell r="G456" t="e">
            <v>#N/A</v>
          </cell>
          <cell r="H456" t="e">
            <v>#N/A</v>
          </cell>
          <cell r="I456">
            <v>1</v>
          </cell>
          <cell r="J456">
            <v>1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</row>
        <row r="457">
          <cell r="C457" t="str">
            <v>N/HT</v>
          </cell>
          <cell r="D457">
            <v>0</v>
          </cell>
          <cell r="F457" t="e">
            <v>#N/A</v>
          </cell>
          <cell r="G457" t="e">
            <v>#N/A</v>
          </cell>
          <cell r="H457" t="e">
            <v>#N/A</v>
          </cell>
          <cell r="I457">
            <v>1</v>
          </cell>
          <cell r="J457">
            <v>1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</row>
        <row r="458">
          <cell r="C458" t="str">
            <v>N/HT</v>
          </cell>
          <cell r="D458">
            <v>0</v>
          </cell>
          <cell r="E458" t="str">
            <v xml:space="preserve"> </v>
          </cell>
          <cell r="F458" t="e">
            <v>#N/A</v>
          </cell>
          <cell r="G458" t="e">
            <v>#N/A</v>
          </cell>
          <cell r="H458" t="e">
            <v>#N/A</v>
          </cell>
          <cell r="I458">
            <v>1</v>
          </cell>
          <cell r="J458">
            <v>1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</row>
        <row r="459">
          <cell r="C459" t="str">
            <v>N/HT</v>
          </cell>
          <cell r="D459">
            <v>0</v>
          </cell>
          <cell r="F459" t="e">
            <v>#N/A</v>
          </cell>
          <cell r="G459" t="e">
            <v>#N/A</v>
          </cell>
          <cell r="H459" t="e">
            <v>#N/A</v>
          </cell>
          <cell r="I459">
            <v>1</v>
          </cell>
          <cell r="J459">
            <v>1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</row>
        <row r="460">
          <cell r="C460" t="str">
            <v>N/HT</v>
          </cell>
          <cell r="D460">
            <v>0</v>
          </cell>
          <cell r="F460" t="e">
            <v>#N/A</v>
          </cell>
          <cell r="G460" t="e">
            <v>#N/A</v>
          </cell>
          <cell r="H460" t="e">
            <v>#N/A</v>
          </cell>
          <cell r="I460">
            <v>1</v>
          </cell>
          <cell r="J460">
            <v>1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</row>
        <row r="461">
          <cell r="C461" t="str">
            <v>N/HT</v>
          </cell>
          <cell r="D461">
            <v>0</v>
          </cell>
          <cell r="F461" t="e">
            <v>#N/A</v>
          </cell>
          <cell r="G461" t="e">
            <v>#N/A</v>
          </cell>
          <cell r="H461" t="e">
            <v>#N/A</v>
          </cell>
          <cell r="I461">
            <v>1</v>
          </cell>
          <cell r="J461">
            <v>1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</row>
        <row r="462">
          <cell r="C462" t="str">
            <v>N/HT</v>
          </cell>
          <cell r="D462">
            <v>0</v>
          </cell>
          <cell r="F462" t="e">
            <v>#N/A</v>
          </cell>
          <cell r="G462" t="e">
            <v>#N/A</v>
          </cell>
          <cell r="H462" t="e">
            <v>#N/A</v>
          </cell>
          <cell r="I462">
            <v>1</v>
          </cell>
          <cell r="J462">
            <v>1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</row>
        <row r="463">
          <cell r="C463" t="str">
            <v>N/HT</v>
          </cell>
          <cell r="D463">
            <v>0</v>
          </cell>
          <cell r="F463" t="e">
            <v>#N/A</v>
          </cell>
          <cell r="G463" t="e">
            <v>#N/A</v>
          </cell>
          <cell r="H463" t="e">
            <v>#N/A</v>
          </cell>
          <cell r="I463">
            <v>1</v>
          </cell>
          <cell r="J463">
            <v>1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</row>
        <row r="464">
          <cell r="C464" t="str">
            <v>N/HT</v>
          </cell>
          <cell r="D464">
            <v>0</v>
          </cell>
          <cell r="F464" t="e">
            <v>#N/A</v>
          </cell>
          <cell r="G464" t="e">
            <v>#N/A</v>
          </cell>
          <cell r="H464" t="e">
            <v>#N/A</v>
          </cell>
          <cell r="I464">
            <v>1</v>
          </cell>
          <cell r="J464">
            <v>1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</row>
        <row r="465">
          <cell r="C465" t="str">
            <v>N/HT</v>
          </cell>
          <cell r="D465">
            <v>0</v>
          </cell>
          <cell r="F465" t="e">
            <v>#N/A</v>
          </cell>
          <cell r="G465" t="e">
            <v>#N/A</v>
          </cell>
          <cell r="H465" t="e">
            <v>#N/A</v>
          </cell>
          <cell r="I465">
            <v>1</v>
          </cell>
          <cell r="J465">
            <v>1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</row>
        <row r="466">
          <cell r="C466" t="str">
            <v>N/HT</v>
          </cell>
          <cell r="D466">
            <v>0</v>
          </cell>
          <cell r="F466" t="e">
            <v>#N/A</v>
          </cell>
          <cell r="G466" t="e">
            <v>#N/A</v>
          </cell>
          <cell r="H466" t="e">
            <v>#N/A</v>
          </cell>
          <cell r="I466">
            <v>1</v>
          </cell>
          <cell r="J466">
            <v>1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</row>
        <row r="467">
          <cell r="C467" t="str">
            <v>N/HT</v>
          </cell>
          <cell r="D467">
            <v>0</v>
          </cell>
          <cell r="F467" t="e">
            <v>#N/A</v>
          </cell>
          <cell r="G467" t="e">
            <v>#N/A</v>
          </cell>
          <cell r="H467" t="e">
            <v>#N/A</v>
          </cell>
          <cell r="I467">
            <v>1</v>
          </cell>
          <cell r="J467">
            <v>1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</row>
        <row r="468">
          <cell r="C468" t="str">
            <v>N/HT</v>
          </cell>
          <cell r="D468">
            <v>0</v>
          </cell>
          <cell r="F468" t="e">
            <v>#N/A</v>
          </cell>
          <cell r="G468" t="e">
            <v>#N/A</v>
          </cell>
          <cell r="H468" t="e">
            <v>#N/A</v>
          </cell>
          <cell r="I468">
            <v>1</v>
          </cell>
          <cell r="J468">
            <v>1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</row>
        <row r="469">
          <cell r="C469" t="str">
            <v>N/HT</v>
          </cell>
          <cell r="D469">
            <v>0</v>
          </cell>
          <cell r="F469" t="e">
            <v>#N/A</v>
          </cell>
          <cell r="G469" t="e">
            <v>#N/A</v>
          </cell>
          <cell r="H469" t="e">
            <v>#N/A</v>
          </cell>
          <cell r="I469">
            <v>1</v>
          </cell>
          <cell r="J469">
            <v>1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</row>
        <row r="470">
          <cell r="C470" t="str">
            <v>N/HT</v>
          </cell>
          <cell r="D470">
            <v>0</v>
          </cell>
          <cell r="F470" t="e">
            <v>#N/A</v>
          </cell>
          <cell r="G470" t="e">
            <v>#N/A</v>
          </cell>
          <cell r="H470" t="e">
            <v>#N/A</v>
          </cell>
          <cell r="I470">
            <v>1</v>
          </cell>
          <cell r="J470">
            <v>1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</row>
        <row r="471">
          <cell r="C471" t="str">
            <v>N/HT</v>
          </cell>
          <cell r="D471">
            <v>0</v>
          </cell>
          <cell r="F471" t="e">
            <v>#N/A</v>
          </cell>
          <cell r="G471" t="e">
            <v>#N/A</v>
          </cell>
          <cell r="H471" t="e">
            <v>#N/A</v>
          </cell>
          <cell r="I471">
            <v>1</v>
          </cell>
          <cell r="J471">
            <v>1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</row>
        <row r="472">
          <cell r="C472" t="str">
            <v>N/HT</v>
          </cell>
          <cell r="D472">
            <v>0</v>
          </cell>
          <cell r="F472" t="e">
            <v>#N/A</v>
          </cell>
          <cell r="G472" t="e">
            <v>#N/A</v>
          </cell>
          <cell r="H472" t="e">
            <v>#N/A</v>
          </cell>
          <cell r="I472">
            <v>1</v>
          </cell>
          <cell r="J472">
            <v>1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</row>
        <row r="473">
          <cell r="C473" t="str">
            <v>N/HT</v>
          </cell>
          <cell r="D473">
            <v>0</v>
          </cell>
          <cell r="F473" t="e">
            <v>#N/A</v>
          </cell>
          <cell r="G473" t="e">
            <v>#N/A</v>
          </cell>
          <cell r="H473" t="e">
            <v>#N/A</v>
          </cell>
          <cell r="I473">
            <v>1</v>
          </cell>
          <cell r="J473">
            <v>1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</row>
        <row r="474">
          <cell r="C474" t="str">
            <v>N/HT</v>
          </cell>
          <cell r="D474">
            <v>0</v>
          </cell>
          <cell r="F474" t="e">
            <v>#N/A</v>
          </cell>
          <cell r="G474" t="e">
            <v>#N/A</v>
          </cell>
          <cell r="H474" t="e">
            <v>#N/A</v>
          </cell>
          <cell r="I474">
            <v>1</v>
          </cell>
          <cell r="J474">
            <v>1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</row>
        <row r="475">
          <cell r="C475" t="str">
            <v>N/HT</v>
          </cell>
          <cell r="D475">
            <v>0</v>
          </cell>
          <cell r="F475" t="e">
            <v>#N/A</v>
          </cell>
          <cell r="G475" t="e">
            <v>#N/A</v>
          </cell>
          <cell r="H475" t="e">
            <v>#N/A</v>
          </cell>
          <cell r="I475">
            <v>1</v>
          </cell>
          <cell r="J475">
            <v>1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</row>
        <row r="476">
          <cell r="C476" t="str">
            <v>N/HT</v>
          </cell>
          <cell r="D476">
            <v>0</v>
          </cell>
          <cell r="F476" t="e">
            <v>#N/A</v>
          </cell>
          <cell r="G476" t="e">
            <v>#N/A</v>
          </cell>
          <cell r="H476" t="e">
            <v>#N/A</v>
          </cell>
          <cell r="I476">
            <v>1</v>
          </cell>
          <cell r="J476">
            <v>1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</row>
        <row r="477">
          <cell r="C477" t="str">
            <v>N/HT</v>
          </cell>
          <cell r="D477">
            <v>0</v>
          </cell>
          <cell r="F477" t="e">
            <v>#N/A</v>
          </cell>
          <cell r="G477" t="e">
            <v>#N/A</v>
          </cell>
          <cell r="H477" t="e">
            <v>#N/A</v>
          </cell>
          <cell r="I477">
            <v>1</v>
          </cell>
          <cell r="J477">
            <v>1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</row>
        <row r="478">
          <cell r="C478" t="str">
            <v>N/HT</v>
          </cell>
          <cell r="D478">
            <v>0</v>
          </cell>
          <cell r="F478" t="e">
            <v>#N/A</v>
          </cell>
          <cell r="G478" t="e">
            <v>#N/A</v>
          </cell>
          <cell r="H478" t="e">
            <v>#N/A</v>
          </cell>
          <cell r="I478">
            <v>1</v>
          </cell>
          <cell r="J478">
            <v>1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</row>
        <row r="480">
          <cell r="C480" t="str">
            <v>No. Parte Htal:</v>
          </cell>
          <cell r="D480" t="str">
            <v>RQ</v>
          </cell>
          <cell r="E480" t="str">
            <v>Inventario</v>
          </cell>
          <cell r="F480" t="str">
            <v>Pz / Herramental</v>
          </cell>
          <cell r="G480" t="str">
            <v>Tiempo Entrega</v>
          </cell>
          <cell r="H480" t="str">
            <v>Mín</v>
          </cell>
          <cell r="I480" t="str">
            <v>Pto. Reorden</v>
          </cell>
          <cell r="J480" t="str">
            <v>Máx</v>
          </cell>
          <cell r="K480" t="str">
            <v>Mín</v>
          </cell>
          <cell r="L480" t="str">
            <v>Pto. Reorden</v>
          </cell>
          <cell r="M480" t="str">
            <v>Máx</v>
          </cell>
          <cell r="N480" t="str">
            <v>STATUS</v>
          </cell>
        </row>
        <row r="481">
          <cell r="C481" t="str">
            <v>HTJA040176</v>
          </cell>
          <cell r="D481">
            <v>45592.200000000012</v>
          </cell>
          <cell r="E481">
            <v>2</v>
          </cell>
          <cell r="F481">
            <v>100000</v>
          </cell>
          <cell r="G481">
            <v>8</v>
          </cell>
          <cell r="H481">
            <v>1</v>
          </cell>
          <cell r="I481">
            <v>1</v>
          </cell>
          <cell r="J481">
            <v>1</v>
          </cell>
          <cell r="K481">
            <v>1</v>
          </cell>
          <cell r="L481">
            <v>2</v>
          </cell>
          <cell r="M481">
            <v>3</v>
          </cell>
          <cell r="N481" t="str">
            <v>PEDIR</v>
          </cell>
        </row>
        <row r="482">
          <cell r="C482" t="str">
            <v>HTJA040175</v>
          </cell>
          <cell r="D482">
            <v>45592.200000000012</v>
          </cell>
          <cell r="E482">
            <v>2</v>
          </cell>
          <cell r="F482">
            <v>100000</v>
          </cell>
          <cell r="G482">
            <v>8</v>
          </cell>
          <cell r="H482">
            <v>1</v>
          </cell>
          <cell r="I482">
            <v>1</v>
          </cell>
          <cell r="J482">
            <v>1</v>
          </cell>
          <cell r="K482">
            <v>1</v>
          </cell>
          <cell r="L482">
            <v>2</v>
          </cell>
          <cell r="M482">
            <v>3</v>
          </cell>
          <cell r="N482" t="str">
            <v>PEDIR</v>
          </cell>
        </row>
        <row r="483">
          <cell r="C483" t="str">
            <v>HTJA040010</v>
          </cell>
          <cell r="D483">
            <v>45592.200000000012</v>
          </cell>
          <cell r="E483">
            <v>2</v>
          </cell>
          <cell r="F483">
            <v>8000</v>
          </cell>
          <cell r="G483">
            <v>8</v>
          </cell>
          <cell r="H483">
            <v>2</v>
          </cell>
          <cell r="I483">
            <v>1</v>
          </cell>
          <cell r="J483">
            <v>1</v>
          </cell>
          <cell r="K483">
            <v>2</v>
          </cell>
          <cell r="L483">
            <v>3</v>
          </cell>
          <cell r="M483">
            <v>4</v>
          </cell>
          <cell r="N483" t="str">
            <v>PEDIR</v>
          </cell>
        </row>
        <row r="484">
          <cell r="C484" t="str">
            <v>HTJA040102</v>
          </cell>
          <cell r="D484">
            <v>45592.200000000012</v>
          </cell>
          <cell r="E484">
            <v>4</v>
          </cell>
          <cell r="F484">
            <v>15000</v>
          </cell>
          <cell r="G484">
            <v>8</v>
          </cell>
          <cell r="H484">
            <v>2</v>
          </cell>
          <cell r="I484">
            <v>1</v>
          </cell>
          <cell r="J484">
            <v>1</v>
          </cell>
          <cell r="K484">
            <v>2</v>
          </cell>
          <cell r="L484">
            <v>3</v>
          </cell>
          <cell r="M484">
            <v>4</v>
          </cell>
          <cell r="N484" t="str">
            <v>OK</v>
          </cell>
        </row>
        <row r="485">
          <cell r="C485" t="str">
            <v>HTJA040168</v>
          </cell>
          <cell r="D485">
            <v>45592.200000000012</v>
          </cell>
          <cell r="E485">
            <v>3</v>
          </cell>
          <cell r="F485">
            <v>5000</v>
          </cell>
          <cell r="G485">
            <v>8</v>
          </cell>
          <cell r="H485">
            <v>4</v>
          </cell>
          <cell r="I485">
            <v>1</v>
          </cell>
          <cell r="J485">
            <v>1</v>
          </cell>
          <cell r="K485">
            <v>4</v>
          </cell>
          <cell r="L485">
            <v>5</v>
          </cell>
          <cell r="M485">
            <v>6</v>
          </cell>
          <cell r="N485" t="str">
            <v>URGENTE</v>
          </cell>
        </row>
        <row r="486">
          <cell r="C486" t="str">
            <v>HTJA040097</v>
          </cell>
          <cell r="D486">
            <v>45592.200000000012</v>
          </cell>
          <cell r="E486">
            <v>1</v>
          </cell>
          <cell r="F486">
            <v>100000</v>
          </cell>
          <cell r="G486">
            <v>8</v>
          </cell>
          <cell r="H486">
            <v>1</v>
          </cell>
          <cell r="I486">
            <v>1</v>
          </cell>
          <cell r="J486">
            <v>1</v>
          </cell>
          <cell r="K486">
            <v>1</v>
          </cell>
          <cell r="L486">
            <v>2</v>
          </cell>
          <cell r="M486">
            <v>3</v>
          </cell>
          <cell r="N486" t="str">
            <v>PEDIR</v>
          </cell>
        </row>
        <row r="487">
          <cell r="C487" t="str">
            <v>HTJA040169</v>
          </cell>
          <cell r="D487">
            <v>45592.200000000012</v>
          </cell>
          <cell r="E487">
            <v>1</v>
          </cell>
          <cell r="F487">
            <v>100000</v>
          </cell>
          <cell r="G487">
            <v>8</v>
          </cell>
          <cell r="H487">
            <v>1</v>
          </cell>
          <cell r="I487">
            <v>1</v>
          </cell>
          <cell r="J487">
            <v>1</v>
          </cell>
          <cell r="K487">
            <v>1</v>
          </cell>
          <cell r="L487">
            <v>2</v>
          </cell>
          <cell r="M487">
            <v>3</v>
          </cell>
          <cell r="N487" t="str">
            <v>PEDIR</v>
          </cell>
        </row>
        <row r="488">
          <cell r="C488" t="str">
            <v>HTJA040171</v>
          </cell>
          <cell r="D488">
            <v>45592.200000000012</v>
          </cell>
          <cell r="E488">
            <v>1</v>
          </cell>
          <cell r="F488">
            <v>100000</v>
          </cell>
          <cell r="G488">
            <v>8</v>
          </cell>
          <cell r="H488">
            <v>1</v>
          </cell>
          <cell r="I488">
            <v>1</v>
          </cell>
          <cell r="J488">
            <v>1</v>
          </cell>
          <cell r="K488">
            <v>1</v>
          </cell>
          <cell r="L488">
            <v>2</v>
          </cell>
          <cell r="M488">
            <v>3</v>
          </cell>
          <cell r="N488" t="str">
            <v>PEDIR</v>
          </cell>
        </row>
        <row r="489">
          <cell r="C489" t="str">
            <v>HTJA040007</v>
          </cell>
          <cell r="D489">
            <v>45592.200000000012</v>
          </cell>
          <cell r="E489">
            <v>0</v>
          </cell>
          <cell r="F489">
            <v>4000</v>
          </cell>
          <cell r="G489">
            <v>8</v>
          </cell>
          <cell r="H489">
            <v>4</v>
          </cell>
          <cell r="I489">
            <v>1</v>
          </cell>
          <cell r="J489">
            <v>1</v>
          </cell>
          <cell r="K489">
            <v>4</v>
          </cell>
          <cell r="L489">
            <v>5</v>
          </cell>
          <cell r="M489">
            <v>6</v>
          </cell>
          <cell r="N489" t="str">
            <v>URGENTE</v>
          </cell>
        </row>
        <row r="490">
          <cell r="C490" t="str">
            <v>HTJA040103</v>
          </cell>
          <cell r="D490">
            <v>45592.200000000012</v>
          </cell>
          <cell r="E490">
            <v>1</v>
          </cell>
          <cell r="F490">
            <v>100000</v>
          </cell>
          <cell r="G490">
            <v>8</v>
          </cell>
          <cell r="H490">
            <v>1</v>
          </cell>
          <cell r="I490">
            <v>1</v>
          </cell>
          <cell r="J490">
            <v>1</v>
          </cell>
          <cell r="K490">
            <v>1</v>
          </cell>
          <cell r="L490">
            <v>2</v>
          </cell>
          <cell r="M490">
            <v>3</v>
          </cell>
          <cell r="N490" t="str">
            <v>PEDIR</v>
          </cell>
        </row>
        <row r="491">
          <cell r="C491" t="str">
            <v>HTJA040163</v>
          </cell>
          <cell r="D491">
            <v>45592.200000000012</v>
          </cell>
          <cell r="E491">
            <v>1</v>
          </cell>
          <cell r="F491">
            <v>100000</v>
          </cell>
          <cell r="G491">
            <v>8</v>
          </cell>
          <cell r="H491">
            <v>1</v>
          </cell>
          <cell r="I491">
            <v>1</v>
          </cell>
          <cell r="J491">
            <v>1</v>
          </cell>
          <cell r="K491">
            <v>1</v>
          </cell>
          <cell r="L491">
            <v>2</v>
          </cell>
          <cell r="M491">
            <v>3</v>
          </cell>
          <cell r="N491" t="str">
            <v>PEDIR</v>
          </cell>
        </row>
        <row r="492">
          <cell r="C492" t="str">
            <v>HTJA040174</v>
          </cell>
          <cell r="D492">
            <v>45592.200000000012</v>
          </cell>
          <cell r="E492">
            <v>1</v>
          </cell>
          <cell r="F492">
            <v>100000</v>
          </cell>
          <cell r="G492">
            <v>8</v>
          </cell>
          <cell r="H492">
            <v>1</v>
          </cell>
          <cell r="I492">
            <v>1</v>
          </cell>
          <cell r="J492">
            <v>1</v>
          </cell>
          <cell r="K492">
            <v>1</v>
          </cell>
          <cell r="L492">
            <v>2</v>
          </cell>
          <cell r="M492">
            <v>3</v>
          </cell>
          <cell r="N492" t="str">
            <v>PEDIR</v>
          </cell>
        </row>
        <row r="493">
          <cell r="C493" t="str">
            <v>HTJA040008</v>
          </cell>
          <cell r="D493">
            <v>45592.200000000012</v>
          </cell>
          <cell r="E493">
            <v>1</v>
          </cell>
          <cell r="F493">
            <v>100000</v>
          </cell>
          <cell r="G493">
            <v>8</v>
          </cell>
          <cell r="H493">
            <v>1</v>
          </cell>
          <cell r="I493">
            <v>1</v>
          </cell>
          <cell r="J493">
            <v>1</v>
          </cell>
          <cell r="K493">
            <v>1</v>
          </cell>
          <cell r="L493">
            <v>2</v>
          </cell>
          <cell r="M493">
            <v>3</v>
          </cell>
          <cell r="N493" t="str">
            <v>PEDIR</v>
          </cell>
        </row>
        <row r="494">
          <cell r="C494" t="str">
            <v>HTJA040170</v>
          </cell>
          <cell r="D494">
            <v>45592.200000000012</v>
          </cell>
          <cell r="E494">
            <v>1</v>
          </cell>
          <cell r="F494">
            <v>200000</v>
          </cell>
          <cell r="G494">
            <v>8</v>
          </cell>
          <cell r="H494">
            <v>1</v>
          </cell>
          <cell r="I494">
            <v>1</v>
          </cell>
          <cell r="J494">
            <v>1</v>
          </cell>
          <cell r="K494">
            <v>1</v>
          </cell>
          <cell r="L494">
            <v>2</v>
          </cell>
          <cell r="M494">
            <v>3</v>
          </cell>
          <cell r="N494" t="str">
            <v>PEDIR</v>
          </cell>
        </row>
        <row r="495">
          <cell r="C495" t="str">
            <v>HTJA040088</v>
          </cell>
          <cell r="D495">
            <v>45592.200000000012</v>
          </cell>
          <cell r="E495">
            <v>3</v>
          </cell>
          <cell r="F495">
            <v>200000</v>
          </cell>
          <cell r="G495">
            <v>8</v>
          </cell>
          <cell r="H495">
            <v>1</v>
          </cell>
          <cell r="I495">
            <v>1</v>
          </cell>
          <cell r="J495">
            <v>1</v>
          </cell>
          <cell r="K495">
            <v>1</v>
          </cell>
          <cell r="L495">
            <v>2</v>
          </cell>
          <cell r="M495">
            <v>3</v>
          </cell>
          <cell r="N495" t="str">
            <v>OK</v>
          </cell>
        </row>
        <row r="496">
          <cell r="C496" t="str">
            <v>HTJA040101</v>
          </cell>
          <cell r="D496">
            <v>45592.200000000012</v>
          </cell>
          <cell r="E496">
            <v>2</v>
          </cell>
          <cell r="F496">
            <v>20000</v>
          </cell>
          <cell r="G496">
            <v>10</v>
          </cell>
          <cell r="H496">
            <v>1</v>
          </cell>
          <cell r="I496">
            <v>1</v>
          </cell>
          <cell r="J496">
            <v>1</v>
          </cell>
          <cell r="K496">
            <v>1</v>
          </cell>
          <cell r="L496">
            <v>2</v>
          </cell>
          <cell r="M496">
            <v>3</v>
          </cell>
          <cell r="N496" t="str">
            <v>PEDIR</v>
          </cell>
        </row>
        <row r="497">
          <cell r="C497" t="str">
            <v>HTJA040006</v>
          </cell>
          <cell r="D497">
            <v>45592.200000000012</v>
          </cell>
          <cell r="E497">
            <v>2</v>
          </cell>
          <cell r="F497">
            <v>8000</v>
          </cell>
          <cell r="G497">
            <v>10</v>
          </cell>
          <cell r="H497">
            <v>3</v>
          </cell>
          <cell r="I497">
            <v>1</v>
          </cell>
          <cell r="J497">
            <v>1</v>
          </cell>
          <cell r="K497">
            <v>3</v>
          </cell>
          <cell r="L497">
            <v>4</v>
          </cell>
          <cell r="M497">
            <v>5</v>
          </cell>
          <cell r="N497" t="str">
            <v>URGENTE</v>
          </cell>
        </row>
        <row r="498">
          <cell r="C498" t="str">
            <v>HTJA040009</v>
          </cell>
          <cell r="D498">
            <v>45592.200000000012</v>
          </cell>
          <cell r="E498">
            <v>2</v>
          </cell>
          <cell r="F498">
            <v>3000</v>
          </cell>
          <cell r="G498">
            <v>8</v>
          </cell>
          <cell r="H498">
            <v>6</v>
          </cell>
          <cell r="I498">
            <v>1</v>
          </cell>
          <cell r="J498">
            <v>1</v>
          </cell>
          <cell r="K498">
            <v>6</v>
          </cell>
          <cell r="L498">
            <v>7</v>
          </cell>
          <cell r="M498">
            <v>8</v>
          </cell>
          <cell r="N498" t="str">
            <v>URGENTE</v>
          </cell>
        </row>
        <row r="499">
          <cell r="D499">
            <v>0</v>
          </cell>
          <cell r="F499" t="e">
            <v>#N/A</v>
          </cell>
          <cell r="G499" t="e">
            <v>#N/A</v>
          </cell>
          <cell r="H499" t="e">
            <v>#N/A</v>
          </cell>
          <cell r="I499">
            <v>1</v>
          </cell>
          <cell r="J499">
            <v>1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</row>
        <row r="500">
          <cell r="C500" t="str">
            <v>N/HT</v>
          </cell>
          <cell r="D500">
            <v>0</v>
          </cell>
          <cell r="F500" t="e">
            <v>#N/A</v>
          </cell>
          <cell r="G500" t="e">
            <v>#N/A</v>
          </cell>
          <cell r="H500" t="e">
            <v>#N/A</v>
          </cell>
          <cell r="I500">
            <v>1</v>
          </cell>
          <cell r="J500">
            <v>1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</row>
        <row r="501">
          <cell r="C501" t="str">
            <v>N/HT</v>
          </cell>
          <cell r="D501">
            <v>0</v>
          </cell>
          <cell r="E501" t="str">
            <v xml:space="preserve"> </v>
          </cell>
          <cell r="F501" t="e">
            <v>#N/A</v>
          </cell>
          <cell r="G501" t="e">
            <v>#N/A</v>
          </cell>
          <cell r="H501" t="e">
            <v>#N/A</v>
          </cell>
          <cell r="I501">
            <v>1</v>
          </cell>
          <cell r="J501">
            <v>1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</row>
        <row r="502">
          <cell r="C502" t="str">
            <v>N/HT</v>
          </cell>
          <cell r="D502">
            <v>0</v>
          </cell>
          <cell r="F502" t="e">
            <v>#N/A</v>
          </cell>
          <cell r="G502" t="e">
            <v>#N/A</v>
          </cell>
          <cell r="H502" t="e">
            <v>#N/A</v>
          </cell>
          <cell r="I502">
            <v>1</v>
          </cell>
          <cell r="J502">
            <v>1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</row>
        <row r="503">
          <cell r="C503" t="str">
            <v>N/HT</v>
          </cell>
          <cell r="D503">
            <v>0</v>
          </cell>
          <cell r="F503" t="e">
            <v>#N/A</v>
          </cell>
          <cell r="G503" t="e">
            <v>#N/A</v>
          </cell>
          <cell r="H503" t="e">
            <v>#N/A</v>
          </cell>
          <cell r="I503">
            <v>1</v>
          </cell>
          <cell r="J503">
            <v>1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</row>
        <row r="504">
          <cell r="C504" t="str">
            <v>N/HT</v>
          </cell>
          <cell r="D504">
            <v>0</v>
          </cell>
          <cell r="F504" t="e">
            <v>#N/A</v>
          </cell>
          <cell r="G504" t="e">
            <v>#N/A</v>
          </cell>
          <cell r="H504" t="e">
            <v>#N/A</v>
          </cell>
          <cell r="I504">
            <v>1</v>
          </cell>
          <cell r="J504">
            <v>1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</row>
        <row r="505">
          <cell r="C505" t="str">
            <v>N/HT</v>
          </cell>
          <cell r="D505">
            <v>0</v>
          </cell>
          <cell r="F505" t="e">
            <v>#N/A</v>
          </cell>
          <cell r="G505" t="e">
            <v>#N/A</v>
          </cell>
          <cell r="H505" t="e">
            <v>#N/A</v>
          </cell>
          <cell r="I505">
            <v>1</v>
          </cell>
          <cell r="J505">
            <v>1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</row>
        <row r="506">
          <cell r="C506" t="str">
            <v>N/HT</v>
          </cell>
          <cell r="D506">
            <v>0</v>
          </cell>
          <cell r="F506" t="e">
            <v>#N/A</v>
          </cell>
          <cell r="G506" t="e">
            <v>#N/A</v>
          </cell>
          <cell r="H506" t="e">
            <v>#N/A</v>
          </cell>
          <cell r="I506">
            <v>1</v>
          </cell>
          <cell r="J506">
            <v>1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</row>
        <row r="507">
          <cell r="C507" t="str">
            <v>N/HT</v>
          </cell>
          <cell r="D507">
            <v>0</v>
          </cell>
          <cell r="F507" t="e">
            <v>#N/A</v>
          </cell>
          <cell r="G507" t="e">
            <v>#N/A</v>
          </cell>
          <cell r="H507" t="e">
            <v>#N/A</v>
          </cell>
          <cell r="I507">
            <v>1</v>
          </cell>
          <cell r="J507">
            <v>1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</row>
        <row r="508">
          <cell r="C508" t="str">
            <v>N/HT</v>
          </cell>
          <cell r="D508">
            <v>0</v>
          </cell>
          <cell r="F508" t="e">
            <v>#N/A</v>
          </cell>
          <cell r="G508" t="e">
            <v>#N/A</v>
          </cell>
          <cell r="H508" t="e">
            <v>#N/A</v>
          </cell>
          <cell r="I508">
            <v>1</v>
          </cell>
          <cell r="J508">
            <v>1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</row>
        <row r="509">
          <cell r="C509" t="str">
            <v>N/HT</v>
          </cell>
          <cell r="D509">
            <v>0</v>
          </cell>
          <cell r="F509" t="e">
            <v>#N/A</v>
          </cell>
          <cell r="G509" t="e">
            <v>#N/A</v>
          </cell>
          <cell r="H509" t="e">
            <v>#N/A</v>
          </cell>
          <cell r="I509">
            <v>1</v>
          </cell>
          <cell r="J509">
            <v>1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</row>
        <row r="510">
          <cell r="C510" t="str">
            <v>N/HT</v>
          </cell>
          <cell r="D510">
            <v>0</v>
          </cell>
          <cell r="F510" t="e">
            <v>#N/A</v>
          </cell>
          <cell r="G510" t="e">
            <v>#N/A</v>
          </cell>
          <cell r="H510" t="e">
            <v>#N/A</v>
          </cell>
          <cell r="I510">
            <v>1</v>
          </cell>
          <cell r="J510">
            <v>1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</row>
        <row r="511">
          <cell r="C511" t="str">
            <v>N/HT</v>
          </cell>
          <cell r="D511">
            <v>0</v>
          </cell>
          <cell r="F511" t="e">
            <v>#N/A</v>
          </cell>
          <cell r="G511" t="e">
            <v>#N/A</v>
          </cell>
          <cell r="H511" t="e">
            <v>#N/A</v>
          </cell>
          <cell r="I511">
            <v>1</v>
          </cell>
          <cell r="J511">
            <v>1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</row>
        <row r="512">
          <cell r="C512" t="str">
            <v>N/HT</v>
          </cell>
          <cell r="D512">
            <v>0</v>
          </cell>
          <cell r="F512" t="e">
            <v>#N/A</v>
          </cell>
          <cell r="G512" t="e">
            <v>#N/A</v>
          </cell>
          <cell r="H512" t="e">
            <v>#N/A</v>
          </cell>
          <cell r="I512">
            <v>1</v>
          </cell>
          <cell r="J512">
            <v>1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</row>
        <row r="514">
          <cell r="C514" t="str">
            <v>No. Parte Htal:</v>
          </cell>
          <cell r="D514" t="str">
            <v>RQ</v>
          </cell>
          <cell r="E514" t="str">
            <v>Inventario</v>
          </cell>
          <cell r="F514" t="str">
            <v>Pz / Herramental</v>
          </cell>
          <cell r="G514" t="str">
            <v>Tiempo Entrega</v>
          </cell>
          <cell r="H514" t="str">
            <v>Mín</v>
          </cell>
          <cell r="I514" t="str">
            <v>Pto. Reorden</v>
          </cell>
          <cell r="J514" t="str">
            <v>Máx</v>
          </cell>
          <cell r="K514" t="str">
            <v>Mín</v>
          </cell>
          <cell r="L514" t="str">
            <v>Pto. Reorden</v>
          </cell>
          <cell r="M514" t="str">
            <v>Máx</v>
          </cell>
          <cell r="N514" t="str">
            <v>STATUS</v>
          </cell>
        </row>
        <row r="515">
          <cell r="C515" t="str">
            <v>HTJA040262</v>
          </cell>
          <cell r="D515">
            <v>33932.483034337194</v>
          </cell>
          <cell r="E515">
            <v>1</v>
          </cell>
          <cell r="F515">
            <v>100000</v>
          </cell>
          <cell r="G515">
            <v>10</v>
          </cell>
          <cell r="H515">
            <v>1</v>
          </cell>
          <cell r="I515">
            <v>1</v>
          </cell>
          <cell r="J515">
            <v>1</v>
          </cell>
          <cell r="K515">
            <v>1</v>
          </cell>
          <cell r="L515">
            <v>2</v>
          </cell>
          <cell r="M515">
            <v>3</v>
          </cell>
          <cell r="N515" t="str">
            <v>PEDIR</v>
          </cell>
        </row>
        <row r="516">
          <cell r="C516" t="str">
            <v>HTJA040268</v>
          </cell>
          <cell r="D516">
            <v>33932.483034337194</v>
          </cell>
          <cell r="E516">
            <v>2</v>
          </cell>
          <cell r="F516">
            <v>100000</v>
          </cell>
          <cell r="G516">
            <v>10</v>
          </cell>
          <cell r="H516">
            <v>1</v>
          </cell>
          <cell r="I516">
            <v>1</v>
          </cell>
          <cell r="J516">
            <v>1</v>
          </cell>
          <cell r="K516">
            <v>1</v>
          </cell>
          <cell r="L516">
            <v>2</v>
          </cell>
          <cell r="M516">
            <v>3</v>
          </cell>
          <cell r="N516" t="str">
            <v>PEDIR</v>
          </cell>
        </row>
        <row r="517">
          <cell r="C517" t="str">
            <v>HTJA040267</v>
          </cell>
          <cell r="D517">
            <v>33932.483034337194</v>
          </cell>
          <cell r="E517">
            <v>1</v>
          </cell>
          <cell r="F517">
            <v>100000</v>
          </cell>
          <cell r="G517">
            <v>10</v>
          </cell>
          <cell r="H517">
            <v>1</v>
          </cell>
          <cell r="I517">
            <v>1</v>
          </cell>
          <cell r="J517">
            <v>1</v>
          </cell>
          <cell r="K517">
            <v>1</v>
          </cell>
          <cell r="L517">
            <v>2</v>
          </cell>
          <cell r="M517">
            <v>3</v>
          </cell>
          <cell r="N517" t="str">
            <v>PEDIR</v>
          </cell>
        </row>
        <row r="518">
          <cell r="C518" t="str">
            <v>HTJA040208</v>
          </cell>
          <cell r="D518">
            <v>33932.483034337194</v>
          </cell>
          <cell r="E518">
            <v>6</v>
          </cell>
          <cell r="F518">
            <v>8000</v>
          </cell>
          <cell r="G518">
            <v>6</v>
          </cell>
          <cell r="H518">
            <v>2</v>
          </cell>
          <cell r="I518">
            <v>1</v>
          </cell>
          <cell r="J518">
            <v>1</v>
          </cell>
          <cell r="K518">
            <v>2</v>
          </cell>
          <cell r="L518">
            <v>3</v>
          </cell>
          <cell r="M518">
            <v>4</v>
          </cell>
          <cell r="N518" t="str">
            <v>SOBREINVENTARIO</v>
          </cell>
        </row>
        <row r="519">
          <cell r="C519" t="str">
            <v>HTJA040251</v>
          </cell>
          <cell r="D519">
            <v>33932.483034337194</v>
          </cell>
          <cell r="E519">
            <v>2</v>
          </cell>
          <cell r="F519">
            <v>5000</v>
          </cell>
          <cell r="G519">
            <v>6</v>
          </cell>
          <cell r="H519">
            <v>2</v>
          </cell>
          <cell r="I519">
            <v>1</v>
          </cell>
          <cell r="J519">
            <v>1</v>
          </cell>
          <cell r="K519">
            <v>2</v>
          </cell>
          <cell r="L519">
            <v>3</v>
          </cell>
          <cell r="M519">
            <v>4</v>
          </cell>
          <cell r="N519" t="str">
            <v>PEDIR</v>
          </cell>
        </row>
        <row r="520">
          <cell r="C520" t="str">
            <v>HTJA040207</v>
          </cell>
          <cell r="D520">
            <v>33932.483034337194</v>
          </cell>
          <cell r="E520">
            <v>5</v>
          </cell>
          <cell r="F520">
            <v>6000</v>
          </cell>
          <cell r="G520">
            <v>6</v>
          </cell>
          <cell r="H520">
            <v>2</v>
          </cell>
          <cell r="I520">
            <v>1</v>
          </cell>
          <cell r="J520">
            <v>1</v>
          </cell>
          <cell r="K520">
            <v>2</v>
          </cell>
          <cell r="L520">
            <v>3</v>
          </cell>
          <cell r="M520">
            <v>4</v>
          </cell>
          <cell r="N520" t="str">
            <v>SOBREINVENTARIO</v>
          </cell>
        </row>
        <row r="521">
          <cell r="C521" t="str">
            <v>HTJA040253</v>
          </cell>
          <cell r="D521">
            <v>33932.483034337194</v>
          </cell>
          <cell r="E521">
            <v>1</v>
          </cell>
          <cell r="F521">
            <v>100000</v>
          </cell>
          <cell r="G521">
            <v>10</v>
          </cell>
          <cell r="H521">
            <v>1</v>
          </cell>
          <cell r="I521">
            <v>1</v>
          </cell>
          <cell r="J521">
            <v>1</v>
          </cell>
          <cell r="K521">
            <v>1</v>
          </cell>
          <cell r="L521">
            <v>2</v>
          </cell>
          <cell r="M521">
            <v>3</v>
          </cell>
          <cell r="N521" t="str">
            <v>PEDIR</v>
          </cell>
        </row>
        <row r="522">
          <cell r="C522" t="str">
            <v>HTJA040269</v>
          </cell>
          <cell r="D522">
            <v>33932.483034337194</v>
          </cell>
          <cell r="E522">
            <v>1</v>
          </cell>
          <cell r="F522">
            <v>100000</v>
          </cell>
          <cell r="G522">
            <v>10</v>
          </cell>
          <cell r="H522">
            <v>1</v>
          </cell>
          <cell r="I522">
            <v>1</v>
          </cell>
          <cell r="J522">
            <v>1</v>
          </cell>
          <cell r="K522">
            <v>1</v>
          </cell>
          <cell r="L522">
            <v>2</v>
          </cell>
          <cell r="M522">
            <v>3</v>
          </cell>
          <cell r="N522" t="str">
            <v>PEDIR</v>
          </cell>
        </row>
        <row r="523">
          <cell r="C523" t="str">
            <v>HTJA040264</v>
          </cell>
          <cell r="D523">
            <v>33932.483034337194</v>
          </cell>
          <cell r="E523">
            <v>1</v>
          </cell>
          <cell r="F523">
            <v>100000</v>
          </cell>
          <cell r="G523">
            <v>10</v>
          </cell>
          <cell r="H523">
            <v>1</v>
          </cell>
          <cell r="I523">
            <v>1</v>
          </cell>
          <cell r="J523">
            <v>1</v>
          </cell>
          <cell r="K523">
            <v>1</v>
          </cell>
          <cell r="L523">
            <v>2</v>
          </cell>
          <cell r="M523">
            <v>3</v>
          </cell>
          <cell r="N523" t="str">
            <v>PEDIR</v>
          </cell>
        </row>
        <row r="524">
          <cell r="C524" t="str">
            <v>HTJA040266</v>
          </cell>
          <cell r="D524">
            <v>33932.483034337194</v>
          </cell>
          <cell r="E524">
            <v>1</v>
          </cell>
          <cell r="F524">
            <v>100000</v>
          </cell>
          <cell r="G524">
            <v>10</v>
          </cell>
          <cell r="H524">
            <v>1</v>
          </cell>
          <cell r="I524">
            <v>1</v>
          </cell>
          <cell r="J524">
            <v>1</v>
          </cell>
          <cell r="K524">
            <v>1</v>
          </cell>
          <cell r="L524">
            <v>2</v>
          </cell>
          <cell r="M524">
            <v>3</v>
          </cell>
          <cell r="N524" t="str">
            <v>PEDIR</v>
          </cell>
        </row>
        <row r="525">
          <cell r="C525" t="str">
            <v>HTJA040263</v>
          </cell>
          <cell r="D525">
            <v>33932.483034337194</v>
          </cell>
          <cell r="E525">
            <v>1</v>
          </cell>
          <cell r="F525">
            <v>100000</v>
          </cell>
          <cell r="G525">
            <v>10</v>
          </cell>
          <cell r="H525">
            <v>1</v>
          </cell>
          <cell r="I525">
            <v>1</v>
          </cell>
          <cell r="J525">
            <v>1</v>
          </cell>
          <cell r="K525">
            <v>1</v>
          </cell>
          <cell r="L525">
            <v>2</v>
          </cell>
          <cell r="M525">
            <v>3</v>
          </cell>
          <cell r="N525" t="str">
            <v>PEDIR</v>
          </cell>
        </row>
        <row r="526">
          <cell r="C526" t="str">
            <v>HTJA040221</v>
          </cell>
          <cell r="D526">
            <v>33932.483034337194</v>
          </cell>
          <cell r="E526">
            <v>1</v>
          </cell>
          <cell r="F526">
            <v>100000</v>
          </cell>
          <cell r="G526">
            <v>10</v>
          </cell>
          <cell r="H526">
            <v>1</v>
          </cell>
          <cell r="I526">
            <v>1</v>
          </cell>
          <cell r="J526">
            <v>1</v>
          </cell>
          <cell r="K526">
            <v>1</v>
          </cell>
          <cell r="L526">
            <v>2</v>
          </cell>
          <cell r="M526">
            <v>3</v>
          </cell>
          <cell r="N526" t="str">
            <v>PEDIR</v>
          </cell>
        </row>
        <row r="527">
          <cell r="C527" t="str">
            <v>HTJA040220</v>
          </cell>
          <cell r="D527">
            <v>33932.483034337194</v>
          </cell>
          <cell r="E527">
            <v>1</v>
          </cell>
          <cell r="F527">
            <v>100000</v>
          </cell>
          <cell r="G527">
            <v>10</v>
          </cell>
          <cell r="H527">
            <v>1</v>
          </cell>
          <cell r="I527">
            <v>1</v>
          </cell>
          <cell r="J527">
            <v>1</v>
          </cell>
          <cell r="K527">
            <v>1</v>
          </cell>
          <cell r="L527">
            <v>2</v>
          </cell>
          <cell r="M527">
            <v>3</v>
          </cell>
          <cell r="N527" t="str">
            <v>PEDIR</v>
          </cell>
        </row>
        <row r="528">
          <cell r="C528" t="str">
            <v>HTJA040265</v>
          </cell>
          <cell r="D528">
            <v>33932.483034337194</v>
          </cell>
          <cell r="E528">
            <v>1</v>
          </cell>
          <cell r="F528">
            <v>100000</v>
          </cell>
          <cell r="G528">
            <v>10</v>
          </cell>
          <cell r="H528">
            <v>1</v>
          </cell>
          <cell r="I528">
            <v>1</v>
          </cell>
          <cell r="J528">
            <v>1</v>
          </cell>
          <cell r="K528">
            <v>1</v>
          </cell>
          <cell r="L528">
            <v>2</v>
          </cell>
          <cell r="M528">
            <v>3</v>
          </cell>
          <cell r="N528" t="str">
            <v>PEDIR</v>
          </cell>
        </row>
        <row r="529">
          <cell r="C529" t="str">
            <v>HTJA040209</v>
          </cell>
          <cell r="D529">
            <v>33932.483034337194</v>
          </cell>
          <cell r="E529">
            <v>1</v>
          </cell>
          <cell r="F529">
            <v>100000</v>
          </cell>
          <cell r="G529">
            <v>10</v>
          </cell>
          <cell r="H529">
            <v>1</v>
          </cell>
          <cell r="I529">
            <v>1</v>
          </cell>
          <cell r="J529">
            <v>1</v>
          </cell>
          <cell r="K529">
            <v>1</v>
          </cell>
          <cell r="L529">
            <v>2</v>
          </cell>
          <cell r="M529">
            <v>3</v>
          </cell>
          <cell r="N529" t="str">
            <v>PEDIR</v>
          </cell>
        </row>
        <row r="530">
          <cell r="C530" t="str">
            <v>HTJA040252</v>
          </cell>
          <cell r="D530">
            <v>33932.483034337194</v>
          </cell>
          <cell r="E530">
            <v>1</v>
          </cell>
          <cell r="F530">
            <v>100000</v>
          </cell>
          <cell r="G530">
            <v>10</v>
          </cell>
          <cell r="H530">
            <v>1</v>
          </cell>
          <cell r="I530">
            <v>1</v>
          </cell>
          <cell r="J530">
            <v>1</v>
          </cell>
          <cell r="K530">
            <v>1</v>
          </cell>
          <cell r="L530">
            <v>2</v>
          </cell>
          <cell r="M530">
            <v>3</v>
          </cell>
          <cell r="N530" t="str">
            <v>PEDIR</v>
          </cell>
        </row>
        <row r="531">
          <cell r="C531" t="str">
            <v>HTJA040248</v>
          </cell>
          <cell r="D531">
            <v>33932.483034337194</v>
          </cell>
          <cell r="E531">
            <v>2</v>
          </cell>
          <cell r="F531">
            <v>20000</v>
          </cell>
          <cell r="G531">
            <v>10</v>
          </cell>
          <cell r="H531">
            <v>1</v>
          </cell>
          <cell r="I531">
            <v>1</v>
          </cell>
          <cell r="J531">
            <v>1</v>
          </cell>
          <cell r="K531">
            <v>1</v>
          </cell>
          <cell r="L531">
            <v>2</v>
          </cell>
          <cell r="M531">
            <v>3</v>
          </cell>
          <cell r="N531" t="str">
            <v>PEDIR</v>
          </cell>
        </row>
        <row r="532">
          <cell r="C532" t="str">
            <v>HTJA040205</v>
          </cell>
          <cell r="D532">
            <v>33932.483034337194</v>
          </cell>
          <cell r="E532">
            <v>2</v>
          </cell>
          <cell r="F532">
            <v>8000</v>
          </cell>
          <cell r="G532">
            <v>10</v>
          </cell>
          <cell r="H532">
            <v>2</v>
          </cell>
          <cell r="I532">
            <v>1</v>
          </cell>
          <cell r="J532">
            <v>1</v>
          </cell>
          <cell r="K532">
            <v>2</v>
          </cell>
          <cell r="L532">
            <v>3</v>
          </cell>
          <cell r="M532">
            <v>4</v>
          </cell>
          <cell r="N532" t="str">
            <v>PEDIR</v>
          </cell>
        </row>
        <row r="533">
          <cell r="C533" t="str">
            <v>HTJA040249</v>
          </cell>
          <cell r="D533">
            <v>33932.483034337194</v>
          </cell>
          <cell r="E533">
            <v>10</v>
          </cell>
          <cell r="F533">
            <v>5000</v>
          </cell>
          <cell r="G533">
            <v>10</v>
          </cell>
          <cell r="H533">
            <v>3</v>
          </cell>
          <cell r="I533">
            <v>1</v>
          </cell>
          <cell r="J533">
            <v>1</v>
          </cell>
          <cell r="K533">
            <v>3</v>
          </cell>
          <cell r="L533">
            <v>4</v>
          </cell>
          <cell r="M533">
            <v>5</v>
          </cell>
          <cell r="N533" t="str">
            <v>SOBREINVENTARIO</v>
          </cell>
        </row>
        <row r="534">
          <cell r="D534">
            <v>0</v>
          </cell>
          <cell r="F534" t="e">
            <v>#N/A</v>
          </cell>
          <cell r="G534" t="e">
            <v>#N/A</v>
          </cell>
          <cell r="H534" t="e">
            <v>#N/A</v>
          </cell>
          <cell r="I534">
            <v>1</v>
          </cell>
          <cell r="J534">
            <v>1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</row>
        <row r="535">
          <cell r="D535">
            <v>0</v>
          </cell>
          <cell r="F535" t="e">
            <v>#N/A</v>
          </cell>
          <cell r="G535" t="e">
            <v>#N/A</v>
          </cell>
          <cell r="H535" t="e">
            <v>#N/A</v>
          </cell>
          <cell r="I535">
            <v>1</v>
          </cell>
          <cell r="J535">
            <v>1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</row>
        <row r="536">
          <cell r="C536" t="str">
            <v>N/HT</v>
          </cell>
          <cell r="D536">
            <v>0</v>
          </cell>
          <cell r="F536" t="e">
            <v>#N/A</v>
          </cell>
          <cell r="G536" t="e">
            <v>#N/A</v>
          </cell>
          <cell r="H536" t="e">
            <v>#N/A</v>
          </cell>
          <cell r="I536">
            <v>1</v>
          </cell>
          <cell r="J536">
            <v>1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</row>
        <row r="537">
          <cell r="C537" t="str">
            <v>N/HT</v>
          </cell>
          <cell r="D537">
            <v>0</v>
          </cell>
          <cell r="F537" t="e">
            <v>#N/A</v>
          </cell>
          <cell r="G537" t="e">
            <v>#N/A</v>
          </cell>
          <cell r="H537" t="e">
            <v>#N/A</v>
          </cell>
          <cell r="I537">
            <v>1</v>
          </cell>
          <cell r="J537">
            <v>1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</row>
        <row r="538">
          <cell r="C538" t="str">
            <v>N/HT</v>
          </cell>
          <cell r="D538">
            <v>0</v>
          </cell>
          <cell r="F538" t="e">
            <v>#N/A</v>
          </cell>
          <cell r="G538" t="e">
            <v>#N/A</v>
          </cell>
          <cell r="H538" t="e">
            <v>#N/A</v>
          </cell>
          <cell r="I538">
            <v>1</v>
          </cell>
          <cell r="J538">
            <v>1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</row>
        <row r="539">
          <cell r="C539" t="str">
            <v>N/HT</v>
          </cell>
          <cell r="D539">
            <v>0</v>
          </cell>
          <cell r="F539" t="e">
            <v>#N/A</v>
          </cell>
          <cell r="G539" t="e">
            <v>#N/A</v>
          </cell>
          <cell r="H539" t="e">
            <v>#N/A</v>
          </cell>
          <cell r="I539">
            <v>1</v>
          </cell>
          <cell r="J539">
            <v>1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</row>
        <row r="540">
          <cell r="C540" t="str">
            <v>N/HT</v>
          </cell>
          <cell r="D540">
            <v>0</v>
          </cell>
          <cell r="F540" t="e">
            <v>#N/A</v>
          </cell>
          <cell r="G540" t="e">
            <v>#N/A</v>
          </cell>
          <cell r="H540" t="e">
            <v>#N/A</v>
          </cell>
          <cell r="I540">
            <v>1</v>
          </cell>
          <cell r="J540">
            <v>1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</row>
        <row r="541">
          <cell r="C541" t="str">
            <v>N/HT</v>
          </cell>
          <cell r="D541">
            <v>0</v>
          </cell>
          <cell r="F541" t="e">
            <v>#N/A</v>
          </cell>
          <cell r="G541" t="e">
            <v>#N/A</v>
          </cell>
          <cell r="H541" t="e">
            <v>#N/A</v>
          </cell>
          <cell r="I541">
            <v>1</v>
          </cell>
          <cell r="J541">
            <v>1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</row>
        <row r="542">
          <cell r="C542" t="str">
            <v>N/HT</v>
          </cell>
          <cell r="D542">
            <v>0</v>
          </cell>
          <cell r="F542" t="e">
            <v>#N/A</v>
          </cell>
          <cell r="G542" t="e">
            <v>#N/A</v>
          </cell>
          <cell r="H542" t="e">
            <v>#N/A</v>
          </cell>
          <cell r="I542">
            <v>1</v>
          </cell>
          <cell r="J542">
            <v>1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</row>
        <row r="543">
          <cell r="C543" t="str">
            <v>N/HT</v>
          </cell>
          <cell r="D543">
            <v>0</v>
          </cell>
          <cell r="F543" t="e">
            <v>#N/A</v>
          </cell>
          <cell r="G543" t="e">
            <v>#N/A</v>
          </cell>
          <cell r="H543" t="e">
            <v>#N/A</v>
          </cell>
          <cell r="I543">
            <v>1</v>
          </cell>
          <cell r="J543">
            <v>1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</row>
        <row r="544">
          <cell r="C544" t="str">
            <v>N/HT</v>
          </cell>
          <cell r="D544">
            <v>0</v>
          </cell>
          <cell r="F544" t="e">
            <v>#N/A</v>
          </cell>
          <cell r="G544" t="e">
            <v>#N/A</v>
          </cell>
          <cell r="H544" t="e">
            <v>#N/A</v>
          </cell>
          <cell r="I544">
            <v>1</v>
          </cell>
          <cell r="J544">
            <v>1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</row>
        <row r="545">
          <cell r="C545" t="str">
            <v>N/HT</v>
          </cell>
          <cell r="D545">
            <v>0</v>
          </cell>
          <cell r="F545" t="e">
            <v>#N/A</v>
          </cell>
          <cell r="G545" t="e">
            <v>#N/A</v>
          </cell>
          <cell r="H545" t="e">
            <v>#N/A</v>
          </cell>
          <cell r="I545">
            <v>1</v>
          </cell>
          <cell r="J545">
            <v>1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</row>
        <row r="546">
          <cell r="C546" t="str">
            <v>N/HT</v>
          </cell>
          <cell r="D546">
            <v>0</v>
          </cell>
          <cell r="F546" t="e">
            <v>#N/A</v>
          </cell>
          <cell r="G546" t="e">
            <v>#N/A</v>
          </cell>
          <cell r="H546" t="e">
            <v>#N/A</v>
          </cell>
          <cell r="I546">
            <v>1</v>
          </cell>
          <cell r="J546">
            <v>1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8"/>
  <sheetViews>
    <sheetView zoomScale="80" zoomScaleNormal="80" workbookViewId="0">
      <pane ySplit="18" topLeftCell="A19" activePane="bottomLeft" state="frozen"/>
      <selection activeCell="H1" sqref="H1"/>
      <selection pane="bottomLeft" activeCell="E14" sqref="E14:F17"/>
    </sheetView>
  </sheetViews>
  <sheetFormatPr baseColWidth="10" defaultRowHeight="12.75" x14ac:dyDescent="0.2"/>
  <cols>
    <col min="1" max="1" width="2.7109375" customWidth="1"/>
    <col min="2" max="13" width="6.42578125" customWidth="1"/>
    <col min="14" max="14" width="2.7109375" customWidth="1"/>
    <col min="15" max="15" width="1.5703125" customWidth="1"/>
    <col min="16" max="16" width="2.7109375" customWidth="1"/>
    <col min="17" max="28" width="6.42578125" customWidth="1"/>
    <col min="29" max="29" width="2.7109375" customWidth="1"/>
  </cols>
  <sheetData>
    <row r="1" spans="1:29" ht="13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P1" s="1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3"/>
    </row>
    <row r="2" spans="1:29" x14ac:dyDescent="0.2">
      <c r="A2" s="4"/>
      <c r="B2" s="48"/>
      <c r="C2" s="49"/>
      <c r="D2" s="49"/>
      <c r="E2" s="50"/>
      <c r="F2" s="57" t="s">
        <v>9</v>
      </c>
      <c r="G2" s="58"/>
      <c r="H2" s="58"/>
      <c r="I2" s="58"/>
      <c r="J2" s="58"/>
      <c r="K2" s="58"/>
      <c r="L2" s="58"/>
      <c r="M2" s="59"/>
      <c r="N2" s="5"/>
      <c r="P2" s="4"/>
      <c r="Q2" s="48"/>
      <c r="R2" s="49"/>
      <c r="S2" s="49"/>
      <c r="T2" s="50"/>
      <c r="U2" s="57" t="s">
        <v>12</v>
      </c>
      <c r="V2" s="58"/>
      <c r="W2" s="58"/>
      <c r="X2" s="58"/>
      <c r="Y2" s="58"/>
      <c r="Z2" s="58"/>
      <c r="AA2" s="58"/>
      <c r="AB2" s="59"/>
      <c r="AC2" s="5"/>
    </row>
    <row r="3" spans="1:29" x14ac:dyDescent="0.2">
      <c r="A3" s="4"/>
      <c r="B3" s="51"/>
      <c r="C3" s="52"/>
      <c r="D3" s="52"/>
      <c r="E3" s="53"/>
      <c r="F3" s="60"/>
      <c r="G3" s="61"/>
      <c r="H3" s="61"/>
      <c r="I3" s="61"/>
      <c r="J3" s="61"/>
      <c r="K3" s="61"/>
      <c r="L3" s="61"/>
      <c r="M3" s="62"/>
      <c r="N3" s="5"/>
      <c r="P3" s="4"/>
      <c r="Q3" s="51"/>
      <c r="R3" s="52"/>
      <c r="S3" s="52"/>
      <c r="T3" s="53"/>
      <c r="U3" s="60"/>
      <c r="V3" s="61"/>
      <c r="W3" s="61"/>
      <c r="X3" s="61"/>
      <c r="Y3" s="61"/>
      <c r="Z3" s="61"/>
      <c r="AA3" s="61"/>
      <c r="AB3" s="62"/>
      <c r="AC3" s="5"/>
    </row>
    <row r="4" spans="1:29" x14ac:dyDescent="0.2">
      <c r="A4" s="4"/>
      <c r="B4" s="51"/>
      <c r="C4" s="52"/>
      <c r="D4" s="52"/>
      <c r="E4" s="53"/>
      <c r="F4" s="60"/>
      <c r="G4" s="61"/>
      <c r="H4" s="61"/>
      <c r="I4" s="61"/>
      <c r="J4" s="61"/>
      <c r="K4" s="61"/>
      <c r="L4" s="61"/>
      <c r="M4" s="62"/>
      <c r="N4" s="5"/>
      <c r="P4" s="4"/>
      <c r="Q4" s="51"/>
      <c r="R4" s="52"/>
      <c r="S4" s="52"/>
      <c r="T4" s="53"/>
      <c r="U4" s="60"/>
      <c r="V4" s="61"/>
      <c r="W4" s="61"/>
      <c r="X4" s="61"/>
      <c r="Y4" s="61"/>
      <c r="Z4" s="61"/>
      <c r="AA4" s="61"/>
      <c r="AB4" s="62"/>
      <c r="AC4" s="5"/>
    </row>
    <row r="5" spans="1:29" ht="13.5" thickBot="1" x14ac:dyDescent="0.25">
      <c r="A5" s="4"/>
      <c r="B5" s="54"/>
      <c r="C5" s="55"/>
      <c r="D5" s="55"/>
      <c r="E5" s="56"/>
      <c r="F5" s="63"/>
      <c r="G5" s="64"/>
      <c r="H5" s="64"/>
      <c r="I5" s="64"/>
      <c r="J5" s="64"/>
      <c r="K5" s="64"/>
      <c r="L5" s="64"/>
      <c r="M5" s="65"/>
      <c r="N5" s="5"/>
      <c r="P5" s="4"/>
      <c r="Q5" s="54"/>
      <c r="R5" s="55"/>
      <c r="S5" s="55"/>
      <c r="T5" s="56"/>
      <c r="U5" s="63"/>
      <c r="V5" s="64"/>
      <c r="W5" s="64"/>
      <c r="X5" s="64"/>
      <c r="Y5" s="64"/>
      <c r="Z5" s="64"/>
      <c r="AA5" s="64"/>
      <c r="AB5" s="65"/>
      <c r="AC5" s="5"/>
    </row>
    <row r="6" spans="1:29" x14ac:dyDescent="0.2">
      <c r="A6" s="4"/>
      <c r="B6" s="66" t="str">
        <f>VLOOKUP(F2,[1]Matriz!$D:$J,7,0)</f>
        <v>A4 RF-95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8"/>
      <c r="N6" s="5"/>
      <c r="P6" s="4"/>
      <c r="Q6" s="66" t="str">
        <f>VLOOKUP(U2,[1]Matriz!$D:$J,7,0)</f>
        <v>AC-1500i</v>
      </c>
      <c r="R6" s="67"/>
      <c r="S6" s="67"/>
      <c r="T6" s="67"/>
      <c r="U6" s="67"/>
      <c r="V6" s="67"/>
      <c r="W6" s="67"/>
      <c r="X6" s="67"/>
      <c r="Y6" s="67"/>
      <c r="Z6" s="67"/>
      <c r="AA6" s="67"/>
      <c r="AB6" s="68"/>
      <c r="AC6" s="5"/>
    </row>
    <row r="7" spans="1:29" x14ac:dyDescent="0.2">
      <c r="A7" s="4"/>
      <c r="B7" s="69"/>
      <c r="C7" s="70"/>
      <c r="D7" s="70"/>
      <c r="E7" s="70"/>
      <c r="F7" s="70"/>
      <c r="G7" s="70"/>
      <c r="H7" s="70"/>
      <c r="I7" s="70"/>
      <c r="J7" s="70"/>
      <c r="K7" s="70"/>
      <c r="L7" s="70"/>
      <c r="M7" s="71"/>
      <c r="N7" s="5"/>
      <c r="P7" s="4"/>
      <c r="Q7" s="69"/>
      <c r="R7" s="70"/>
      <c r="S7" s="70"/>
      <c r="T7" s="70"/>
      <c r="U7" s="70"/>
      <c r="V7" s="70"/>
      <c r="W7" s="70"/>
      <c r="X7" s="70"/>
      <c r="Y7" s="70"/>
      <c r="Z7" s="70"/>
      <c r="AA7" s="70"/>
      <c r="AB7" s="71"/>
      <c r="AC7" s="5"/>
    </row>
    <row r="8" spans="1:29" x14ac:dyDescent="0.2">
      <c r="A8" s="4"/>
      <c r="B8" s="69"/>
      <c r="C8" s="70"/>
      <c r="D8" s="70"/>
      <c r="E8" s="70"/>
      <c r="F8" s="70"/>
      <c r="G8" s="70"/>
      <c r="H8" s="70"/>
      <c r="I8" s="70"/>
      <c r="J8" s="70"/>
      <c r="K8" s="70"/>
      <c r="L8" s="70"/>
      <c r="M8" s="71"/>
      <c r="N8" s="5"/>
      <c r="P8" s="4"/>
      <c r="Q8" s="69"/>
      <c r="R8" s="70"/>
      <c r="S8" s="70"/>
      <c r="T8" s="70"/>
      <c r="U8" s="70"/>
      <c r="V8" s="70"/>
      <c r="W8" s="70"/>
      <c r="X8" s="70"/>
      <c r="Y8" s="70"/>
      <c r="Z8" s="70"/>
      <c r="AA8" s="70"/>
      <c r="AB8" s="71"/>
      <c r="AC8" s="5"/>
    </row>
    <row r="9" spans="1:29" ht="13.5" thickBot="1" x14ac:dyDescent="0.25">
      <c r="A9" s="4"/>
      <c r="B9" s="72"/>
      <c r="C9" s="73"/>
      <c r="D9" s="73"/>
      <c r="E9" s="73"/>
      <c r="F9" s="73"/>
      <c r="G9" s="73"/>
      <c r="H9" s="73"/>
      <c r="I9" s="73"/>
      <c r="J9" s="73"/>
      <c r="K9" s="73"/>
      <c r="L9" s="73"/>
      <c r="M9" s="74"/>
      <c r="N9" s="5"/>
      <c r="P9" s="4"/>
      <c r="Q9" s="72"/>
      <c r="R9" s="73"/>
      <c r="S9" s="73"/>
      <c r="T9" s="73"/>
      <c r="U9" s="73"/>
      <c r="V9" s="73"/>
      <c r="W9" s="73"/>
      <c r="X9" s="73"/>
      <c r="Y9" s="73"/>
      <c r="Z9" s="73"/>
      <c r="AA9" s="73"/>
      <c r="AB9" s="74"/>
      <c r="AC9" s="5"/>
    </row>
    <row r="10" spans="1:29" ht="16.5" thickBot="1" x14ac:dyDescent="0.25">
      <c r="A10" s="4"/>
      <c r="B10" s="75" t="str">
        <f>VLOOKUP(F2,[1]Matriz!$D:$O,12,0)</f>
        <v>Mandril</v>
      </c>
      <c r="C10" s="76"/>
      <c r="D10" s="76"/>
      <c r="E10" s="76"/>
      <c r="F10" s="76"/>
      <c r="G10" s="77"/>
      <c r="H10" s="84" t="s">
        <v>0</v>
      </c>
      <c r="I10" s="85"/>
      <c r="J10" s="85"/>
      <c r="K10" s="85"/>
      <c r="L10" s="85"/>
      <c r="M10" s="86"/>
      <c r="N10" s="5"/>
      <c r="P10" s="4"/>
      <c r="Q10" s="75" t="str">
        <f>VLOOKUP(U2,[1]Matriz!$D:$O,12,0)</f>
        <v>Mordazas</v>
      </c>
      <c r="R10" s="76"/>
      <c r="S10" s="76"/>
      <c r="T10" s="76"/>
      <c r="U10" s="76"/>
      <c r="V10" s="77"/>
      <c r="W10" s="84" t="s">
        <v>0</v>
      </c>
      <c r="X10" s="85"/>
      <c r="Y10" s="85"/>
      <c r="Z10" s="85"/>
      <c r="AA10" s="85"/>
      <c r="AB10" s="86"/>
      <c r="AC10" s="5"/>
    </row>
    <row r="11" spans="1:29" x14ac:dyDescent="0.2">
      <c r="A11" s="4"/>
      <c r="B11" s="78"/>
      <c r="C11" s="79"/>
      <c r="D11" s="79"/>
      <c r="E11" s="79"/>
      <c r="F11" s="79"/>
      <c r="G11" s="80"/>
      <c r="H11" s="96" t="s">
        <v>1</v>
      </c>
      <c r="I11" s="97"/>
      <c r="J11" s="97"/>
      <c r="K11" s="97"/>
      <c r="L11" s="97"/>
      <c r="M11" s="98"/>
      <c r="N11" s="5"/>
      <c r="P11" s="4"/>
      <c r="Q11" s="78"/>
      <c r="R11" s="79"/>
      <c r="S11" s="79"/>
      <c r="T11" s="79"/>
      <c r="U11" s="79"/>
      <c r="V11" s="80"/>
      <c r="W11" s="87" t="s">
        <v>7</v>
      </c>
      <c r="X11" s="88"/>
      <c r="Y11" s="88"/>
      <c r="Z11" s="88"/>
      <c r="AA11" s="88"/>
      <c r="AB11" s="89"/>
      <c r="AC11" s="5"/>
    </row>
    <row r="12" spans="1:29" x14ac:dyDescent="0.2">
      <c r="A12" s="4"/>
      <c r="B12" s="78"/>
      <c r="C12" s="79"/>
      <c r="D12" s="79"/>
      <c r="E12" s="79"/>
      <c r="F12" s="79"/>
      <c r="G12" s="80"/>
      <c r="H12" s="99"/>
      <c r="I12" s="100"/>
      <c r="J12" s="100"/>
      <c r="K12" s="100"/>
      <c r="L12" s="100"/>
      <c r="M12" s="101"/>
      <c r="N12" s="5"/>
      <c r="P12" s="4"/>
      <c r="Q12" s="78"/>
      <c r="R12" s="79"/>
      <c r="S12" s="79"/>
      <c r="T12" s="79"/>
      <c r="U12" s="79"/>
      <c r="V12" s="80"/>
      <c r="W12" s="90"/>
      <c r="X12" s="91"/>
      <c r="Y12" s="91"/>
      <c r="Z12" s="91"/>
      <c r="AA12" s="91"/>
      <c r="AB12" s="92"/>
      <c r="AC12" s="5"/>
    </row>
    <row r="13" spans="1:29" ht="13.5" thickBot="1" x14ac:dyDescent="0.25">
      <c r="A13" s="4"/>
      <c r="B13" s="78"/>
      <c r="C13" s="79"/>
      <c r="D13" s="79"/>
      <c r="E13" s="82"/>
      <c r="F13" s="82"/>
      <c r="G13" s="83"/>
      <c r="H13" s="102"/>
      <c r="I13" s="103"/>
      <c r="J13" s="103"/>
      <c r="K13" s="103"/>
      <c r="L13" s="103"/>
      <c r="M13" s="104"/>
      <c r="N13" s="5"/>
      <c r="P13" s="4"/>
      <c r="Q13" s="81"/>
      <c r="R13" s="82"/>
      <c r="S13" s="82"/>
      <c r="T13" s="82"/>
      <c r="U13" s="82"/>
      <c r="V13" s="83"/>
      <c r="W13" s="93"/>
      <c r="X13" s="94"/>
      <c r="Y13" s="94"/>
      <c r="Z13" s="94"/>
      <c r="AA13" s="94"/>
      <c r="AB13" s="95"/>
      <c r="AC13" s="5"/>
    </row>
    <row r="14" spans="1:29" ht="16.5" customHeight="1" thickBot="1" x14ac:dyDescent="0.25">
      <c r="A14" s="4"/>
      <c r="B14" s="29" t="s">
        <v>2</v>
      </c>
      <c r="C14" s="30"/>
      <c r="D14" s="31"/>
      <c r="E14" s="126" t="str">
        <f>VLOOKUP(F2,[1]ROLADO!$C:$N,12,0)</f>
        <v>PEDIR</v>
      </c>
      <c r="F14" s="127"/>
      <c r="G14" s="29" t="s">
        <v>3</v>
      </c>
      <c r="H14" s="30"/>
      <c r="I14" s="31"/>
      <c r="J14" s="35" t="s">
        <v>4</v>
      </c>
      <c r="K14" s="36"/>
      <c r="L14" s="36"/>
      <c r="M14" s="37"/>
      <c r="N14" s="5"/>
      <c r="P14" s="4"/>
      <c r="Q14" s="29" t="s">
        <v>2</v>
      </c>
      <c r="R14" s="30"/>
      <c r="S14" s="31"/>
      <c r="T14" s="126" t="str">
        <f>VLOOKUP(U2,[1]TORNEADO!$C:$N,12,0)</f>
        <v>PEDIR</v>
      </c>
      <c r="U14" s="127"/>
      <c r="V14" s="29" t="s">
        <v>3</v>
      </c>
      <c r="W14" s="30"/>
      <c r="X14" s="31"/>
      <c r="Y14" s="35" t="s">
        <v>4</v>
      </c>
      <c r="Z14" s="36"/>
      <c r="AA14" s="36"/>
      <c r="AB14" s="37"/>
      <c r="AC14" s="5"/>
    </row>
    <row r="15" spans="1:29" ht="13.5" customHeight="1" thickBot="1" x14ac:dyDescent="0.25">
      <c r="A15" s="4"/>
      <c r="B15" s="123"/>
      <c r="C15" s="124"/>
      <c r="D15" s="125"/>
      <c r="E15" s="128"/>
      <c r="F15" s="129"/>
      <c r="G15" s="32"/>
      <c r="H15" s="33"/>
      <c r="I15" s="34"/>
      <c r="J15" s="38">
        <f>VLOOKUP(F2,[1]ROLADO!$C:$M,11,0)</f>
        <v>3</v>
      </c>
      <c r="K15" s="39"/>
      <c r="L15" s="119">
        <f>VLOOKUP(F2,[1]ROLADO!$C:$K,9,0)</f>
        <v>1</v>
      </c>
      <c r="M15" s="120"/>
      <c r="N15" s="5"/>
      <c r="P15" s="4"/>
      <c r="Q15" s="123"/>
      <c r="R15" s="124"/>
      <c r="S15" s="125"/>
      <c r="T15" s="128"/>
      <c r="U15" s="129"/>
      <c r="V15" s="32"/>
      <c r="W15" s="33"/>
      <c r="X15" s="34"/>
      <c r="Y15" s="38">
        <f>VLOOKUP(U2,[1]TORNEADO!$C:$M,11,0)</f>
        <v>3</v>
      </c>
      <c r="Z15" s="39"/>
      <c r="AA15" s="119">
        <f>VLOOKUP(U2,[1]TORNEADO!$C:$K,9,0)</f>
        <v>1</v>
      </c>
      <c r="AB15" s="120"/>
      <c r="AC15" s="5"/>
    </row>
    <row r="16" spans="1:29" ht="12.75" customHeight="1" x14ac:dyDescent="0.2">
      <c r="A16" s="4"/>
      <c r="B16" s="123"/>
      <c r="C16" s="124"/>
      <c r="D16" s="125"/>
      <c r="E16" s="128"/>
      <c r="F16" s="129"/>
      <c r="G16" s="42" t="s">
        <v>5</v>
      </c>
      <c r="H16" s="43"/>
      <c r="I16" s="44"/>
      <c r="J16" s="40"/>
      <c r="K16" s="41"/>
      <c r="L16" s="121"/>
      <c r="M16" s="122"/>
      <c r="N16" s="5"/>
      <c r="P16" s="4"/>
      <c r="Q16" s="123"/>
      <c r="R16" s="124"/>
      <c r="S16" s="125"/>
      <c r="T16" s="128"/>
      <c r="U16" s="129"/>
      <c r="V16" s="42" t="s">
        <v>5</v>
      </c>
      <c r="W16" s="43"/>
      <c r="X16" s="44"/>
      <c r="Y16" s="40"/>
      <c r="Z16" s="41"/>
      <c r="AA16" s="121"/>
      <c r="AB16" s="122"/>
      <c r="AC16" s="5"/>
    </row>
    <row r="17" spans="1:29" ht="13.5" customHeight="1" thickBot="1" x14ac:dyDescent="0.25">
      <c r="A17" s="4"/>
      <c r="B17" s="32"/>
      <c r="C17" s="33"/>
      <c r="D17" s="34"/>
      <c r="E17" s="130"/>
      <c r="F17" s="131"/>
      <c r="G17" s="45"/>
      <c r="H17" s="46"/>
      <c r="I17" s="47"/>
      <c r="J17" s="117" t="s">
        <v>11</v>
      </c>
      <c r="K17" s="118"/>
      <c r="L17" s="115" t="s">
        <v>10</v>
      </c>
      <c r="M17" s="116"/>
      <c r="N17" s="5"/>
      <c r="P17" s="4"/>
      <c r="Q17" s="32"/>
      <c r="R17" s="33"/>
      <c r="S17" s="34"/>
      <c r="T17" s="130"/>
      <c r="U17" s="131"/>
      <c r="V17" s="45"/>
      <c r="W17" s="46"/>
      <c r="X17" s="47"/>
      <c r="Y17" s="117" t="s">
        <v>11</v>
      </c>
      <c r="Z17" s="118"/>
      <c r="AA17" s="115" t="s">
        <v>10</v>
      </c>
      <c r="AB17" s="116"/>
      <c r="AC17" s="5"/>
    </row>
    <row r="18" spans="1:29" x14ac:dyDescent="0.2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8"/>
      <c r="P18" s="6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8"/>
    </row>
  </sheetData>
  <mergeCells count="30">
    <mergeCell ref="Q14:S17"/>
    <mergeCell ref="T14:U17"/>
    <mergeCell ref="B2:E5"/>
    <mergeCell ref="F2:M5"/>
    <mergeCell ref="B6:M9"/>
    <mergeCell ref="B10:G13"/>
    <mergeCell ref="H10:M10"/>
    <mergeCell ref="H11:M13"/>
    <mergeCell ref="G14:I15"/>
    <mergeCell ref="J14:M14"/>
    <mergeCell ref="G16:I17"/>
    <mergeCell ref="L17:M17"/>
    <mergeCell ref="J17:K17"/>
    <mergeCell ref="J15:K16"/>
    <mergeCell ref="L15:M16"/>
    <mergeCell ref="E14:F17"/>
    <mergeCell ref="B14:D17"/>
    <mergeCell ref="Q2:T5"/>
    <mergeCell ref="U2:AB5"/>
    <mergeCell ref="Q6:AB9"/>
    <mergeCell ref="Q10:V13"/>
    <mergeCell ref="W10:AB10"/>
    <mergeCell ref="W11:AB13"/>
    <mergeCell ref="V14:X15"/>
    <mergeCell ref="Y14:AB14"/>
    <mergeCell ref="V16:X17"/>
    <mergeCell ref="Y15:Z16"/>
    <mergeCell ref="AA15:AB16"/>
    <mergeCell ref="Y17:Z17"/>
    <mergeCell ref="AA17:AB17"/>
  </mergeCells>
  <conditionalFormatting sqref="E14:F17">
    <cfRule type="containsText" dxfId="7" priority="5" operator="containsText" text="URGENTE">
      <formula>NOT(ISERROR(SEARCH("URGENTE",E14)))</formula>
    </cfRule>
    <cfRule type="containsText" dxfId="6" priority="3" operator="containsText" text="PEDIR">
      <formula>NOT(ISERROR(SEARCH("PEDIR",E14)))</formula>
    </cfRule>
  </conditionalFormatting>
  <conditionalFormatting sqref="T14:U17">
    <cfRule type="containsText" dxfId="4" priority="1" operator="containsText" text="PEDIR">
      <formula>NOT(ISERROR(SEARCH("PEDIR",T14)))</formula>
    </cfRule>
    <cfRule type="containsText" dxfId="5" priority="2" operator="containsText" text="URGENTE">
      <formula>NOT(ISERROR(SEARCH("URGENTE",T14)))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zoomScale="80" zoomScaleNormal="80" workbookViewId="0">
      <pane ySplit="18" topLeftCell="A19" activePane="bottomLeft" state="frozen"/>
      <selection pane="bottomLeft" activeCell="I25" sqref="I25"/>
    </sheetView>
  </sheetViews>
  <sheetFormatPr baseColWidth="10" defaultRowHeight="12.75" x14ac:dyDescent="0.2"/>
  <cols>
    <col min="1" max="1" width="2.7109375" customWidth="1"/>
    <col min="2" max="13" width="6.42578125" customWidth="1"/>
    <col min="14" max="14" width="2.7109375" customWidth="1"/>
    <col min="15" max="15" width="1.5703125" customWidth="1"/>
    <col min="16" max="16" width="2.7109375" customWidth="1"/>
    <col min="17" max="28" width="6.42578125" customWidth="1"/>
    <col min="29" max="29" width="2.7109375" customWidth="1"/>
  </cols>
  <sheetData>
    <row r="1" spans="1:14" x14ac:dyDescent="0.2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9"/>
    </row>
    <row r="2" spans="1:14" x14ac:dyDescent="0.2">
      <c r="A2" s="14"/>
      <c r="B2" s="109"/>
      <c r="C2" s="109"/>
      <c r="D2" s="109"/>
      <c r="E2" s="109"/>
      <c r="F2" s="110" t="s">
        <v>13</v>
      </c>
      <c r="G2" s="110"/>
      <c r="H2" s="110"/>
      <c r="I2" s="110"/>
      <c r="J2" s="110"/>
      <c r="K2" s="110"/>
      <c r="L2" s="110"/>
      <c r="M2" s="110"/>
      <c r="N2" s="10"/>
    </row>
    <row r="3" spans="1:14" x14ac:dyDescent="0.2">
      <c r="A3" s="14"/>
      <c r="B3" s="109"/>
      <c r="C3" s="109"/>
      <c r="D3" s="109"/>
      <c r="E3" s="109"/>
      <c r="F3" s="110"/>
      <c r="G3" s="110"/>
      <c r="H3" s="110"/>
      <c r="I3" s="110"/>
      <c r="J3" s="110"/>
      <c r="K3" s="110"/>
      <c r="L3" s="110"/>
      <c r="M3" s="110"/>
      <c r="N3" s="10"/>
    </row>
    <row r="4" spans="1:14" x14ac:dyDescent="0.2">
      <c r="A4" s="14"/>
      <c r="B4" s="109"/>
      <c r="C4" s="109"/>
      <c r="D4" s="109"/>
      <c r="E4" s="109"/>
      <c r="F4" s="110"/>
      <c r="G4" s="110"/>
      <c r="H4" s="110"/>
      <c r="I4" s="110"/>
      <c r="J4" s="110"/>
      <c r="K4" s="110"/>
      <c r="L4" s="110"/>
      <c r="M4" s="110"/>
      <c r="N4" s="10"/>
    </row>
    <row r="5" spans="1:14" x14ac:dyDescent="0.2">
      <c r="A5" s="14"/>
      <c r="B5" s="109"/>
      <c r="C5" s="109"/>
      <c r="D5" s="109"/>
      <c r="E5" s="109"/>
      <c r="F5" s="110"/>
      <c r="G5" s="110"/>
      <c r="H5" s="110"/>
      <c r="I5" s="110"/>
      <c r="J5" s="110"/>
      <c r="K5" s="110"/>
      <c r="L5" s="110"/>
      <c r="M5" s="110"/>
      <c r="N5" s="10"/>
    </row>
    <row r="6" spans="1:14" x14ac:dyDescent="0.2">
      <c r="A6" s="14"/>
      <c r="B6" s="111" t="str">
        <f>VLOOKUP(F2,[1]Matriz!$D:$J,7,0)</f>
        <v>AC-2900i</v>
      </c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0"/>
    </row>
    <row r="7" spans="1:14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0"/>
    </row>
    <row r="8" spans="1:14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0"/>
    </row>
    <row r="9" spans="1:14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0"/>
    </row>
    <row r="10" spans="1:14" ht="15.75" x14ac:dyDescent="0.2">
      <c r="A10" s="14"/>
      <c r="B10" s="112" t="str">
        <f>VLOOKUP(F2,[1]Matriz!$D:$O,12,0)</f>
        <v>Botador Inferior</v>
      </c>
      <c r="C10" s="112"/>
      <c r="D10" s="112"/>
      <c r="E10" s="112"/>
      <c r="F10" s="112"/>
      <c r="G10" s="112"/>
      <c r="H10" s="113" t="s">
        <v>0</v>
      </c>
      <c r="I10" s="113"/>
      <c r="J10" s="113"/>
      <c r="K10" s="113"/>
      <c r="L10" s="113"/>
      <c r="M10" s="113"/>
      <c r="N10" s="10"/>
    </row>
    <row r="11" spans="1:14" x14ac:dyDescent="0.2">
      <c r="A11" s="14"/>
      <c r="B11" s="112"/>
      <c r="C11" s="112"/>
      <c r="D11" s="112"/>
      <c r="E11" s="112"/>
      <c r="F11" s="112"/>
      <c r="G11" s="112"/>
      <c r="H11" s="114" t="s">
        <v>6</v>
      </c>
      <c r="I11" s="114"/>
      <c r="J11" s="114"/>
      <c r="K11" s="114"/>
      <c r="L11" s="114"/>
      <c r="M11" s="114"/>
      <c r="N11" s="10"/>
    </row>
    <row r="12" spans="1:14" x14ac:dyDescent="0.2">
      <c r="A12" s="14"/>
      <c r="B12" s="112"/>
      <c r="C12" s="112"/>
      <c r="D12" s="112"/>
      <c r="E12" s="112"/>
      <c r="F12" s="112"/>
      <c r="G12" s="112"/>
      <c r="H12" s="114"/>
      <c r="I12" s="114"/>
      <c r="J12" s="114"/>
      <c r="K12" s="114"/>
      <c r="L12" s="114"/>
      <c r="M12" s="114"/>
      <c r="N12" s="10"/>
    </row>
    <row r="13" spans="1:14" x14ac:dyDescent="0.2">
      <c r="A13" s="14"/>
      <c r="B13" s="132"/>
      <c r="C13" s="132"/>
      <c r="D13" s="132"/>
      <c r="E13" s="132"/>
      <c r="F13" s="132"/>
      <c r="G13" s="132"/>
      <c r="H13" s="133"/>
      <c r="I13" s="133"/>
      <c r="J13" s="133"/>
      <c r="K13" s="133"/>
      <c r="L13" s="133"/>
      <c r="M13" s="133"/>
      <c r="N13" s="10"/>
    </row>
    <row r="14" spans="1:14" ht="15.75" customHeight="1" x14ac:dyDescent="0.2">
      <c r="A14" s="14"/>
      <c r="B14" s="105" t="s">
        <v>2</v>
      </c>
      <c r="C14" s="105"/>
      <c r="D14" s="105"/>
      <c r="E14" s="134" t="str">
        <f>VLOOKUP(F2,[1]FORMADO!$C:$N,12,0)</f>
        <v>PEDIR</v>
      </c>
      <c r="F14" s="134"/>
      <c r="G14" s="105" t="s">
        <v>3</v>
      </c>
      <c r="H14" s="105"/>
      <c r="I14" s="105"/>
      <c r="J14" s="106" t="s">
        <v>4</v>
      </c>
      <c r="K14" s="106"/>
      <c r="L14" s="106"/>
      <c r="M14" s="106"/>
      <c r="N14" s="10"/>
    </row>
    <row r="15" spans="1:14" ht="12.75" customHeight="1" x14ac:dyDescent="0.2">
      <c r="A15" s="14"/>
      <c r="B15" s="105"/>
      <c r="C15" s="105"/>
      <c r="D15" s="105"/>
      <c r="E15" s="134"/>
      <c r="F15" s="134"/>
      <c r="G15" s="105"/>
      <c r="H15" s="105"/>
      <c r="I15" s="105"/>
      <c r="J15" s="107">
        <f>VLOOKUP(F2,[1]FORMADO!$C:$M,11,0)</f>
        <v>3</v>
      </c>
      <c r="K15" s="107"/>
      <c r="L15" s="135">
        <f>VLOOKUP(F2,[1]FORMADO!$C:$K,9,0)</f>
        <v>1</v>
      </c>
      <c r="M15" s="135"/>
      <c r="N15" s="10"/>
    </row>
    <row r="16" spans="1:14" ht="12.75" customHeight="1" x14ac:dyDescent="0.2">
      <c r="A16" s="14"/>
      <c r="B16" s="105"/>
      <c r="C16" s="105"/>
      <c r="D16" s="105"/>
      <c r="E16" s="134"/>
      <c r="F16" s="134"/>
      <c r="G16" s="108" t="s">
        <v>5</v>
      </c>
      <c r="H16" s="108"/>
      <c r="I16" s="108"/>
      <c r="J16" s="107"/>
      <c r="K16" s="107"/>
      <c r="L16" s="135"/>
      <c r="M16" s="135"/>
      <c r="N16" s="10"/>
    </row>
    <row r="17" spans="1:14" ht="12.75" customHeight="1" x14ac:dyDescent="0.2">
      <c r="A17" s="14"/>
      <c r="B17" s="105"/>
      <c r="C17" s="105"/>
      <c r="D17" s="105"/>
      <c r="E17" s="134"/>
      <c r="F17" s="134"/>
      <c r="G17" s="108"/>
      <c r="H17" s="108"/>
      <c r="I17" s="108"/>
      <c r="J17" s="136" t="s">
        <v>11</v>
      </c>
      <c r="K17" s="136"/>
      <c r="L17" s="137" t="s">
        <v>10</v>
      </c>
      <c r="M17" s="137"/>
      <c r="N17" s="10"/>
    </row>
    <row r="18" spans="1:14" x14ac:dyDescent="0.2">
      <c r="A18" s="15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1"/>
    </row>
  </sheetData>
  <mergeCells count="15">
    <mergeCell ref="B2:E5"/>
    <mergeCell ref="F2:M5"/>
    <mergeCell ref="B6:M9"/>
    <mergeCell ref="B10:G13"/>
    <mergeCell ref="H10:M10"/>
    <mergeCell ref="H11:M13"/>
    <mergeCell ref="G14:I15"/>
    <mergeCell ref="J14:M14"/>
    <mergeCell ref="G16:I17"/>
    <mergeCell ref="B14:D17"/>
    <mergeCell ref="E14:F17"/>
    <mergeCell ref="J15:K16"/>
    <mergeCell ref="L15:M16"/>
    <mergeCell ref="J17:K17"/>
    <mergeCell ref="L17:M17"/>
  </mergeCells>
  <conditionalFormatting sqref="E14:F17">
    <cfRule type="containsText" dxfId="2" priority="1" operator="containsText" text="PEDIR">
      <formula>NOT(ISERROR(SEARCH("PEDIR",E14)))</formula>
    </cfRule>
    <cfRule type="containsText" dxfId="3" priority="2" operator="containsText" text="URGENTE">
      <formula>NOT(ISERROR(SEARCH("URGENTE",E14)))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"/>
  <sheetViews>
    <sheetView tabSelected="1" zoomScale="80" zoomScaleNormal="80" workbookViewId="0">
      <pane ySplit="18" topLeftCell="A19" activePane="bottomLeft" state="frozen"/>
      <selection pane="bottomLeft" activeCell="R16" sqref="R16"/>
    </sheetView>
  </sheetViews>
  <sheetFormatPr baseColWidth="10" defaultRowHeight="12.75" x14ac:dyDescent="0.2"/>
  <cols>
    <col min="1" max="1" width="2.7109375" customWidth="1"/>
    <col min="2" max="13" width="6.42578125" customWidth="1"/>
    <col min="14" max="14" width="2.7109375" customWidth="1"/>
    <col min="15" max="15" width="1.5703125" customWidth="1"/>
    <col min="16" max="16" width="2.7109375" customWidth="1"/>
    <col min="17" max="28" width="6.42578125" customWidth="1"/>
    <col min="29" max="29" width="2.7109375" customWidth="1"/>
  </cols>
  <sheetData>
    <row r="1" spans="1:14" ht="12.75" customHeight="1" x14ac:dyDescent="0.2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9"/>
    </row>
    <row r="2" spans="1:14" ht="12.75" customHeight="1" x14ac:dyDescent="0.2">
      <c r="A2" s="20"/>
      <c r="B2" s="146"/>
      <c r="C2" s="146"/>
      <c r="D2" s="146"/>
      <c r="E2" s="146"/>
      <c r="F2" s="147" t="s">
        <v>14</v>
      </c>
      <c r="G2" s="147"/>
      <c r="H2" s="147"/>
      <c r="I2" s="147"/>
      <c r="J2" s="147"/>
      <c r="K2" s="147"/>
      <c r="L2" s="147"/>
      <c r="M2" s="147"/>
      <c r="N2" s="21"/>
    </row>
    <row r="3" spans="1:14" ht="12.75" customHeight="1" x14ac:dyDescent="0.2">
      <c r="A3" s="20"/>
      <c r="B3" s="146"/>
      <c r="C3" s="146"/>
      <c r="D3" s="146"/>
      <c r="E3" s="146"/>
      <c r="F3" s="147"/>
      <c r="G3" s="147"/>
      <c r="H3" s="147"/>
      <c r="I3" s="147"/>
      <c r="J3" s="147"/>
      <c r="K3" s="147"/>
      <c r="L3" s="147"/>
      <c r="M3" s="147"/>
      <c r="N3" s="21"/>
    </row>
    <row r="4" spans="1:14" ht="12.75" customHeight="1" x14ac:dyDescent="0.2">
      <c r="A4" s="20"/>
      <c r="B4" s="146"/>
      <c r="C4" s="146"/>
      <c r="D4" s="146"/>
      <c r="E4" s="146"/>
      <c r="F4" s="147"/>
      <c r="G4" s="147"/>
      <c r="H4" s="147"/>
      <c r="I4" s="147"/>
      <c r="J4" s="147"/>
      <c r="K4" s="147"/>
      <c r="L4" s="147"/>
      <c r="M4" s="147"/>
      <c r="N4" s="21"/>
    </row>
    <row r="5" spans="1:14" ht="12.75" customHeight="1" x14ac:dyDescent="0.2">
      <c r="A5" s="20"/>
      <c r="B5" s="146"/>
      <c r="C5" s="146"/>
      <c r="D5" s="146"/>
      <c r="E5" s="146"/>
      <c r="F5" s="147"/>
      <c r="G5" s="147"/>
      <c r="H5" s="147"/>
      <c r="I5" s="147"/>
      <c r="J5" s="147"/>
      <c r="K5" s="147"/>
      <c r="L5" s="147"/>
      <c r="M5" s="147"/>
      <c r="N5" s="21"/>
    </row>
    <row r="6" spans="1:14" ht="12.75" customHeight="1" x14ac:dyDescent="0.2">
      <c r="A6" s="20"/>
      <c r="B6" s="148" t="str">
        <f>VLOOKUP(F2,[1]Matriz!$D:$J,7,0)</f>
        <v>UF-2650</v>
      </c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21"/>
    </row>
    <row r="7" spans="1:14" ht="12.75" customHeight="1" x14ac:dyDescent="0.2">
      <c r="A7" s="20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21"/>
    </row>
    <row r="8" spans="1:14" ht="12.75" customHeight="1" x14ac:dyDescent="0.2">
      <c r="A8" s="20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21"/>
    </row>
    <row r="9" spans="1:14" ht="12.75" customHeight="1" x14ac:dyDescent="0.2">
      <c r="A9" s="20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21"/>
    </row>
    <row r="10" spans="1:14" ht="12.75" customHeight="1" x14ac:dyDescent="0.2">
      <c r="A10" s="20"/>
      <c r="B10" s="151" t="str">
        <f>VLOOKUP(F2,[1]Matriz!$D:$O,12,0)</f>
        <v>BOQUILLA CERRADA</v>
      </c>
      <c r="C10" s="151"/>
      <c r="D10" s="151"/>
      <c r="E10" s="151"/>
      <c r="F10" s="151"/>
      <c r="G10" s="151"/>
      <c r="H10" s="149" t="s">
        <v>0</v>
      </c>
      <c r="I10" s="149"/>
      <c r="J10" s="149"/>
      <c r="K10" s="149"/>
      <c r="L10" s="149"/>
      <c r="M10" s="149"/>
      <c r="N10" s="21"/>
    </row>
    <row r="11" spans="1:14" ht="12.75" customHeight="1" x14ac:dyDescent="0.2">
      <c r="A11" s="20"/>
      <c r="B11" s="151"/>
      <c r="C11" s="151"/>
      <c r="D11" s="151"/>
      <c r="E11" s="151"/>
      <c r="F11" s="151"/>
      <c r="G11" s="151"/>
      <c r="H11" s="150" t="s">
        <v>8</v>
      </c>
      <c r="I11" s="150"/>
      <c r="J11" s="150"/>
      <c r="K11" s="150"/>
      <c r="L11" s="150"/>
      <c r="M11" s="150"/>
      <c r="N11" s="21"/>
    </row>
    <row r="12" spans="1:14" ht="12.75" customHeight="1" x14ac:dyDescent="0.2">
      <c r="A12" s="20"/>
      <c r="B12" s="151"/>
      <c r="C12" s="151"/>
      <c r="D12" s="151"/>
      <c r="E12" s="151"/>
      <c r="F12" s="151"/>
      <c r="G12" s="151"/>
      <c r="H12" s="150"/>
      <c r="I12" s="150"/>
      <c r="J12" s="150"/>
      <c r="K12" s="150"/>
      <c r="L12" s="150"/>
      <c r="M12" s="150"/>
      <c r="N12" s="21"/>
    </row>
    <row r="13" spans="1:14" ht="12.75" customHeight="1" x14ac:dyDescent="0.2">
      <c r="A13" s="20"/>
      <c r="B13" s="151"/>
      <c r="C13" s="151"/>
      <c r="D13" s="151"/>
      <c r="E13" s="151"/>
      <c r="F13" s="151"/>
      <c r="G13" s="151"/>
      <c r="H13" s="150"/>
      <c r="I13" s="150"/>
      <c r="J13" s="150"/>
      <c r="K13" s="150"/>
      <c r="L13" s="150"/>
      <c r="M13" s="150"/>
      <c r="N13" s="21"/>
    </row>
    <row r="14" spans="1:14" ht="12.75" customHeight="1" x14ac:dyDescent="0.2">
      <c r="A14" s="20"/>
      <c r="B14" s="138" t="s">
        <v>2</v>
      </c>
      <c r="C14" s="138"/>
      <c r="D14" s="138"/>
      <c r="E14" s="139" t="str">
        <f>VLOOKUP(F2,[1]TROQUELADO!$C:$N,12,0)</f>
        <v>PEDIR</v>
      </c>
      <c r="F14" s="139"/>
      <c r="G14" s="138" t="s">
        <v>3</v>
      </c>
      <c r="H14" s="138"/>
      <c r="I14" s="138"/>
      <c r="J14" s="140" t="s">
        <v>4</v>
      </c>
      <c r="K14" s="140"/>
      <c r="L14" s="140"/>
      <c r="M14" s="140"/>
      <c r="N14" s="21"/>
    </row>
    <row r="15" spans="1:14" ht="12.75" customHeight="1" x14ac:dyDescent="0.2">
      <c r="A15" s="20"/>
      <c r="B15" s="138"/>
      <c r="C15" s="138"/>
      <c r="D15" s="138"/>
      <c r="E15" s="139"/>
      <c r="F15" s="139"/>
      <c r="G15" s="138"/>
      <c r="H15" s="138"/>
      <c r="I15" s="138"/>
      <c r="J15" s="141">
        <f>VLOOKUP(F2,[1]TROQUELADO!$C:$M,11,0)</f>
        <v>3</v>
      </c>
      <c r="K15" s="141"/>
      <c r="L15" s="142">
        <f>VLOOKUP(F2,[1]TROQUELADO!$C:$K,9,0)</f>
        <v>1</v>
      </c>
      <c r="M15" s="142"/>
      <c r="N15" s="21"/>
    </row>
    <row r="16" spans="1:14" ht="12.75" customHeight="1" x14ac:dyDescent="0.2">
      <c r="A16" s="20"/>
      <c r="B16" s="138"/>
      <c r="C16" s="138"/>
      <c r="D16" s="138"/>
      <c r="E16" s="139"/>
      <c r="F16" s="139"/>
      <c r="G16" s="143" t="s">
        <v>5</v>
      </c>
      <c r="H16" s="143"/>
      <c r="I16" s="143"/>
      <c r="J16" s="141"/>
      <c r="K16" s="141"/>
      <c r="L16" s="142"/>
      <c r="M16" s="142"/>
      <c r="N16" s="21"/>
    </row>
    <row r="17" spans="1:14" ht="12.75" customHeight="1" x14ac:dyDescent="0.2">
      <c r="A17" s="20"/>
      <c r="B17" s="138"/>
      <c r="C17" s="138"/>
      <c r="D17" s="138"/>
      <c r="E17" s="139"/>
      <c r="F17" s="139"/>
      <c r="G17" s="143"/>
      <c r="H17" s="143"/>
      <c r="I17" s="143"/>
      <c r="J17" s="144" t="s">
        <v>11</v>
      </c>
      <c r="K17" s="144"/>
      <c r="L17" s="145" t="s">
        <v>10</v>
      </c>
      <c r="M17" s="145"/>
      <c r="N17" s="21"/>
    </row>
    <row r="18" spans="1:14" ht="12.75" customHeight="1" x14ac:dyDescent="0.2">
      <c r="A18" s="22"/>
      <c r="B18" s="23"/>
      <c r="C18" s="23"/>
      <c r="D18" s="23"/>
      <c r="E18" s="23"/>
      <c r="F18" s="24"/>
      <c r="G18" s="25"/>
      <c r="H18" s="25"/>
      <c r="I18" s="25"/>
      <c r="J18" s="26"/>
      <c r="K18" s="26"/>
      <c r="L18" s="27"/>
      <c r="M18" s="27"/>
      <c r="N18" s="28"/>
    </row>
    <row r="19" spans="1:14" ht="12.75" customHeight="1" x14ac:dyDescent="0.2"/>
    <row r="20" spans="1:14" ht="12.75" customHeight="1" x14ac:dyDescent="0.2"/>
    <row r="21" spans="1:14" ht="12.75" customHeight="1" x14ac:dyDescent="0.2"/>
  </sheetData>
  <mergeCells count="15">
    <mergeCell ref="G14:I15"/>
    <mergeCell ref="J14:M14"/>
    <mergeCell ref="G16:I17"/>
    <mergeCell ref="B14:D17"/>
    <mergeCell ref="E14:F17"/>
    <mergeCell ref="J15:K16"/>
    <mergeCell ref="L15:M16"/>
    <mergeCell ref="J17:K17"/>
    <mergeCell ref="L17:M17"/>
    <mergeCell ref="B2:E5"/>
    <mergeCell ref="F2:M5"/>
    <mergeCell ref="B6:M9"/>
    <mergeCell ref="B10:G13"/>
    <mergeCell ref="H10:M10"/>
    <mergeCell ref="H11:M13"/>
  </mergeCells>
  <conditionalFormatting sqref="E14:F17">
    <cfRule type="containsText" dxfId="1" priority="1" operator="containsText" text="PEDIR">
      <formula>NOT(ISERROR(SEARCH("PEDIR",E14)))</formula>
    </cfRule>
    <cfRule type="containsText" dxfId="0" priority="2" operator="containsText" text="URGENTE">
      <formula>NOT(ISERROR(SEARCH("URGENTE",E14)))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Rolado y Torneado</vt:lpstr>
      <vt:lpstr>Formado</vt:lpstr>
      <vt:lpstr>TROQUELADO</vt:lpstr>
    </vt:vector>
  </TitlesOfParts>
  <Company>GKN Driveline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sergio.cano</dc:creator>
  <cp:lastModifiedBy>sergio.cano</cp:lastModifiedBy>
  <dcterms:created xsi:type="dcterms:W3CDTF">2012-02-10T20:26:39Z</dcterms:created>
  <dcterms:modified xsi:type="dcterms:W3CDTF">2012-02-10T21:12:37Z</dcterms:modified>
</cp:coreProperties>
</file>